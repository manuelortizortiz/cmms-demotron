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18769b89b4824173/"/>
    </mc:Choice>
  </mc:AlternateContent>
  <xr:revisionPtr revIDLastSave="7" documentId="8_{96D5D9FF-5D21-414B-97AC-C12AE62FC474}" xr6:coauthVersionLast="47" xr6:coauthVersionMax="47" xr10:uidLastSave="{63FACE56-F034-4A14-8174-AB176647C102}"/>
  <bookViews>
    <workbookView xWindow="-120" yWindow="-120" windowWidth="20730" windowHeight="11040" activeTab="5" xr2:uid="{00000000-000D-0000-FFFF-FFFF00000000}"/>
  </bookViews>
  <sheets>
    <sheet name="Equipos" sheetId="1" r:id="rId1"/>
    <sheet name="Lecturas" sheetId="2" r:id="rId2"/>
    <sheet name="Mantenciones" sheetId="3" r:id="rId3"/>
    <sheet name="Compras PM" sheetId="4" r:id="rId4"/>
    <sheet name="Bodega" sheetId="5" r:id="rId5"/>
    <sheet name="Maestro_Equipos" sheetId="6" r:id="rId6"/>
    <sheet name="Plan_Mantenciones" sheetId="7" r:id="rId7"/>
    <sheet name="Plan_90_Dias" sheetId="8" r:id="rId8"/>
    <sheet name="Planner_Semanal" sheetId="9" r:id="rId9"/>
    <sheet name="Dashboard" sheetId="11" r:id="rId10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4" i="6" l="1" a="1"/>
  <c r="O4" i="6" s="1"/>
  <c r="O5" i="6" a="1"/>
  <c r="O5" i="6" s="1"/>
  <c r="O6" i="6" a="1"/>
  <c r="O6" i="6" s="1"/>
  <c r="O7" i="6" a="1"/>
  <c r="O7" i="6" s="1"/>
  <c r="O8" i="6" a="1"/>
  <c r="O8" i="6" s="1"/>
  <c r="O9" i="6" a="1"/>
  <c r="O9" i="6" s="1"/>
  <c r="O10" i="6" a="1"/>
  <c r="O10" i="6" s="1"/>
  <c r="O11" i="6" a="1"/>
  <c r="O11" i="6" s="1"/>
  <c r="O12" i="6" a="1"/>
  <c r="O12" i="6" s="1"/>
  <c r="O13" i="6" a="1"/>
  <c r="O13" i="6" s="1"/>
  <c r="O14" i="6" a="1"/>
  <c r="O14" i="6" s="1"/>
  <c r="O15" i="6" a="1"/>
  <c r="O15" i="6" s="1"/>
  <c r="O16" i="6" a="1"/>
  <c r="O16" i="6" s="1"/>
  <c r="O17" i="6" a="1"/>
  <c r="O17" i="6" s="1"/>
  <c r="O18" i="6" a="1"/>
  <c r="O18" i="6" s="1"/>
  <c r="O19" i="6" a="1"/>
  <c r="O19" i="6" s="1"/>
  <c r="O20" i="6" a="1"/>
  <c r="O20" i="6" s="1"/>
  <c r="O21" i="6" a="1"/>
  <c r="O21" i="6" s="1"/>
  <c r="O22" i="6" a="1"/>
  <c r="O22" i="6" s="1"/>
  <c r="O23" i="6" a="1"/>
  <c r="O23" i="6" s="1"/>
  <c r="O24" i="6" a="1"/>
  <c r="O24" i="6" s="1"/>
  <c r="O25" i="6" a="1"/>
  <c r="O25" i="6" s="1"/>
  <c r="O26" i="6" a="1"/>
  <c r="O26" i="6" s="1"/>
  <c r="O27" i="6" a="1"/>
  <c r="O27" i="6" s="1"/>
  <c r="O28" i="6" a="1"/>
  <c r="O28" i="6" s="1"/>
  <c r="O29" i="6" a="1"/>
  <c r="O29" i="6" s="1"/>
  <c r="O30" i="6" a="1"/>
  <c r="O30" i="6" s="1"/>
  <c r="O31" i="6" a="1"/>
  <c r="O31" i="6" s="1"/>
  <c r="O32" i="6" a="1"/>
  <c r="O32" i="6" s="1"/>
  <c r="O33" i="6" a="1"/>
  <c r="O33" i="6" s="1"/>
  <c r="O34" i="6" a="1"/>
  <c r="O34" i="6" s="1"/>
  <c r="O35" i="6" a="1"/>
  <c r="O35" i="6" s="1"/>
  <c r="O36" i="6" a="1"/>
  <c r="O36" i="6" s="1"/>
  <c r="O37" i="6" a="1"/>
  <c r="O37" i="6" s="1"/>
  <c r="O38" i="6" a="1"/>
  <c r="O38" i="6" s="1"/>
  <c r="O39" i="6" a="1"/>
  <c r="O39" i="6" s="1"/>
  <c r="O40" i="6" a="1"/>
  <c r="O40" i="6" s="1"/>
  <c r="O41" i="6" a="1"/>
  <c r="O41" i="6" s="1"/>
  <c r="O42" i="6" a="1"/>
  <c r="O42" i="6" s="1"/>
  <c r="O43" i="6" a="1"/>
  <c r="O43" i="6" s="1"/>
  <c r="O44" i="6" a="1"/>
  <c r="O44" i="6" s="1"/>
  <c r="O45" i="6" a="1"/>
  <c r="O45" i="6" s="1"/>
  <c r="O46" i="6" a="1"/>
  <c r="O46" i="6" s="1"/>
  <c r="O47" i="6" a="1"/>
  <c r="O47" i="6" s="1"/>
  <c r="O48" i="6" a="1"/>
  <c r="O48" i="6" s="1"/>
  <c r="O49" i="6" a="1"/>
  <c r="O49" i="6" s="1"/>
  <c r="O50" i="6" a="1"/>
  <c r="O50" i="6" s="1"/>
  <c r="O51" i="6" a="1"/>
  <c r="O51" i="6" s="1"/>
  <c r="O52" i="6" a="1"/>
  <c r="O52" i="6" s="1"/>
  <c r="O53" i="6" a="1"/>
  <c r="O53" i="6" s="1"/>
  <c r="O54" i="6" a="1"/>
  <c r="O54" i="6" s="1"/>
  <c r="O55" i="6" a="1"/>
  <c r="O55" i="6" s="1"/>
  <c r="O56" i="6" a="1"/>
  <c r="O56" i="6" s="1"/>
  <c r="O57" i="6" a="1"/>
  <c r="O57" i="6" s="1"/>
  <c r="O58" i="6" a="1"/>
  <c r="O58" i="6" s="1"/>
  <c r="O59" i="6" a="1"/>
  <c r="O59" i="6" s="1"/>
  <c r="O60" i="6" a="1"/>
  <c r="O60" i="6" s="1"/>
  <c r="O61" i="6" a="1"/>
  <c r="O61" i="6" s="1"/>
  <c r="O62" i="6" a="1"/>
  <c r="O62" i="6" s="1"/>
  <c r="O63" i="6" a="1"/>
  <c r="O63" i="6" s="1"/>
  <c r="O64" i="6" a="1"/>
  <c r="O64" i="6" s="1"/>
  <c r="O65" i="6" a="1"/>
  <c r="O65" i="6" s="1"/>
  <c r="O66" i="6" a="1"/>
  <c r="O66" i="6" s="1"/>
  <c r="O67" i="6" a="1"/>
  <c r="O67" i="6" s="1"/>
  <c r="O68" i="6" a="1"/>
  <c r="O68" i="6" s="1"/>
  <c r="O69" i="6" a="1"/>
  <c r="O69" i="6" s="1"/>
  <c r="O70" i="6" a="1"/>
  <c r="O70" i="6" s="1"/>
  <c r="O71" i="6" a="1"/>
  <c r="O71" i="6" s="1"/>
  <c r="O72" i="6" a="1"/>
  <c r="O72" i="6" s="1"/>
  <c r="O73" i="6" a="1"/>
  <c r="O73" i="6" s="1"/>
  <c r="O74" i="6" a="1"/>
  <c r="O74" i="6" s="1"/>
  <c r="O75" i="6" a="1"/>
  <c r="O75" i="6" s="1"/>
  <c r="O76" i="6" a="1"/>
  <c r="O76" i="6" s="1"/>
  <c r="O77" i="6" a="1"/>
  <c r="O77" i="6" s="1"/>
  <c r="O78" i="6" a="1"/>
  <c r="O78" i="6" s="1"/>
  <c r="O79" i="6" a="1"/>
  <c r="O79" i="6" s="1"/>
  <c r="O80" i="6" a="1"/>
  <c r="O80" i="6" s="1"/>
  <c r="O81" i="6" a="1"/>
  <c r="O81" i="6" s="1"/>
  <c r="O82" i="6" a="1"/>
  <c r="O82" i="6" s="1"/>
  <c r="O83" i="6" a="1"/>
  <c r="O83" i="6" s="1"/>
  <c r="O84" i="6" a="1"/>
  <c r="O84" i="6" s="1"/>
  <c r="O85" i="6" a="1"/>
  <c r="O85" i="6" s="1"/>
  <c r="O86" i="6" a="1"/>
  <c r="O86" i="6" s="1"/>
  <c r="O87" i="6" a="1"/>
  <c r="O87" i="6" s="1"/>
  <c r="O88" i="6" a="1"/>
  <c r="O88" i="6" s="1"/>
  <c r="O89" i="6" a="1"/>
  <c r="O89" i="6" s="1"/>
  <c r="O90" i="6" a="1"/>
  <c r="O90" i="6" s="1"/>
  <c r="O91" i="6" a="1"/>
  <c r="O91" i="6" s="1"/>
  <c r="O92" i="6" a="1"/>
  <c r="O92" i="6" s="1"/>
  <c r="O93" i="6" a="1"/>
  <c r="O93" i="6" s="1"/>
  <c r="O94" i="6" a="1"/>
  <c r="O94" i="6" s="1"/>
  <c r="O95" i="6" a="1"/>
  <c r="O95" i="6" s="1"/>
  <c r="O96" i="6" a="1"/>
  <c r="O96" i="6" s="1"/>
  <c r="O97" i="6" a="1"/>
  <c r="O97" i="6" s="1"/>
  <c r="O98" i="6" a="1"/>
  <c r="O98" i="6" s="1"/>
  <c r="O99" i="6" a="1"/>
  <c r="O99" i="6" s="1"/>
  <c r="O100" i="6" a="1"/>
  <c r="O100" i="6" s="1"/>
  <c r="O101" i="6" a="1"/>
  <c r="O101" i="6" s="1"/>
  <c r="O102" i="6" a="1"/>
  <c r="O102" i="6" s="1"/>
  <c r="O103" i="6" a="1"/>
  <c r="O103" i="6" s="1"/>
  <c r="O104" i="6" a="1"/>
  <c r="O104" i="6" s="1"/>
  <c r="O105" i="6" a="1"/>
  <c r="O105" i="6" s="1"/>
  <c r="O106" i="6" a="1"/>
  <c r="O106" i="6" s="1"/>
  <c r="O107" i="6" a="1"/>
  <c r="O107" i="6" s="1"/>
  <c r="O108" i="6" a="1"/>
  <c r="O108" i="6" s="1"/>
  <c r="O109" i="6" a="1"/>
  <c r="O109" i="6" s="1"/>
  <c r="O110" i="6" a="1"/>
  <c r="O110" i="6" s="1"/>
  <c r="O111" i="6" a="1"/>
  <c r="O111" i="6" s="1"/>
  <c r="O112" i="6" a="1"/>
  <c r="O112" i="6" s="1"/>
  <c r="O113" i="6" a="1"/>
  <c r="O113" i="6" s="1"/>
  <c r="O114" i="6" a="1"/>
  <c r="O114" i="6" s="1"/>
  <c r="O115" i="6" a="1"/>
  <c r="O115" i="6" s="1"/>
  <c r="O116" i="6" a="1"/>
  <c r="O116" i="6" s="1"/>
  <c r="O117" i="6" a="1"/>
  <c r="O117" i="6" s="1"/>
  <c r="O118" i="6" a="1"/>
  <c r="O118" i="6" s="1"/>
  <c r="O119" i="6" a="1"/>
  <c r="O119" i="6" s="1"/>
  <c r="O120" i="6" a="1"/>
  <c r="O120" i="6" s="1"/>
  <c r="O121" i="6" a="1"/>
  <c r="O121" i="6" s="1"/>
  <c r="O122" i="6" a="1"/>
  <c r="O122" i="6" s="1"/>
  <c r="O123" i="6" a="1"/>
  <c r="O123" i="6" s="1"/>
  <c r="O124" i="6" a="1"/>
  <c r="O124" i="6" s="1"/>
  <c r="O125" i="6" a="1"/>
  <c r="O125" i="6" s="1"/>
  <c r="O126" i="6" a="1"/>
  <c r="O126" i="6" s="1"/>
  <c r="O127" i="6" a="1"/>
  <c r="O127" i="6" s="1"/>
  <c r="O128" i="6" a="1"/>
  <c r="O128" i="6" s="1"/>
  <c r="O129" i="6" a="1"/>
  <c r="O129" i="6" s="1"/>
  <c r="O130" i="6" a="1"/>
  <c r="O130" i="6" s="1"/>
  <c r="O131" i="6" a="1"/>
  <c r="O131" i="6" s="1"/>
  <c r="O132" i="6" a="1"/>
  <c r="O132" i="6" s="1"/>
  <c r="O133" i="6" a="1"/>
  <c r="O133" i="6" s="1"/>
  <c r="O134" i="6" a="1"/>
  <c r="O134" i="6" s="1"/>
  <c r="O135" i="6" a="1"/>
  <c r="O135" i="6" s="1"/>
  <c r="O136" i="6" a="1"/>
  <c r="O136" i="6" s="1"/>
  <c r="O137" i="6" a="1"/>
  <c r="O137" i="6" s="1"/>
  <c r="O138" i="6" a="1"/>
  <c r="O138" i="6" s="1"/>
  <c r="O139" i="6" a="1"/>
  <c r="O139" i="6" s="1"/>
  <c r="O140" i="6" a="1"/>
  <c r="O140" i="6" s="1"/>
  <c r="O141" i="6" a="1"/>
  <c r="O141" i="6" s="1"/>
  <c r="O142" i="6" a="1"/>
  <c r="O142" i="6" s="1"/>
  <c r="O143" i="6" a="1"/>
  <c r="O143" i="6" s="1"/>
  <c r="O144" i="6" a="1"/>
  <c r="O144" i="6" s="1"/>
  <c r="O145" i="6" a="1"/>
  <c r="O145" i="6" s="1"/>
  <c r="O146" i="6" a="1"/>
  <c r="O146" i="6" s="1"/>
  <c r="O147" i="6" a="1"/>
  <c r="O147" i="6" s="1"/>
  <c r="O148" i="6" a="1"/>
  <c r="O148" i="6" s="1"/>
  <c r="O149" i="6" a="1"/>
  <c r="O149" i="6" s="1"/>
  <c r="O150" i="6" a="1"/>
  <c r="O150" i="6" s="1"/>
  <c r="O151" i="6" a="1"/>
  <c r="O151" i="6" s="1"/>
  <c r="O152" i="6" a="1"/>
  <c r="O152" i="6" s="1"/>
  <c r="O153" i="6" a="1"/>
  <c r="O153" i="6" s="1"/>
  <c r="O154" i="6" a="1"/>
  <c r="O154" i="6" s="1"/>
  <c r="O155" i="6" a="1"/>
  <c r="O155" i="6" s="1"/>
  <c r="O156" i="6" a="1"/>
  <c r="O156" i="6" s="1"/>
  <c r="O157" i="6" a="1"/>
  <c r="O157" i="6" s="1"/>
  <c r="O158" i="6" a="1"/>
  <c r="O158" i="6" s="1"/>
  <c r="O159" i="6" a="1"/>
  <c r="O159" i="6" s="1"/>
  <c r="O160" i="6" a="1"/>
  <c r="O160" i="6" s="1"/>
  <c r="O161" i="6" a="1"/>
  <c r="O161" i="6" s="1"/>
  <c r="O162" i="6" a="1"/>
  <c r="O162" i="6" s="1"/>
  <c r="O163" i="6" a="1"/>
  <c r="O163" i="6" s="1"/>
  <c r="O164" i="6" a="1"/>
  <c r="O164" i="6" s="1"/>
  <c r="O165" i="6" a="1"/>
  <c r="O165" i="6" s="1"/>
  <c r="O166" i="6" a="1"/>
  <c r="O166" i="6" s="1"/>
  <c r="O167" i="6" a="1"/>
  <c r="O167" i="6" s="1"/>
  <c r="O168" i="6" a="1"/>
  <c r="O168" i="6" s="1"/>
  <c r="O169" i="6" a="1"/>
  <c r="O169" i="6" s="1"/>
  <c r="O170" i="6" a="1"/>
  <c r="O170" i="6" s="1"/>
  <c r="O171" i="6" a="1"/>
  <c r="O171" i="6" s="1"/>
  <c r="O172" i="6" a="1"/>
  <c r="O172" i="6" s="1"/>
  <c r="O173" i="6" a="1"/>
  <c r="O173" i="6" s="1"/>
  <c r="O174" i="6" a="1"/>
  <c r="O174" i="6" s="1"/>
  <c r="O175" i="6" a="1"/>
  <c r="O175" i="6" s="1"/>
  <c r="O176" i="6" a="1"/>
  <c r="O176" i="6" s="1"/>
  <c r="O177" i="6" a="1"/>
  <c r="O177" i="6" s="1"/>
  <c r="O178" i="6" a="1"/>
  <c r="O178" i="6" s="1"/>
  <c r="O179" i="6" a="1"/>
  <c r="O179" i="6" s="1"/>
  <c r="O180" i="6" a="1"/>
  <c r="O180" i="6" s="1"/>
  <c r="O181" i="6" a="1"/>
  <c r="O181" i="6" s="1"/>
  <c r="O182" i="6" a="1"/>
  <c r="O182" i="6" s="1"/>
  <c r="O183" i="6" a="1"/>
  <c r="O183" i="6" s="1"/>
  <c r="O184" i="6" a="1"/>
  <c r="O184" i="6" s="1"/>
  <c r="O185" i="6" a="1"/>
  <c r="O185" i="6" s="1"/>
  <c r="O186" i="6" a="1"/>
  <c r="O186" i="6" s="1"/>
  <c r="O187" i="6" a="1"/>
  <c r="O187" i="6" s="1"/>
  <c r="O188" i="6" a="1"/>
  <c r="O188" i="6" s="1"/>
  <c r="O189" i="6" a="1"/>
  <c r="O189" i="6" s="1"/>
  <c r="O190" i="6" a="1"/>
  <c r="O190" i="6" s="1"/>
  <c r="O191" i="6" a="1"/>
  <c r="O191" i="6" s="1"/>
  <c r="O192" i="6" a="1"/>
  <c r="O192" i="6" s="1"/>
  <c r="O193" i="6" a="1"/>
  <c r="O193" i="6" s="1"/>
  <c r="O194" i="6" a="1"/>
  <c r="O194" i="6" s="1"/>
  <c r="O195" i="6" a="1"/>
  <c r="O195" i="6" s="1"/>
  <c r="O196" i="6" a="1"/>
  <c r="O196" i="6" s="1"/>
  <c r="O197" i="6" a="1"/>
  <c r="O197" i="6" s="1"/>
  <c r="O198" i="6" a="1"/>
  <c r="O198" i="6" s="1"/>
  <c r="O199" i="6" a="1"/>
  <c r="O199" i="6" s="1"/>
  <c r="O200" i="6" a="1"/>
  <c r="O200" i="6" s="1"/>
  <c r="O201" i="6" a="1"/>
  <c r="O201" i="6" s="1"/>
  <c r="O202" i="6" a="1"/>
  <c r="O202" i="6" s="1"/>
  <c r="O203" i="6" a="1"/>
  <c r="O203" i="6" s="1"/>
  <c r="O204" i="6" a="1"/>
  <c r="O204" i="6" s="1"/>
  <c r="O205" i="6" a="1"/>
  <c r="O205" i="6" s="1"/>
  <c r="O206" i="6" a="1"/>
  <c r="O206" i="6" s="1"/>
  <c r="O207" i="6" a="1"/>
  <c r="O207" i="6" s="1"/>
  <c r="O208" i="6" a="1"/>
  <c r="O208" i="6" s="1"/>
  <c r="O209" i="6" a="1"/>
  <c r="O209" i="6" s="1"/>
  <c r="O210" i="6" a="1"/>
  <c r="O210" i="6" s="1"/>
  <c r="O211" i="6" a="1"/>
  <c r="O211" i="6" s="1"/>
  <c r="O212" i="6" a="1"/>
  <c r="O212" i="6" s="1"/>
  <c r="O213" i="6" a="1"/>
  <c r="O213" i="6" s="1"/>
  <c r="O214" i="6" a="1"/>
  <c r="O214" i="6" s="1"/>
  <c r="O215" i="6" a="1"/>
  <c r="O215" i="6" s="1"/>
  <c r="O216" i="6" a="1"/>
  <c r="O216" i="6" s="1"/>
  <c r="O217" i="6" a="1"/>
  <c r="O217" i="6" s="1"/>
  <c r="O218" i="6" a="1"/>
  <c r="O218" i="6" s="1"/>
  <c r="O219" i="6" a="1"/>
  <c r="O219" i="6" s="1"/>
  <c r="O220" i="6" a="1"/>
  <c r="O220" i="6" s="1"/>
  <c r="O221" i="6" a="1"/>
  <c r="O221" i="6" s="1"/>
  <c r="O222" i="6" a="1"/>
  <c r="O222" i="6" s="1"/>
  <c r="O223" i="6" a="1"/>
  <c r="O223" i="6" s="1"/>
  <c r="O224" i="6" a="1"/>
  <c r="O224" i="6" s="1"/>
  <c r="O225" i="6" a="1"/>
  <c r="O225" i="6" s="1"/>
  <c r="O226" i="6" a="1"/>
  <c r="O226" i="6" s="1"/>
  <c r="O227" i="6" a="1"/>
  <c r="O227" i="6" s="1"/>
  <c r="O228" i="6" a="1"/>
  <c r="O228" i="6" s="1"/>
  <c r="O229" i="6" a="1"/>
  <c r="O229" i="6" s="1"/>
  <c r="O230" i="6" a="1"/>
  <c r="O230" i="6" s="1"/>
  <c r="O231" i="6" a="1"/>
  <c r="O231" i="6" s="1"/>
  <c r="O232" i="6" a="1"/>
  <c r="O232" i="6" s="1"/>
  <c r="O233" i="6" a="1"/>
  <c r="O233" i="6" s="1"/>
  <c r="O234" i="6" a="1"/>
  <c r="O234" i="6" s="1"/>
  <c r="O235" i="6" a="1"/>
  <c r="O235" i="6" s="1"/>
  <c r="O236" i="6" a="1"/>
  <c r="O236" i="6" s="1"/>
  <c r="O237" i="6" a="1"/>
  <c r="O237" i="6" s="1"/>
  <c r="O238" i="6" a="1"/>
  <c r="O238" i="6" s="1"/>
  <c r="O239" i="6" a="1"/>
  <c r="O239" i="6" s="1"/>
  <c r="O240" i="6" a="1"/>
  <c r="O240" i="6" s="1"/>
  <c r="O241" i="6" a="1"/>
  <c r="O241" i="6" s="1"/>
  <c r="O242" i="6" a="1"/>
  <c r="O242" i="6" s="1"/>
  <c r="O243" i="6" a="1"/>
  <c r="O243" i="6" s="1"/>
  <c r="O244" i="6" a="1"/>
  <c r="O244" i="6" s="1"/>
  <c r="O245" i="6" a="1"/>
  <c r="O245" i="6" s="1"/>
  <c r="O246" i="6" a="1"/>
  <c r="O246" i="6" s="1"/>
  <c r="O247" i="6" a="1"/>
  <c r="O247" i="6" s="1"/>
  <c r="R17" i="6"/>
  <c r="X17" i="6" s="1"/>
  <c r="R18" i="6"/>
  <c r="R19" i="6"/>
  <c r="X19" i="6" s="1"/>
  <c r="R20" i="6"/>
  <c r="R21" i="6"/>
  <c r="R22" i="6"/>
  <c r="R23" i="6"/>
  <c r="X23" i="6" s="1"/>
  <c r="R24" i="6"/>
  <c r="R25" i="6"/>
  <c r="R26" i="6"/>
  <c r="X26" i="6" s="1"/>
  <c r="R27" i="6"/>
  <c r="X27" i="6" s="1"/>
  <c r="R28" i="6"/>
  <c r="X28" i="6" s="1"/>
  <c r="R29" i="6"/>
  <c r="R30" i="6"/>
  <c r="R31" i="6"/>
  <c r="R32" i="6"/>
  <c r="R33" i="6"/>
  <c r="R34" i="6"/>
  <c r="X34" i="6" s="1"/>
  <c r="R35" i="6"/>
  <c r="X35" i="6" s="1"/>
  <c r="R36" i="6"/>
  <c r="R37" i="6"/>
  <c r="R38" i="6"/>
  <c r="R39" i="6"/>
  <c r="R40" i="6"/>
  <c r="X40" i="6" s="1"/>
  <c r="R41" i="6"/>
  <c r="X41" i="6" s="1"/>
  <c r="R42" i="6"/>
  <c r="X42" i="6" s="1"/>
  <c r="R43" i="6"/>
  <c r="R44" i="6"/>
  <c r="X44" i="6" s="1"/>
  <c r="R45" i="6"/>
  <c r="X45" i="6" s="1"/>
  <c r="R46" i="6"/>
  <c r="X46" i="6" s="1"/>
  <c r="R47" i="6"/>
  <c r="R48" i="6"/>
  <c r="X48" i="6" s="1"/>
  <c r="R49" i="6"/>
  <c r="X49" i="6" s="1"/>
  <c r="R50" i="6"/>
  <c r="R51" i="6"/>
  <c r="X51" i="6" s="1"/>
  <c r="R52" i="6"/>
  <c r="R53" i="6"/>
  <c r="X53" i="6" s="1"/>
  <c r="R54" i="6"/>
  <c r="X54" i="6" s="1"/>
  <c r="R55" i="6"/>
  <c r="X55" i="6" s="1"/>
  <c r="R56" i="6"/>
  <c r="X56" i="6" s="1"/>
  <c r="R57" i="6"/>
  <c r="R58" i="6"/>
  <c r="X58" i="6" s="1"/>
  <c r="R59" i="6"/>
  <c r="X59" i="6" s="1"/>
  <c r="R60" i="6"/>
  <c r="R61" i="6"/>
  <c r="R62" i="6"/>
  <c r="R63" i="6"/>
  <c r="X63" i="6" s="1"/>
  <c r="R64" i="6"/>
  <c r="R65" i="6"/>
  <c r="R66" i="6"/>
  <c r="X66" i="6" s="1"/>
  <c r="R67" i="6"/>
  <c r="X67" i="6" s="1"/>
  <c r="R68" i="6"/>
  <c r="R69" i="6"/>
  <c r="X69" i="6" s="1"/>
  <c r="R70" i="6"/>
  <c r="R71" i="6"/>
  <c r="R72" i="6"/>
  <c r="X72" i="6" s="1"/>
  <c r="R73" i="6"/>
  <c r="X73" i="6" s="1"/>
  <c r="R74" i="6"/>
  <c r="X74" i="6" s="1"/>
  <c r="R75" i="6"/>
  <c r="X75" i="6" s="1"/>
  <c r="R76" i="6"/>
  <c r="R77" i="6"/>
  <c r="R78" i="6"/>
  <c r="R79" i="6"/>
  <c r="X79" i="6" s="1"/>
  <c r="R80" i="6"/>
  <c r="R81" i="6"/>
  <c r="X81" i="6" s="1"/>
  <c r="R82" i="6"/>
  <c r="X82" i="6" s="1"/>
  <c r="R83" i="6"/>
  <c r="X83" i="6" s="1"/>
  <c r="R84" i="6"/>
  <c r="R85" i="6"/>
  <c r="R86" i="6"/>
  <c r="X86" i="6" s="1"/>
  <c r="R87" i="6"/>
  <c r="R88" i="6"/>
  <c r="R89" i="6"/>
  <c r="X89" i="6" s="1"/>
  <c r="R90" i="6"/>
  <c r="X90" i="6" s="1"/>
  <c r="R91" i="6"/>
  <c r="X91" i="6" s="1"/>
  <c r="R92" i="6"/>
  <c r="R93" i="6"/>
  <c r="X93" i="6" s="1"/>
  <c r="R94" i="6"/>
  <c r="R95" i="6"/>
  <c r="R96" i="6"/>
  <c r="X96" i="6" s="1"/>
  <c r="R97" i="6"/>
  <c r="F97" i="7" s="1"/>
  <c r="R98" i="6"/>
  <c r="X98" i="6" s="1"/>
  <c r="R99" i="6"/>
  <c r="X99" i="6" s="1"/>
  <c r="R100" i="6"/>
  <c r="X100" i="6" s="1"/>
  <c r="Y100" i="6" s="1"/>
  <c r="R101" i="6"/>
  <c r="R102" i="6"/>
  <c r="R103" i="6"/>
  <c r="X103" i="6" s="1"/>
  <c r="R104" i="6"/>
  <c r="X104" i="6" s="1"/>
  <c r="Y104" i="6" s="1"/>
  <c r="R105" i="6"/>
  <c r="F105" i="7" s="1"/>
  <c r="R106" i="6"/>
  <c r="R107" i="6"/>
  <c r="X107" i="6" s="1"/>
  <c r="R108" i="6"/>
  <c r="X108" i="6" s="1"/>
  <c r="R109" i="6"/>
  <c r="R110" i="6"/>
  <c r="R111" i="6"/>
  <c r="X111" i="6" s="1"/>
  <c r="Y111" i="6" s="1"/>
  <c r="R112" i="6"/>
  <c r="X112" i="6" s="1"/>
  <c r="R113" i="6"/>
  <c r="X113" i="6" s="1"/>
  <c r="R114" i="6"/>
  <c r="X114" i="6" s="1"/>
  <c r="R115" i="6"/>
  <c r="X115" i="6" s="1"/>
  <c r="R116" i="6"/>
  <c r="R117" i="6"/>
  <c r="R118" i="6"/>
  <c r="R119" i="6"/>
  <c r="X119" i="6" s="1"/>
  <c r="Y119" i="6" s="1"/>
  <c r="R120" i="6"/>
  <c r="X120" i="6" s="1"/>
  <c r="R121" i="6"/>
  <c r="X121" i="6" s="1"/>
  <c r="R122" i="6"/>
  <c r="F122" i="7" s="1"/>
  <c r="R123" i="6"/>
  <c r="X123" i="6" s="1"/>
  <c r="R124" i="6"/>
  <c r="R125" i="6"/>
  <c r="R126" i="6"/>
  <c r="R127" i="6"/>
  <c r="R128" i="6"/>
  <c r="X128" i="6" s="1"/>
  <c r="R129" i="6"/>
  <c r="R130" i="6"/>
  <c r="X130" i="6" s="1"/>
  <c r="R131" i="6"/>
  <c r="X131" i="6" s="1"/>
  <c r="R132" i="6"/>
  <c r="R133" i="6"/>
  <c r="R134" i="6"/>
  <c r="R135" i="6"/>
  <c r="X135" i="6" s="1"/>
  <c r="R136" i="6"/>
  <c r="X136" i="6" s="1"/>
  <c r="R137" i="6"/>
  <c r="X137" i="6" s="1"/>
  <c r="R138" i="6"/>
  <c r="X138" i="6" s="1"/>
  <c r="R139" i="6"/>
  <c r="X139" i="6" s="1"/>
  <c r="R140" i="6"/>
  <c r="R141" i="6"/>
  <c r="R142" i="6"/>
  <c r="R143" i="6"/>
  <c r="X143" i="6" s="1"/>
  <c r="R144" i="6"/>
  <c r="R145" i="6"/>
  <c r="X145" i="6" s="1"/>
  <c r="R146" i="6"/>
  <c r="X146" i="6" s="1"/>
  <c r="R147" i="6"/>
  <c r="X147" i="6" s="1"/>
  <c r="R148" i="6"/>
  <c r="R149" i="6"/>
  <c r="X149" i="6" s="1"/>
  <c r="R150" i="6"/>
  <c r="R151" i="6"/>
  <c r="X151" i="6" s="1"/>
  <c r="R152" i="6"/>
  <c r="X152" i="6" s="1"/>
  <c r="R153" i="6"/>
  <c r="X153" i="6" s="1"/>
  <c r="R154" i="6"/>
  <c r="X154" i="6" s="1"/>
  <c r="R155" i="6"/>
  <c r="X155" i="6" s="1"/>
  <c r="R156" i="6"/>
  <c r="R157" i="6"/>
  <c r="X157" i="6" s="1"/>
  <c r="R158" i="6"/>
  <c r="R159" i="6"/>
  <c r="R160" i="6"/>
  <c r="R161" i="6"/>
  <c r="X161" i="6" s="1"/>
  <c r="R162" i="6"/>
  <c r="X162" i="6" s="1"/>
  <c r="R163" i="6"/>
  <c r="X163" i="6" s="1"/>
  <c r="R164" i="6"/>
  <c r="R165" i="6"/>
  <c r="R166" i="6"/>
  <c r="X166" i="6" s="1"/>
  <c r="R167" i="6"/>
  <c r="X167" i="6" s="1"/>
  <c r="R168" i="6"/>
  <c r="X168" i="6" s="1"/>
  <c r="R169" i="6"/>
  <c r="R170" i="6"/>
  <c r="X170" i="6" s="1"/>
  <c r="R171" i="6"/>
  <c r="X171" i="6" s="1"/>
  <c r="R172" i="6"/>
  <c r="X172" i="6" s="1"/>
  <c r="R173" i="6"/>
  <c r="R174" i="6"/>
  <c r="X174" i="6" s="1"/>
  <c r="R175" i="6"/>
  <c r="X175" i="6" s="1"/>
  <c r="R176" i="6"/>
  <c r="X176" i="6" s="1"/>
  <c r="R177" i="6"/>
  <c r="F177" i="7" s="1"/>
  <c r="R178" i="6"/>
  <c r="X178" i="6" s="1"/>
  <c r="R179" i="6"/>
  <c r="X179" i="6" s="1"/>
  <c r="R180" i="6"/>
  <c r="X180" i="6" s="1"/>
  <c r="R181" i="6"/>
  <c r="R182" i="6"/>
  <c r="X182" i="6" s="1"/>
  <c r="R183" i="6"/>
  <c r="X183" i="6" s="1"/>
  <c r="R184" i="6"/>
  <c r="R185" i="6"/>
  <c r="F185" i="7" s="1"/>
  <c r="R186" i="6"/>
  <c r="X186" i="6" s="1"/>
  <c r="R187" i="6"/>
  <c r="X187" i="6" s="1"/>
  <c r="R188" i="6"/>
  <c r="R189" i="6"/>
  <c r="R190" i="6"/>
  <c r="X190" i="6" s="1"/>
  <c r="R191" i="6"/>
  <c r="R192" i="6"/>
  <c r="X192" i="6" s="1"/>
  <c r="R193" i="6"/>
  <c r="X193" i="6" s="1"/>
  <c r="R194" i="6"/>
  <c r="X194" i="6" s="1"/>
  <c r="R195" i="6"/>
  <c r="X195" i="6" s="1"/>
  <c r="R196" i="6"/>
  <c r="R197" i="6"/>
  <c r="R198" i="6"/>
  <c r="R199" i="6"/>
  <c r="X199" i="6" s="1"/>
  <c r="R200" i="6"/>
  <c r="X200" i="6" s="1"/>
  <c r="R201" i="6"/>
  <c r="X201" i="6" s="1"/>
  <c r="R202" i="6"/>
  <c r="X202" i="6" s="1"/>
  <c r="R203" i="6"/>
  <c r="X203" i="6" s="1"/>
  <c r="R204" i="6"/>
  <c r="R205" i="6"/>
  <c r="X205" i="6" s="1"/>
  <c r="R206" i="6"/>
  <c r="R207" i="6"/>
  <c r="R208" i="6"/>
  <c r="R209" i="6"/>
  <c r="F209" i="7" s="1"/>
  <c r="R210" i="6"/>
  <c r="X210" i="6" s="1"/>
  <c r="R211" i="6"/>
  <c r="X211" i="6" s="1"/>
  <c r="R212" i="6"/>
  <c r="R213" i="6"/>
  <c r="R214" i="6"/>
  <c r="R215" i="6"/>
  <c r="X215" i="6" s="1"/>
  <c r="R216" i="6"/>
  <c r="X216" i="6" s="1"/>
  <c r="R217" i="6"/>
  <c r="X217" i="6" s="1"/>
  <c r="R218" i="6"/>
  <c r="X218" i="6" s="1"/>
  <c r="R219" i="6"/>
  <c r="X219" i="6" s="1"/>
  <c r="R220" i="6"/>
  <c r="R221" i="6"/>
  <c r="X221" i="6" s="1"/>
  <c r="R222" i="6"/>
  <c r="R223" i="6"/>
  <c r="R224" i="6"/>
  <c r="X224" i="6" s="1"/>
  <c r="R225" i="6"/>
  <c r="X225" i="6" s="1"/>
  <c r="R226" i="6"/>
  <c r="X226" i="6" s="1"/>
  <c r="R227" i="6"/>
  <c r="X227" i="6" s="1"/>
  <c r="R228" i="6"/>
  <c r="R229" i="6"/>
  <c r="R230" i="6"/>
  <c r="R231" i="6"/>
  <c r="X231" i="6" s="1"/>
  <c r="R232" i="6"/>
  <c r="X232" i="6" s="1"/>
  <c r="Y232" i="6" s="1"/>
  <c r="R233" i="6"/>
  <c r="F233" i="7" s="1"/>
  <c r="R234" i="6"/>
  <c r="R235" i="6"/>
  <c r="X235" i="6" s="1"/>
  <c r="R236" i="6"/>
  <c r="R237" i="6"/>
  <c r="X237" i="6" s="1"/>
  <c r="R238" i="6"/>
  <c r="X238" i="6" s="1"/>
  <c r="R239" i="6"/>
  <c r="X239" i="6" s="1"/>
  <c r="R240" i="6"/>
  <c r="X240" i="6" s="1"/>
  <c r="R241" i="6"/>
  <c r="R242" i="6"/>
  <c r="X242" i="6" s="1"/>
  <c r="R243" i="6"/>
  <c r="X243" i="6" s="1"/>
  <c r="R244" i="6"/>
  <c r="R245" i="6"/>
  <c r="R246" i="6"/>
  <c r="R247" i="6"/>
  <c r="R11" i="6"/>
  <c r="R12" i="6"/>
  <c r="F12" i="7" s="1"/>
  <c r="R13" i="6"/>
  <c r="X13" i="6" s="1"/>
  <c r="R14" i="6"/>
  <c r="X14" i="6" s="1"/>
  <c r="R15" i="6"/>
  <c r="R16" i="6"/>
  <c r="R5" i="6"/>
  <c r="R6" i="6"/>
  <c r="X6" i="6" s="1"/>
  <c r="R7" i="6"/>
  <c r="R8" i="6"/>
  <c r="R9" i="6"/>
  <c r="X9" i="6" s="1"/>
  <c r="R10" i="6"/>
  <c r="R4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E102" i="7" s="1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E185" i="7" s="1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4" i="6"/>
  <c r="L6" i="6"/>
  <c r="L7" i="6"/>
  <c r="L8" i="6"/>
  <c r="L9" i="6"/>
  <c r="Y9" i="6" s="1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Y73" i="6" s="1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Y204" i="6" s="1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5" i="6"/>
  <c r="L4" i="6"/>
  <c r="K17" i="6"/>
  <c r="K18" i="6"/>
  <c r="K19" i="6"/>
  <c r="K20" i="6"/>
  <c r="K21" i="6"/>
  <c r="K22" i="6"/>
  <c r="K23" i="6"/>
  <c r="K24" i="6"/>
  <c r="G24" i="7" s="1"/>
  <c r="K25" i="6"/>
  <c r="K26" i="6"/>
  <c r="G26" i="7" s="1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G50" i="7" s="1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G72" i="7" s="1"/>
  <c r="K73" i="6"/>
  <c r="K74" i="6"/>
  <c r="K75" i="6"/>
  <c r="K76" i="6"/>
  <c r="K77" i="6"/>
  <c r="K78" i="6"/>
  <c r="K79" i="6"/>
  <c r="K80" i="6"/>
  <c r="G80" i="7" s="1"/>
  <c r="K81" i="6"/>
  <c r="K82" i="6"/>
  <c r="K83" i="6"/>
  <c r="G83" i="7" s="1"/>
  <c r="K84" i="6"/>
  <c r="K85" i="6"/>
  <c r="K86" i="6"/>
  <c r="K87" i="6"/>
  <c r="G87" i="7" s="1"/>
  <c r="K88" i="6"/>
  <c r="K89" i="6"/>
  <c r="K90" i="6"/>
  <c r="K91" i="6"/>
  <c r="K92" i="6"/>
  <c r="K93" i="6"/>
  <c r="K94" i="6"/>
  <c r="K95" i="6"/>
  <c r="K96" i="6"/>
  <c r="K97" i="6"/>
  <c r="K98" i="6"/>
  <c r="K99" i="6"/>
  <c r="G99" i="7" s="1"/>
  <c r="K100" i="6"/>
  <c r="K101" i="6"/>
  <c r="K102" i="6"/>
  <c r="K103" i="6"/>
  <c r="G103" i="7" s="1"/>
  <c r="K104" i="6"/>
  <c r="K105" i="6"/>
  <c r="K106" i="6"/>
  <c r="K107" i="6"/>
  <c r="K108" i="6"/>
  <c r="K109" i="6"/>
  <c r="K110" i="6"/>
  <c r="K111" i="6"/>
  <c r="K112" i="6"/>
  <c r="G112" i="7" s="1"/>
  <c r="K113" i="6"/>
  <c r="K114" i="6"/>
  <c r="K115" i="6"/>
  <c r="K116" i="6"/>
  <c r="K117" i="6"/>
  <c r="K118" i="6"/>
  <c r="K119" i="6"/>
  <c r="K120" i="6"/>
  <c r="K121" i="6"/>
  <c r="K122" i="6"/>
  <c r="G122" i="7" s="1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G155" i="7" s="1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G191" i="7" s="1"/>
  <c r="K192" i="6"/>
  <c r="K193" i="6"/>
  <c r="K194" i="6"/>
  <c r="K195" i="6"/>
  <c r="K196" i="6"/>
  <c r="K197" i="6"/>
  <c r="K198" i="6"/>
  <c r="K199" i="6"/>
  <c r="G199" i="7" s="1"/>
  <c r="K200" i="6"/>
  <c r="K201" i="6"/>
  <c r="K202" i="6"/>
  <c r="K203" i="6"/>
  <c r="K204" i="6"/>
  <c r="K205" i="6"/>
  <c r="K206" i="6"/>
  <c r="K207" i="6"/>
  <c r="K208" i="6"/>
  <c r="K209" i="6"/>
  <c r="K210" i="6"/>
  <c r="K211" i="6"/>
  <c r="G211" i="7" s="1"/>
  <c r="K212" i="6"/>
  <c r="K213" i="6"/>
  <c r="K214" i="6"/>
  <c r="K215" i="6"/>
  <c r="G215" i="7" s="1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G232" i="7" s="1"/>
  <c r="K233" i="6"/>
  <c r="K234" i="6"/>
  <c r="K235" i="6"/>
  <c r="K236" i="6"/>
  <c r="K237" i="6"/>
  <c r="K238" i="6"/>
  <c r="K239" i="6"/>
  <c r="K240" i="6"/>
  <c r="G240" i="7" s="1"/>
  <c r="K241" i="6"/>
  <c r="K242" i="6"/>
  <c r="G242" i="7" s="1"/>
  <c r="K243" i="6"/>
  <c r="G243" i="7" s="1"/>
  <c r="K244" i="6"/>
  <c r="K245" i="6"/>
  <c r="K246" i="6"/>
  <c r="K247" i="6"/>
  <c r="K5" i="6"/>
  <c r="K6" i="6"/>
  <c r="K7" i="6"/>
  <c r="K8" i="6"/>
  <c r="G8" i="7" s="1"/>
  <c r="K9" i="6"/>
  <c r="K10" i="6"/>
  <c r="K11" i="6"/>
  <c r="K12" i="6"/>
  <c r="G12" i="7" s="1"/>
  <c r="K13" i="6"/>
  <c r="K14" i="6"/>
  <c r="K15" i="6"/>
  <c r="K16" i="6"/>
  <c r="K4" i="6"/>
  <c r="AA13" i="6"/>
  <c r="A39" i="7" a="1"/>
  <c r="A39" i="7" s="1"/>
  <c r="A153" i="7" a="1"/>
  <c r="A153" i="7" s="1"/>
  <c r="A190" i="7" a="1"/>
  <c r="A190" i="7" s="1"/>
  <c r="A113" i="7" a="1"/>
  <c r="A113" i="7" s="1"/>
  <c r="A121" i="8" s="1"/>
  <c r="A198" i="7" a="1"/>
  <c r="A198" i="7" s="1"/>
  <c r="B198" i="7" s="1"/>
  <c r="A247" i="7" a="1"/>
  <c r="A247" i="7" s="1"/>
  <c r="C247" i="7" s="1"/>
  <c r="C247" i="8" s="1"/>
  <c r="A167" i="7" a="1"/>
  <c r="A167" i="7" s="1"/>
  <c r="A221" i="7" a="1"/>
  <c r="A221" i="7" s="1"/>
  <c r="B221" i="7" s="1"/>
  <c r="A241" i="7" a="1"/>
  <c r="A241" i="7" s="1"/>
  <c r="A173" i="8" s="1"/>
  <c r="A40" i="7" a="1"/>
  <c r="A40" i="7" s="1"/>
  <c r="A230" i="7" a="1"/>
  <c r="A230" i="7" s="1"/>
  <c r="K230" i="7" s="1"/>
  <c r="A8" i="7" a="1"/>
  <c r="A8" i="7" s="1"/>
  <c r="A133" i="7" a="1"/>
  <c r="A133" i="7"/>
  <c r="C133" i="7" s="1"/>
  <c r="C110" i="8" s="1"/>
  <c r="A204" i="7" a="1"/>
  <c r="A204" i="7" s="1"/>
  <c r="D204" i="7" s="1"/>
  <c r="A94" i="7" a="1"/>
  <c r="A94" i="7" s="1"/>
  <c r="A194" i="7" a="1"/>
  <c r="A194" i="7" s="1"/>
  <c r="B194" i="7" s="1"/>
  <c r="A176" i="7" a="1"/>
  <c r="A176" i="7" s="1"/>
  <c r="A145" i="7" a="1"/>
  <c r="A145" i="7" s="1"/>
  <c r="A81" i="7" a="1"/>
  <c r="A81" i="7" s="1"/>
  <c r="M81" i="7" s="1" a="1"/>
  <c r="M81" i="7" s="1"/>
  <c r="A150" i="7" a="1"/>
  <c r="A150" i="7" s="1"/>
  <c r="D150" i="7" s="1"/>
  <c r="A183" i="7" a="1"/>
  <c r="A183" i="7" s="1"/>
  <c r="A114" i="7" a="1"/>
  <c r="A114" i="7" s="1"/>
  <c r="A53" i="7" a="1"/>
  <c r="A53" i="7" s="1"/>
  <c r="A137" i="7" a="1"/>
  <c r="A137" i="7" s="1"/>
  <c r="A216" i="7" a="1"/>
  <c r="A216" i="7" s="1"/>
  <c r="D216" i="7" s="1"/>
  <c r="A191" i="7" a="1"/>
  <c r="A191" i="7" s="1"/>
  <c r="D194" i="7" s="1"/>
  <c r="A205" i="7" a="1"/>
  <c r="A205" i="7" s="1"/>
  <c r="K205" i="7" s="1"/>
  <c r="A179" i="7" a="1"/>
  <c r="A179" i="7" s="1"/>
  <c r="D182" i="7" s="1"/>
  <c r="A156" i="7" a="1"/>
  <c r="A156" i="7" s="1"/>
  <c r="D156" i="7" s="1"/>
  <c r="A49" i="7" a="1"/>
  <c r="A49" i="7" s="1"/>
  <c r="A19" i="7" a="1"/>
  <c r="A19" i="7" s="1"/>
  <c r="A199" i="7" a="1"/>
  <c r="A199" i="7" s="1"/>
  <c r="A178" i="7" a="1"/>
  <c r="A178" i="7" s="1"/>
  <c r="B178" i="7" s="1"/>
  <c r="B156" i="8" s="1"/>
  <c r="A55" i="7" a="1"/>
  <c r="A55" i="7" s="1"/>
  <c r="C55" i="7" s="1"/>
  <c r="C93" i="8" s="1"/>
  <c r="A43" i="7" a="1"/>
  <c r="A43" i="7" s="1"/>
  <c r="A55" i="8" s="1"/>
  <c r="A116" i="7" a="1"/>
  <c r="A116" i="7" s="1"/>
  <c r="B116" i="7" s="1"/>
  <c r="A175" i="7" a="1"/>
  <c r="A175" i="7" s="1"/>
  <c r="A102" i="7" a="1"/>
  <c r="A102" i="7" s="1"/>
  <c r="D102" i="7" s="1"/>
  <c r="A180" i="7" a="1"/>
  <c r="A180" i="7" s="1"/>
  <c r="D180" i="7" s="1"/>
  <c r="E180" i="7" s="1"/>
  <c r="A166" i="7" a="1"/>
  <c r="A166" i="7" s="1"/>
  <c r="B166" i="7" s="1"/>
  <c r="A41" i="7" a="1"/>
  <c r="A41" i="7" s="1"/>
  <c r="A189" i="7" a="1"/>
  <c r="A189" i="7" s="1"/>
  <c r="A174" i="7" a="1"/>
  <c r="A174" i="7" s="1"/>
  <c r="A56" i="7" a="1"/>
  <c r="A56" i="7" s="1"/>
  <c r="D56" i="7" s="1"/>
  <c r="A227" i="7" a="1"/>
  <c r="A227" i="7" s="1"/>
  <c r="A207" i="8" s="1"/>
  <c r="A57" i="7" a="1"/>
  <c r="A57" i="7" s="1"/>
  <c r="D57" i="7" s="1"/>
  <c r="A208" i="7" a="1"/>
  <c r="A208" i="7" s="1"/>
  <c r="D208" i="7" s="1"/>
  <c r="A42" i="7" a="1"/>
  <c r="A42" i="7" s="1"/>
  <c r="C42" i="7" s="1"/>
  <c r="A129" i="7" a="1"/>
  <c r="A129" i="7" s="1"/>
  <c r="A118" i="7" a="1"/>
  <c r="A118" i="7" s="1"/>
  <c r="N118" i="7" s="1" a="1"/>
  <c r="N118" i="7" s="1"/>
  <c r="A181" i="7" a="1"/>
  <c r="A181" i="7"/>
  <c r="C181" i="7" s="1"/>
  <c r="A134" i="7" a="1"/>
  <c r="A134" i="7" s="1"/>
  <c r="B134" i="7"/>
  <c r="A231" i="7" a="1"/>
  <c r="A231" i="7" s="1"/>
  <c r="A188" i="8" s="1"/>
  <c r="A75" i="7" a="1"/>
  <c r="A75" i="7" s="1"/>
  <c r="A229" i="7" a="1"/>
  <c r="A229" i="7" s="1"/>
  <c r="D229" i="7" s="1"/>
  <c r="A161" i="7" a="1"/>
  <c r="A161" i="7" s="1"/>
  <c r="C161" i="7" s="1"/>
  <c r="A96" i="7" a="1"/>
  <c r="A96" i="7" s="1"/>
  <c r="C96" i="7" s="1"/>
  <c r="A97" i="7" a="1"/>
  <c r="A97" i="7"/>
  <c r="M97" i="7" s="1" a="1"/>
  <c r="M97" i="7" s="1"/>
  <c r="A187" i="7" a="1"/>
  <c r="A187" i="7" s="1"/>
  <c r="A4" i="7" a="1"/>
  <c r="A4" i="7" s="1"/>
  <c r="A59" i="7" a="1"/>
  <c r="A59" i="7" s="1"/>
  <c r="A32" i="7" a="1"/>
  <c r="A32" i="7" s="1"/>
  <c r="A246" i="7" a="1"/>
  <c r="A246" i="7" s="1"/>
  <c r="A220" i="7" a="1"/>
  <c r="A220" i="7" s="1"/>
  <c r="F220" i="7" s="1"/>
  <c r="A17" i="7" a="1"/>
  <c r="A17" i="7"/>
  <c r="A130" i="7" a="1"/>
  <c r="A130" i="7" s="1"/>
  <c r="A100" i="7" a="1"/>
  <c r="A100" i="7" s="1"/>
  <c r="A152" i="7" a="1"/>
  <c r="A152" i="7" s="1"/>
  <c r="A27" i="7" a="1"/>
  <c r="A27" i="7" s="1"/>
  <c r="C27" i="7" s="1"/>
  <c r="A165" i="7" a="1"/>
  <c r="A165" i="7" s="1"/>
  <c r="D165" i="7" s="1"/>
  <c r="A120" i="7" a="1"/>
  <c r="A120" i="7" s="1"/>
  <c r="A16" i="8" s="1"/>
  <c r="A15" i="7" a="1"/>
  <c r="A15" i="7" s="1"/>
  <c r="D15" i="7"/>
  <c r="A34" i="7" a="1"/>
  <c r="A34" i="7" s="1"/>
  <c r="F34" i="7" s="1"/>
  <c r="A135" i="7" a="1"/>
  <c r="A135" i="7" s="1"/>
  <c r="A222" i="7" a="1"/>
  <c r="A222" i="7" s="1"/>
  <c r="A132" i="7" a="1"/>
  <c r="A132" i="7" s="1"/>
  <c r="C132" i="7" s="1"/>
  <c r="A121" i="7" a="1"/>
  <c r="A121" i="7" s="1"/>
  <c r="A157" i="7" a="1"/>
  <c r="A157" i="7" s="1"/>
  <c r="A82" i="7" a="1"/>
  <c r="A82" i="7" s="1"/>
  <c r="A50" i="7" a="1"/>
  <c r="A50" i="7" s="1"/>
  <c r="A140" i="7" a="1"/>
  <c r="A140" i="7" s="1"/>
  <c r="F140" i="7" s="1"/>
  <c r="A58" i="7" a="1"/>
  <c r="A58" i="7" s="1"/>
  <c r="B58" i="7" s="1"/>
  <c r="A108" i="7" a="1"/>
  <c r="A108" i="7" s="1"/>
  <c r="A211" i="7" a="1"/>
  <c r="A211" i="7" s="1"/>
  <c r="A52" i="7" a="1"/>
  <c r="A52" i="7" s="1"/>
  <c r="D52" i="7" s="1"/>
  <c r="E52" i="7" s="1"/>
  <c r="A36" i="7" a="1"/>
  <c r="A36" i="7" s="1"/>
  <c r="F36" i="7" s="1"/>
  <c r="A65" i="7" a="1"/>
  <c r="A65" i="7" s="1"/>
  <c r="D65" i="7" s="1"/>
  <c r="A67" i="7" a="1"/>
  <c r="A67" i="7" s="1"/>
  <c r="A89" i="7" a="1"/>
  <c r="A89" i="7" s="1"/>
  <c r="A109" i="8" s="1"/>
  <c r="A128" i="7" a="1"/>
  <c r="A128" i="7" s="1"/>
  <c r="B128" i="7" s="1"/>
  <c r="A149" i="7" a="1"/>
  <c r="A149" i="7" s="1"/>
  <c r="A119" i="7" a="1"/>
  <c r="A119" i="7" s="1"/>
  <c r="A203" i="7" a="1"/>
  <c r="A203" i="7" s="1"/>
  <c r="B203" i="7" s="1"/>
  <c r="A172" i="7" a="1"/>
  <c r="A172" i="7" s="1"/>
  <c r="D172" i="7" s="1"/>
  <c r="E172" i="7" s="1"/>
  <c r="A196" i="7" a="1"/>
  <c r="A196" i="7" s="1"/>
  <c r="A21" i="7" a="1"/>
  <c r="A21" i="7" s="1"/>
  <c r="A23" i="7" a="1"/>
  <c r="A23" i="7" s="1"/>
  <c r="C23" i="7" s="1"/>
  <c r="C82" i="8" s="1"/>
  <c r="A148" i="7" a="1"/>
  <c r="A148" i="7" s="1"/>
  <c r="A99" i="7" a="1"/>
  <c r="A99" i="7" s="1"/>
  <c r="A86" i="7" a="1"/>
  <c r="A86" i="7" s="1"/>
  <c r="A61" i="7" a="1"/>
  <c r="A61" i="7" s="1"/>
  <c r="B61" i="7" s="1"/>
  <c r="A143" i="7" a="1"/>
  <c r="A143" i="7" s="1"/>
  <c r="D143" i="7" s="1"/>
  <c r="A151" i="7" a="1"/>
  <c r="A151" i="7" s="1"/>
  <c r="A243" i="7" a="1"/>
  <c r="A243" i="7" s="1"/>
  <c r="A127" i="7" a="1"/>
  <c r="A127" i="7" s="1"/>
  <c r="M127" i="7" s="1" a="1"/>
  <c r="M127" i="7" s="1"/>
  <c r="A240" i="7" a="1"/>
  <c r="A240" i="7" s="1"/>
  <c r="B240" i="7" s="1"/>
  <c r="A48" i="7" a="1"/>
  <c r="A48" i="7" s="1"/>
  <c r="A105" i="7" a="1"/>
  <c r="A105" i="7" s="1"/>
  <c r="D105" i="7" s="1"/>
  <c r="A168" i="7" a="1"/>
  <c r="A168" i="7" s="1"/>
  <c r="D168" i="7" s="1"/>
  <c r="A197" i="7" a="1"/>
  <c r="A197" i="7" s="1"/>
  <c r="A77" i="7" a="1"/>
  <c r="A77" i="7" s="1"/>
  <c r="A73" i="8" s="1"/>
  <c r="A35" i="7" a="1"/>
  <c r="A35" i="7" s="1"/>
  <c r="A163" i="7" a="1"/>
  <c r="A163" i="7" s="1"/>
  <c r="A5" i="7" a="1"/>
  <c r="A5" i="7" s="1"/>
  <c r="D5" i="7" s="1"/>
  <c r="A200" i="7" a="1"/>
  <c r="A200" i="7" s="1"/>
  <c r="A170" i="7" a="1"/>
  <c r="A170" i="7" s="1"/>
  <c r="A146" i="7" a="1"/>
  <c r="A146" i="7" s="1"/>
  <c r="A78" i="7" a="1"/>
  <c r="A78" i="7" s="1"/>
  <c r="D78" i="7" s="1"/>
  <c r="A155" i="7" a="1"/>
  <c r="A155" i="7" s="1"/>
  <c r="A221" i="8" s="1"/>
  <c r="A74" i="7" a="1"/>
  <c r="A74" i="7" s="1"/>
  <c r="A224" i="7" a="1"/>
  <c r="A224" i="7" s="1"/>
  <c r="A6" i="7" a="1"/>
  <c r="A6" i="7" s="1"/>
  <c r="A72" i="7" a="1"/>
  <c r="A72" i="7" s="1"/>
  <c r="A66" i="7" a="1"/>
  <c r="A66" i="7" s="1"/>
  <c r="A144" i="7" a="1"/>
  <c r="A144" i="7" s="1"/>
  <c r="C144" i="7" s="1"/>
  <c r="A92" i="7" a="1"/>
  <c r="A92" i="7" s="1"/>
  <c r="A96" i="8" s="1"/>
  <c r="A83" i="7" a="1"/>
  <c r="A83" i="7" s="1"/>
  <c r="A154" i="7" a="1"/>
  <c r="A154" i="7" s="1"/>
  <c r="A182" i="7" a="1"/>
  <c r="A182" i="7" s="1"/>
  <c r="A29" i="7" a="1"/>
  <c r="A29" i="7" s="1"/>
  <c r="A144" i="8" s="1"/>
  <c r="A123" i="7" a="1"/>
  <c r="A123" i="7" s="1"/>
  <c r="A22" i="7" a="1"/>
  <c r="A22" i="7" s="1"/>
  <c r="A218" i="7" a="1"/>
  <c r="A218" i="7" s="1"/>
  <c r="B218" i="7" s="1"/>
  <c r="A213" i="7" a="1"/>
  <c r="A213" i="7" s="1"/>
  <c r="K213" i="7" s="1"/>
  <c r="A107" i="7" a="1"/>
  <c r="A107" i="7" s="1"/>
  <c r="D107" i="7" s="1"/>
  <c r="A138" i="7" a="1"/>
  <c r="A138" i="7" s="1"/>
  <c r="D138" i="7" s="1"/>
  <c r="A169" i="7" a="1"/>
  <c r="A169" i="7" s="1"/>
  <c r="A80" i="7" a="1"/>
  <c r="A80" i="7" s="1"/>
  <c r="D80" i="7" s="1"/>
  <c r="A85" i="7" a="1"/>
  <c r="A85" i="7" s="1"/>
  <c r="A245" i="7" a="1"/>
  <c r="A245" i="7" s="1"/>
  <c r="A171" i="7" a="1"/>
  <c r="A171" i="7" s="1"/>
  <c r="A101" i="7" a="1"/>
  <c r="A101" i="7" s="1"/>
  <c r="A206" i="7" a="1"/>
  <c r="A206" i="7" s="1"/>
  <c r="A235" i="7" a="1"/>
  <c r="A235" i="7" s="1"/>
  <c r="A93" i="7" a="1"/>
  <c r="A93" i="7" s="1"/>
  <c r="A160" i="7" a="1"/>
  <c r="A160" i="7" s="1"/>
  <c r="D160" i="7" s="1"/>
  <c r="A76" i="7" a="1"/>
  <c r="A76" i="7" s="1"/>
  <c r="A226" i="7" a="1"/>
  <c r="A226" i="7" s="1"/>
  <c r="C226" i="7" s="1"/>
  <c r="A195" i="7" a="1"/>
  <c r="A195" i="7" s="1"/>
  <c r="A234" i="7" a="1"/>
  <c r="A234" i="7" s="1"/>
  <c r="D234" i="7" s="1"/>
  <c r="A54" i="7" a="1"/>
  <c r="A54" i="7" s="1"/>
  <c r="A71" i="7" a="1"/>
  <c r="A71" i="7" s="1"/>
  <c r="D71" i="7" s="1"/>
  <c r="A209" i="7" a="1"/>
  <c r="A209" i="7" s="1"/>
  <c r="C209" i="7" s="1"/>
  <c r="A131" i="7" a="1"/>
  <c r="A131" i="7" s="1"/>
  <c r="A76" i="8" s="1"/>
  <c r="A201" i="7" a="1"/>
  <c r="A201" i="7" s="1"/>
  <c r="A25" i="7" a="1"/>
  <c r="A25" i="7" s="1"/>
  <c r="A239" i="7" a="1"/>
  <c r="A239" i="7" s="1"/>
  <c r="G239" i="7" s="1"/>
  <c r="A20" i="7" a="1"/>
  <c r="A20" i="7" s="1"/>
  <c r="C20" i="7" s="1"/>
  <c r="C17" i="8" s="1"/>
  <c r="A139" i="7" a="1"/>
  <c r="A139" i="7" s="1"/>
  <c r="A98" i="7" a="1"/>
  <c r="A98" i="7" s="1"/>
  <c r="C98" i="7" s="1"/>
  <c r="A215" i="7" a="1"/>
  <c r="A215" i="7" s="1"/>
  <c r="C215" i="7" s="1"/>
  <c r="A30" i="7" a="1"/>
  <c r="A30" i="7" s="1"/>
  <c r="D30" i="7" s="1"/>
  <c r="A91" i="7" a="1"/>
  <c r="A91" i="7" s="1"/>
  <c r="A13" i="7" a="1"/>
  <c r="A13" i="7" s="1"/>
  <c r="A10" i="7" a="1"/>
  <c r="A10" i="7" s="1"/>
  <c r="A159" i="7" a="1"/>
  <c r="A159" i="7" s="1"/>
  <c r="A90" i="7" a="1"/>
  <c r="A90" i="7" s="1"/>
  <c r="D93" i="7" s="1"/>
  <c r="A26" i="7" a="1"/>
  <c r="A26" i="7" s="1"/>
  <c r="A9" i="7" a="1"/>
  <c r="A9" i="7" s="1"/>
  <c r="C9" i="7" s="1"/>
  <c r="A7" i="7" a="1"/>
  <c r="A7" i="7" s="1"/>
  <c r="D7" i="7" s="1"/>
  <c r="A236" i="7" a="1"/>
  <c r="A236" i="7" s="1"/>
  <c r="A63" i="7" a="1"/>
  <c r="A63" i="7" s="1"/>
  <c r="A228" i="7" a="1"/>
  <c r="A228" i="7" s="1"/>
  <c r="C228" i="7" s="1"/>
  <c r="C167" i="8" s="1"/>
  <c r="A38" i="7" a="1"/>
  <c r="A38" i="7" s="1"/>
  <c r="A24" i="7" a="1"/>
  <c r="A24" i="7" s="1"/>
  <c r="D24" i="7" s="1"/>
  <c r="A225" i="7" a="1"/>
  <c r="A225" i="7" s="1"/>
  <c r="D225" i="7" s="1"/>
  <c r="E225" i="7" s="1"/>
  <c r="A11" i="7" a="1"/>
  <c r="A11" i="7" s="1"/>
  <c r="D11" i="7" s="1"/>
  <c r="A207" i="7" a="1"/>
  <c r="A207" i="7" s="1"/>
  <c r="A47" i="7" a="1"/>
  <c r="A47" i="7" s="1"/>
  <c r="A124" i="7" a="1"/>
  <c r="A124" i="7" s="1"/>
  <c r="A125" i="7" a="1"/>
  <c r="A125" i="7" s="1"/>
  <c r="D125" i="7" s="1"/>
  <c r="E125" i="7" s="1"/>
  <c r="A188" i="7" a="1"/>
  <c r="A188" i="7" s="1"/>
  <c r="M188" i="7" s="1" a="1"/>
  <c r="M188" i="7" s="1"/>
  <c r="A73" i="7" a="1"/>
  <c r="A73" i="7" s="1"/>
  <c r="A64" i="7" a="1"/>
  <c r="A64" i="7" s="1"/>
  <c r="A31" i="7" a="1"/>
  <c r="A31" i="7" s="1"/>
  <c r="A30" i="8" s="1"/>
  <c r="A136" i="7" a="1"/>
  <c r="A136" i="7" s="1"/>
  <c r="A192" i="7" a="1"/>
  <c r="A192" i="7" s="1"/>
  <c r="A104" i="7" a="1"/>
  <c r="A104" i="7" s="1"/>
  <c r="A115" i="7" a="1"/>
  <c r="A115" i="7" s="1"/>
  <c r="M115" i="7" s="1" a="1"/>
  <c r="M115" i="7" s="1"/>
  <c r="A12" i="7" a="1"/>
  <c r="A12" i="7" s="1"/>
  <c r="D12" i="7" s="1"/>
  <c r="E12" i="7" s="1"/>
  <c r="A117" i="7" a="1"/>
  <c r="A117" i="7" s="1"/>
  <c r="D117" i="7" s="1"/>
  <c r="A112" i="7" a="1"/>
  <c r="A112" i="7" s="1"/>
  <c r="A16" i="7" a="1"/>
  <c r="A16" i="7" s="1"/>
  <c r="A109" i="7" a="1"/>
  <c r="A109" i="7" s="1"/>
  <c r="A141" i="7" a="1"/>
  <c r="A141" i="7" s="1"/>
  <c r="A238" i="7" a="1"/>
  <c r="A238" i="7" s="1"/>
  <c r="C238" i="7" s="1"/>
  <c r="C187" i="8" s="1"/>
  <c r="A70" i="7" a="1"/>
  <c r="A70" i="7" s="1"/>
  <c r="D70" i="7" s="1"/>
  <c r="A233" i="7" a="1"/>
  <c r="A233" i="7" s="1"/>
  <c r="A232" i="7" a="1"/>
  <c r="A232" i="7" s="1"/>
  <c r="A62" i="7" a="1"/>
  <c r="A62" i="7" s="1"/>
  <c r="N62" i="7" s="1" a="1"/>
  <c r="N62" i="7" s="1"/>
  <c r="A219" i="7" a="1"/>
  <c r="A219" i="7" s="1"/>
  <c r="A37" i="7" a="1"/>
  <c r="A37" i="7" s="1"/>
  <c r="A177" i="7" a="1"/>
  <c r="A177" i="7" s="1"/>
  <c r="A68" i="7" a="1"/>
  <c r="A68" i="7" s="1"/>
  <c r="K68" i="7" s="1"/>
  <c r="A126" i="7" a="1"/>
  <c r="A126" i="7" s="1"/>
  <c r="B126" i="7" s="1"/>
  <c r="A223" i="7" a="1"/>
  <c r="A223" i="7" s="1"/>
  <c r="A60" i="7" a="1"/>
  <c r="A60" i="7"/>
  <c r="A103" i="7" a="1"/>
  <c r="A103" i="7" s="1"/>
  <c r="D103" i="7" s="1"/>
  <c r="A210" i="7" a="1"/>
  <c r="A210" i="7" s="1"/>
  <c r="A162" i="7" a="1"/>
  <c r="A162" i="7" s="1"/>
  <c r="D162" i="7" s="1"/>
  <c r="A202" i="7" a="1"/>
  <c r="A202" i="7" s="1"/>
  <c r="D202" i="7" s="1"/>
  <c r="A14" i="7" a="1"/>
  <c r="A14" i="7" s="1"/>
  <c r="B14" i="7" s="1"/>
  <c r="A33" i="7" a="1"/>
  <c r="A33" i="7" s="1"/>
  <c r="B33" i="7" s="1"/>
  <c r="A69" i="7" a="1"/>
  <c r="A69" i="7" s="1"/>
  <c r="A46" i="7" a="1"/>
  <c r="A46" i="7" s="1"/>
  <c r="A217" i="7" a="1"/>
  <c r="A217" i="7" s="1"/>
  <c r="A51" i="7" a="1"/>
  <c r="A51" i="7" s="1"/>
  <c r="C51" i="7" s="1"/>
  <c r="A212" i="7" a="1"/>
  <c r="A212" i="7" s="1"/>
  <c r="D215" i="7" s="1"/>
  <c r="A122" i="7" a="1"/>
  <c r="A122" i="7" s="1"/>
  <c r="A184" i="7" a="1"/>
  <c r="A184" i="7" s="1"/>
  <c r="G184" i="7" s="1"/>
  <c r="A28" i="7" a="1"/>
  <c r="A28" i="7" s="1"/>
  <c r="A44" i="7" a="1"/>
  <c r="A44" i="7" s="1"/>
  <c r="A147" i="7" a="1"/>
  <c r="A147" i="7" s="1"/>
  <c r="A18" i="7" a="1"/>
  <c r="A18" i="7" s="1"/>
  <c r="A214" i="7" a="1"/>
  <c r="A214" i="7" s="1"/>
  <c r="A242" i="7" a="1"/>
  <c r="A242" i="7" s="1"/>
  <c r="A87" i="7" a="1"/>
  <c r="A87" i="7" s="1"/>
  <c r="A110" i="7" a="1"/>
  <c r="A110" i="7" s="1"/>
  <c r="B110" i="7" s="1"/>
  <c r="A164" i="7" a="1"/>
  <c r="A164" i="7" s="1"/>
  <c r="A111" i="7" a="1"/>
  <c r="A111" i="7" s="1"/>
  <c r="A142" i="7" a="1"/>
  <c r="A142" i="7" s="1"/>
  <c r="A244" i="7" a="1"/>
  <c r="A244" i="7" s="1"/>
  <c r="D247" i="7" s="1"/>
  <c r="A84" i="7" a="1"/>
  <c r="A84" i="7" s="1"/>
  <c r="C84" i="7" s="1"/>
  <c r="A185" i="7" a="1"/>
  <c r="A185" i="7" s="1"/>
  <c r="D185" i="7" s="1"/>
  <c r="A95" i="7" a="1"/>
  <c r="A95" i="7" s="1"/>
  <c r="A158" i="7" a="1"/>
  <c r="A158" i="7" s="1"/>
  <c r="K158" i="7" s="1"/>
  <c r="A186" i="7" a="1"/>
  <c r="A186" i="7" s="1"/>
  <c r="D186" i="7" s="1"/>
  <c r="A193" i="7" a="1"/>
  <c r="A193" i="7" s="1"/>
  <c r="A106" i="7" a="1"/>
  <c r="A106" i="7" s="1"/>
  <c r="A45" i="7" a="1"/>
  <c r="A45" i="7" s="1"/>
  <c r="M45" i="7" s="1" a="1"/>
  <c r="M45" i="7" s="1"/>
  <c r="A88" i="7" a="1"/>
  <c r="A88" i="7" s="1"/>
  <c r="M88" i="7" s="1" a="1"/>
  <c r="M88" i="7" s="1"/>
  <c r="A79" i="7" a="1"/>
  <c r="A79" i="7" s="1"/>
  <c r="A237" i="7" a="1"/>
  <c r="A237" i="7" s="1"/>
  <c r="A173" i="7" a="1"/>
  <c r="A173" i="7" s="1"/>
  <c r="D173" i="7" s="1"/>
  <c r="E173" i="7" s="1"/>
  <c r="A5" i="11" a="1"/>
  <c r="A5" i="11" s="1"/>
  <c r="G232" i="6" a="1"/>
  <c r="G232" i="6" s="1"/>
  <c r="G112" i="6" a="1"/>
  <c r="G112" i="6" s="1"/>
  <c r="G231" i="6" a="1"/>
  <c r="G231" i="6" s="1"/>
  <c r="G106" i="6" a="1"/>
  <c r="G106" i="6" s="1"/>
  <c r="G101" i="6" a="1"/>
  <c r="G101" i="6" s="1"/>
  <c r="G233" i="6" a="1"/>
  <c r="G233" i="6" s="1"/>
  <c r="G230" i="6" a="1"/>
  <c r="G230" i="6" s="1"/>
  <c r="G184" i="6" a="1"/>
  <c r="G184" i="6" s="1"/>
  <c r="G224" i="6" a="1"/>
  <c r="G224" i="6" s="1"/>
  <c r="G113" i="6" a="1"/>
  <c r="G113" i="6" s="1"/>
  <c r="G214" i="6" a="1"/>
  <c r="G214" i="6" s="1"/>
  <c r="G227" i="6" a="1"/>
  <c r="G227" i="6" s="1"/>
  <c r="G225" i="6" a="1"/>
  <c r="G225" i="6" s="1"/>
  <c r="G223" i="6" a="1"/>
  <c r="G223" i="6" s="1"/>
  <c r="G222" i="6" a="1"/>
  <c r="G222" i="6" s="1"/>
  <c r="G218" i="6" a="1"/>
  <c r="G218" i="6" s="1"/>
  <c r="G241" i="6" a="1"/>
  <c r="G241" i="6" s="1"/>
  <c r="G194" i="6" a="1"/>
  <c r="G194" i="6" s="1"/>
  <c r="G215" i="6" a="1"/>
  <c r="G215" i="6" s="1"/>
  <c r="G160" i="6" a="1"/>
  <c r="G160" i="6" s="1"/>
  <c r="G213" i="6" a="1"/>
  <c r="G213" i="6" s="1"/>
  <c r="G168" i="6" a="1"/>
  <c r="G168" i="6" s="1"/>
  <c r="G121" i="6" a="1"/>
  <c r="G121" i="6" s="1"/>
  <c r="G212" i="6" a="1"/>
  <c r="G212" i="6" s="1"/>
  <c r="G157" i="6" a="1"/>
  <c r="G157" i="6" s="1"/>
  <c r="G155" i="6" a="1"/>
  <c r="G155" i="6" s="1"/>
  <c r="G210" i="6" a="1"/>
  <c r="G210" i="6" s="1"/>
  <c r="G127" i="6" a="1"/>
  <c r="G127" i="6" s="1"/>
  <c r="G114" i="6" a="1"/>
  <c r="G114" i="6" s="1"/>
  <c r="G187" i="6" a="1"/>
  <c r="G187" i="6" s="1"/>
  <c r="G211" i="6" a="1"/>
  <c r="G211" i="6" s="1"/>
  <c r="G205" i="6" a="1"/>
  <c r="G205" i="6" s="1"/>
  <c r="G209" i="6" a="1"/>
  <c r="G209" i="6" s="1"/>
  <c r="G122" i="6" a="1"/>
  <c r="G122" i="6" s="1"/>
  <c r="G204" i="6" a="1"/>
  <c r="G204" i="6" s="1"/>
  <c r="G203" i="6" a="1"/>
  <c r="G203" i="6" s="1"/>
  <c r="G189" i="6" a="1"/>
  <c r="G189" i="6" s="1"/>
  <c r="G228" i="6" a="1"/>
  <c r="G228" i="6" s="1"/>
  <c r="G202" i="6" a="1"/>
  <c r="G202" i="6" s="1"/>
  <c r="G217" i="6" a="1"/>
  <c r="G217" i="6" s="1"/>
  <c r="G198" i="6" a="1"/>
  <c r="G198" i="6" s="1"/>
  <c r="G172" i="6" a="1"/>
  <c r="G172" i="6" s="1"/>
  <c r="G234" i="6" a="1"/>
  <c r="G234" i="6" s="1"/>
  <c r="G196" i="6" a="1"/>
  <c r="G196" i="6" s="1"/>
  <c r="G200" i="6" a="1"/>
  <c r="G200" i="6" s="1"/>
  <c r="G195" i="6" a="1"/>
  <c r="G195" i="6" s="1"/>
  <c r="G240" i="6" a="1"/>
  <c r="G240" i="6" s="1"/>
  <c r="G178" i="6" a="1"/>
  <c r="G178" i="6" s="1"/>
  <c r="G146" i="6" a="1"/>
  <c r="G146" i="6" s="1"/>
  <c r="G243" i="6" a="1"/>
  <c r="G243" i="6" s="1"/>
  <c r="G197" i="6" a="1"/>
  <c r="G197" i="6" s="1"/>
  <c r="G219" i="6" a="1"/>
  <c r="G219" i="6" s="1"/>
  <c r="G176" i="6" a="1"/>
  <c r="G176" i="6" s="1"/>
  <c r="G207" i="6" a="1"/>
  <c r="G207" i="6" s="1"/>
  <c r="G132" i="6" a="1"/>
  <c r="G132" i="6" s="1"/>
  <c r="G170" i="6" a="1"/>
  <c r="G170" i="6" s="1"/>
  <c r="G158" i="6" a="1"/>
  <c r="G158" i="6" s="1"/>
  <c r="G138" i="6" a="1"/>
  <c r="G138" i="6" s="1"/>
  <c r="G143" i="6" a="1"/>
  <c r="G143" i="6" s="1"/>
  <c r="G118" i="6" a="1"/>
  <c r="G118" i="6" s="1"/>
  <c r="G109" i="6" a="1"/>
  <c r="G109" i="6" s="1"/>
  <c r="G191" i="6" a="1"/>
  <c r="G191" i="6" s="1"/>
  <c r="G201" i="6" a="1"/>
  <c r="G201" i="6" s="1"/>
  <c r="G163" i="6" a="1"/>
  <c r="G163" i="6" s="1"/>
  <c r="G161" i="6" a="1"/>
  <c r="G161" i="6" s="1"/>
  <c r="G221" i="6" a="1"/>
  <c r="G221" i="6" s="1"/>
  <c r="G111" i="6" a="1"/>
  <c r="G111" i="6" s="1"/>
  <c r="G115" i="6" a="1"/>
  <c r="G115" i="6" s="1"/>
  <c r="G220" i="6" a="1"/>
  <c r="G220" i="6" s="1"/>
  <c r="G148" i="6" a="1"/>
  <c r="G148" i="6" s="1"/>
  <c r="G190" i="6" a="1"/>
  <c r="G190" i="6" s="1"/>
  <c r="G238" i="6" a="1"/>
  <c r="G238" i="6" s="1"/>
  <c r="G245" i="6" a="1"/>
  <c r="G245" i="6" s="1"/>
  <c r="G133" i="6" a="1"/>
  <c r="G133" i="6" s="1"/>
  <c r="G140" i="6" a="1"/>
  <c r="G140" i="6" s="1"/>
  <c r="G179" i="6" a="1"/>
  <c r="G179" i="6" s="1"/>
  <c r="G239" i="6" a="1"/>
  <c r="G239" i="6" s="1"/>
  <c r="G116" i="6" a="1"/>
  <c r="G116" i="6" s="1"/>
  <c r="G128" i="6" a="1"/>
  <c r="G128" i="6" s="1"/>
  <c r="G229" i="6" a="1"/>
  <c r="G229" i="6" s="1"/>
  <c r="G206" i="6" a="1"/>
  <c r="G206" i="6" s="1"/>
  <c r="G164" i="6" a="1"/>
  <c r="G164" i="6" s="1"/>
  <c r="G169" i="6" a="1"/>
  <c r="G169" i="6" s="1"/>
  <c r="G226" i="6" a="1"/>
  <c r="G226" i="6" s="1"/>
  <c r="G173" i="6" a="1"/>
  <c r="G173" i="6" s="1"/>
  <c r="G236" i="6" a="1"/>
  <c r="G236" i="6" s="1"/>
  <c r="G193" i="6" a="1"/>
  <c r="G193" i="6" s="1"/>
  <c r="G150" i="6" a="1"/>
  <c r="G150" i="6" s="1"/>
  <c r="G151" i="6" a="1"/>
  <c r="G151" i="6" s="1"/>
  <c r="G125" i="6" a="1"/>
  <c r="G125" i="6" s="1"/>
  <c r="G144" i="6" a="1"/>
  <c r="G144" i="6" s="1"/>
  <c r="G126" i="6" a="1"/>
  <c r="G126" i="6" s="1"/>
  <c r="G182" i="6" a="1"/>
  <c r="G182" i="6" s="1"/>
  <c r="G156" i="6" a="1"/>
  <c r="G156" i="6" s="1"/>
  <c r="G175" i="6" a="1"/>
  <c r="G175" i="6" s="1"/>
  <c r="G183" i="6" a="1"/>
  <c r="G183" i="6" s="1"/>
  <c r="G159" i="6" a="1"/>
  <c r="G159" i="6" s="1"/>
  <c r="G180" i="6" a="1"/>
  <c r="G180" i="6" s="1"/>
  <c r="G141" i="6" a="1"/>
  <c r="G141" i="6" s="1"/>
  <c r="G147" i="6" a="1"/>
  <c r="G147" i="6" s="1"/>
  <c r="G149" i="6" a="1"/>
  <c r="G149" i="6" s="1"/>
  <c r="G153" i="6" a="1"/>
  <c r="G153" i="6" s="1"/>
  <c r="G124" i="6" a="1"/>
  <c r="G124" i="6" s="1"/>
  <c r="G171" i="6" a="1"/>
  <c r="G171" i="6" s="1"/>
  <c r="G166" i="6" a="1"/>
  <c r="G166" i="6" s="1"/>
  <c r="G185" i="6" a="1"/>
  <c r="G185" i="6" s="1"/>
  <c r="G110" i="6" a="1"/>
  <c r="G110" i="6" s="1"/>
  <c r="G192" i="6" a="1"/>
  <c r="G192" i="6" s="1"/>
  <c r="G174" i="6" a="1"/>
  <c r="G174" i="6" s="1"/>
  <c r="G117" i="6" a="1"/>
  <c r="G117" i="6" s="1"/>
  <c r="G145" i="6" a="1"/>
  <c r="G145" i="6" s="1"/>
  <c r="G167" i="6" a="1"/>
  <c r="G167" i="6" s="1"/>
  <c r="G134" i="6" a="1"/>
  <c r="G134" i="6" s="1"/>
  <c r="G165" i="6" a="1"/>
  <c r="G165" i="6" s="1"/>
  <c r="G162" i="6" a="1"/>
  <c r="G162" i="6" s="1"/>
  <c r="G181" i="6" a="1"/>
  <c r="G181" i="6" s="1"/>
  <c r="G135" i="6" a="1"/>
  <c r="G135" i="6" s="1"/>
  <c r="G154" i="6" a="1"/>
  <c r="G154" i="6" s="1"/>
  <c r="G119" i="6" a="1"/>
  <c r="G119" i="6" s="1"/>
  <c r="G139" i="6" a="1"/>
  <c r="G139" i="6" s="1"/>
  <c r="G120" i="6" a="1"/>
  <c r="G120" i="6" s="1"/>
  <c r="G131" i="6" a="1"/>
  <c r="G131" i="6" s="1"/>
  <c r="G137" i="6" a="1"/>
  <c r="G137" i="6" s="1"/>
  <c r="G130" i="6" a="1"/>
  <c r="G130" i="6" s="1"/>
  <c r="G129" i="6" a="1"/>
  <c r="G129" i="6" s="1"/>
  <c r="G142" i="6" a="1"/>
  <c r="G142" i="6" s="1"/>
  <c r="G108" i="6" a="1"/>
  <c r="G108" i="6" s="1"/>
  <c r="G186" i="6" a="1"/>
  <c r="G186" i="6" s="1"/>
  <c r="G102" i="6" a="1"/>
  <c r="G102" i="6" s="1"/>
  <c r="G177" i="6" a="1"/>
  <c r="G177" i="6" s="1"/>
  <c r="G104" i="6" a="1"/>
  <c r="G104" i="6" s="1"/>
  <c r="G123" i="6" a="1"/>
  <c r="G123" i="6" s="1"/>
  <c r="G4" i="6" a="1"/>
  <c r="G4" i="6" s="1"/>
  <c r="G5" i="6" a="1"/>
  <c r="G5" i="6" s="1"/>
  <c r="G6" i="6" a="1"/>
  <c r="G6" i="6" s="1"/>
  <c r="G7" i="6" a="1"/>
  <c r="G7" i="6" s="1"/>
  <c r="G8" i="6" a="1"/>
  <c r="G8" i="6" s="1"/>
  <c r="G9" i="6" a="1"/>
  <c r="G9" i="6" s="1"/>
  <c r="G107" i="6" a="1"/>
  <c r="G107" i="6" s="1"/>
  <c r="G188" i="6" a="1"/>
  <c r="G188" i="6" s="1"/>
  <c r="G10" i="6" a="1"/>
  <c r="G10" i="6" s="1"/>
  <c r="G11" i="6" a="1"/>
  <c r="G11" i="6" s="1"/>
  <c r="G12" i="6" a="1"/>
  <c r="G12" i="6" s="1"/>
  <c r="G13" i="6" a="1"/>
  <c r="G13" i="6" s="1"/>
  <c r="G136" i="6" a="1"/>
  <c r="G136" i="6" s="1"/>
  <c r="G14" i="6" a="1"/>
  <c r="G14" i="6" s="1"/>
  <c r="G15" i="6" a="1"/>
  <c r="G15" i="6" s="1"/>
  <c r="G16" i="6" a="1"/>
  <c r="G16" i="6" s="1"/>
  <c r="G17" i="6" a="1"/>
  <c r="G17" i="6" s="1"/>
  <c r="G103" i="6" a="1"/>
  <c r="G103" i="6" s="1"/>
  <c r="G18" i="6" a="1"/>
  <c r="G18" i="6" s="1"/>
  <c r="G19" i="6" a="1"/>
  <c r="G19" i="6" s="1"/>
  <c r="G20" i="6" a="1"/>
  <c r="G20" i="6" s="1"/>
  <c r="G21" i="6" a="1"/>
  <c r="G21" i="6" s="1"/>
  <c r="G22" i="6" a="1"/>
  <c r="G22" i="6" s="1"/>
  <c r="G23" i="6" a="1"/>
  <c r="G23" i="6" s="1"/>
  <c r="G24" i="6" a="1"/>
  <c r="G24" i="6" s="1"/>
  <c r="G25" i="6" a="1"/>
  <c r="G25" i="6" s="1"/>
  <c r="G26" i="6" a="1"/>
  <c r="G26" i="6" s="1"/>
  <c r="G27" i="6" a="1"/>
  <c r="G27" i="6" s="1"/>
  <c r="G28" i="6" a="1"/>
  <c r="G28" i="6" s="1"/>
  <c r="G29" i="6" a="1"/>
  <c r="G29" i="6" s="1"/>
  <c r="G208" i="6" a="1"/>
  <c r="G208" i="6" s="1"/>
  <c r="G30" i="6" a="1"/>
  <c r="G30" i="6" s="1"/>
  <c r="G31" i="6" a="1"/>
  <c r="G31" i="6" s="1"/>
  <c r="G32" i="6" a="1"/>
  <c r="G32" i="6" s="1"/>
  <c r="G33" i="6" a="1"/>
  <c r="G33" i="6" s="1"/>
  <c r="G34" i="6" a="1"/>
  <c r="G34" i="6" s="1"/>
  <c r="G35" i="6" a="1"/>
  <c r="G35" i="6" s="1"/>
  <c r="G36" i="6" a="1"/>
  <c r="G36" i="6" s="1"/>
  <c r="G199" i="6" a="1"/>
  <c r="G199" i="6" s="1"/>
  <c r="G37" i="6" a="1"/>
  <c r="G37" i="6" s="1"/>
  <c r="G38" i="6" a="1"/>
  <c r="G38" i="6" s="1"/>
  <c r="G39" i="6" a="1"/>
  <c r="G39" i="6" s="1"/>
  <c r="G40" i="6" a="1"/>
  <c r="G40" i="6" s="1"/>
  <c r="G41" i="6" a="1"/>
  <c r="G41" i="6" s="1"/>
  <c r="G42" i="6" a="1"/>
  <c r="G42" i="6" s="1"/>
  <c r="G43" i="6" a="1"/>
  <c r="G43" i="6" s="1"/>
  <c r="G44" i="6" a="1"/>
  <c r="G44" i="6" s="1"/>
  <c r="G45" i="6" a="1"/>
  <c r="G45" i="6" s="1"/>
  <c r="G46" i="6" a="1"/>
  <c r="G46" i="6" s="1"/>
  <c r="G47" i="6" a="1"/>
  <c r="G47" i="6" s="1"/>
  <c r="G48" i="6" a="1"/>
  <c r="G48" i="6" s="1"/>
  <c r="G49" i="6" a="1"/>
  <c r="G49" i="6" s="1"/>
  <c r="G50" i="6" a="1"/>
  <c r="G50" i="6" s="1"/>
  <c r="G51" i="6" a="1"/>
  <c r="G51" i="6" s="1"/>
  <c r="G52" i="6" a="1"/>
  <c r="G52" i="6" s="1"/>
  <c r="G53" i="6" a="1"/>
  <c r="G53" i="6" s="1"/>
  <c r="G54" i="6" a="1"/>
  <c r="G54" i="6" s="1"/>
  <c r="G55" i="6" a="1"/>
  <c r="G55" i="6" s="1"/>
  <c r="G56" i="6" a="1"/>
  <c r="G56" i="6" s="1"/>
  <c r="G57" i="6" a="1"/>
  <c r="G57" i="6" s="1"/>
  <c r="G58" i="6" a="1"/>
  <c r="G58" i="6" s="1"/>
  <c r="G59" i="6" a="1"/>
  <c r="G59" i="6" s="1"/>
  <c r="G60" i="6" a="1"/>
  <c r="G60" i="6" s="1"/>
  <c r="G61" i="6" a="1"/>
  <c r="G61" i="6" s="1"/>
  <c r="G62" i="6" a="1"/>
  <c r="G62" i="6" s="1"/>
  <c r="G63" i="6" a="1"/>
  <c r="G63" i="6" s="1"/>
  <c r="G64" i="6" a="1"/>
  <c r="G64" i="6" s="1"/>
  <c r="G65" i="6" a="1"/>
  <c r="G65" i="6" s="1"/>
  <c r="G66" i="6" a="1"/>
  <c r="G66" i="6" s="1"/>
  <c r="G67" i="6" a="1"/>
  <c r="G67" i="6" s="1"/>
  <c r="G68" i="6" a="1"/>
  <c r="G68" i="6" s="1"/>
  <c r="G69" i="6" a="1"/>
  <c r="G69" i="6" s="1"/>
  <c r="G70" i="6" a="1"/>
  <c r="G70" i="6" s="1"/>
  <c r="G71" i="6" a="1"/>
  <c r="G71" i="6" s="1"/>
  <c r="G72" i="6" a="1"/>
  <c r="G72" i="6" s="1"/>
  <c r="G73" i="6" a="1"/>
  <c r="G73" i="6" s="1"/>
  <c r="G74" i="6" a="1"/>
  <c r="G74" i="6" s="1"/>
  <c r="G75" i="6" a="1"/>
  <c r="G75" i="6" s="1"/>
  <c r="G76" i="6" a="1"/>
  <c r="G76" i="6" s="1"/>
  <c r="G77" i="6" a="1"/>
  <c r="G77" i="6" s="1"/>
  <c r="G78" i="6" a="1"/>
  <c r="G78" i="6" s="1"/>
  <c r="G79" i="6" a="1"/>
  <c r="G79" i="6" s="1"/>
  <c r="G80" i="6" a="1"/>
  <c r="G80" i="6" s="1"/>
  <c r="G81" i="6" a="1"/>
  <c r="G81" i="6" s="1"/>
  <c r="G82" i="6" a="1"/>
  <c r="G82" i="6" s="1"/>
  <c r="G83" i="6" a="1"/>
  <c r="G83" i="6" s="1"/>
  <c r="G84" i="6" a="1"/>
  <c r="G84" i="6" s="1"/>
  <c r="G85" i="6" a="1"/>
  <c r="G85" i="6" s="1"/>
  <c r="G86" i="6" a="1"/>
  <c r="G86" i="6" s="1"/>
  <c r="G87" i="6" a="1"/>
  <c r="G87" i="6" s="1"/>
  <c r="G88" i="6" a="1"/>
  <c r="G88" i="6" s="1"/>
  <c r="G89" i="6" a="1"/>
  <c r="G89" i="6" s="1"/>
  <c r="G90" i="6" a="1"/>
  <c r="G90" i="6" s="1"/>
  <c r="G91" i="6" a="1"/>
  <c r="G91" i="6" s="1"/>
  <c r="G92" i="6" a="1"/>
  <c r="G92" i="6" s="1"/>
  <c r="G93" i="6" a="1"/>
  <c r="G93" i="6" s="1"/>
  <c r="G94" i="6" a="1"/>
  <c r="G94" i="6" s="1"/>
  <c r="G95" i="6" a="1"/>
  <c r="G95" i="6" s="1"/>
  <c r="G96" i="6" a="1"/>
  <c r="G96" i="6" s="1"/>
  <c r="G97" i="6" a="1"/>
  <c r="G97" i="6" s="1"/>
  <c r="G98" i="6" a="1"/>
  <c r="G98" i="6" s="1"/>
  <c r="G99" i="6" a="1"/>
  <c r="G99" i="6" s="1"/>
  <c r="G100" i="6" a="1"/>
  <c r="G100" i="6" s="1"/>
  <c r="G246" i="6" a="1"/>
  <c r="G246" i="6" s="1"/>
  <c r="G105" i="6" a="1"/>
  <c r="G105" i="6" s="1"/>
  <c r="G244" i="6" a="1"/>
  <c r="G244" i="6" s="1"/>
  <c r="G242" i="6" a="1"/>
  <c r="G242" i="6" s="1"/>
  <c r="G216" i="6" a="1"/>
  <c r="G216" i="6" s="1"/>
  <c r="G152" i="6" a="1"/>
  <c r="G152" i="6" s="1"/>
  <c r="G235" i="6" a="1"/>
  <c r="G235" i="6" s="1"/>
  <c r="G237" i="6" a="1"/>
  <c r="G237" i="6" s="1"/>
  <c r="G247" i="6" a="1"/>
  <c r="G247" i="6" s="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M17" i="11"/>
  <c r="AA100" i="6"/>
  <c r="O100" i="7" s="1"/>
  <c r="Q100" i="7" s="1"/>
  <c r="Z100" i="6"/>
  <c r="AB100" i="6" s="1"/>
  <c r="V100" i="6"/>
  <c r="T100" i="6"/>
  <c r="S100" i="6"/>
  <c r="P100" i="6"/>
  <c r="AA99" i="6"/>
  <c r="AC99" i="6" s="1"/>
  <c r="Z99" i="6"/>
  <c r="AB99" i="6" s="1"/>
  <c r="V99" i="6"/>
  <c r="T99" i="6"/>
  <c r="S99" i="6"/>
  <c r="P99" i="6"/>
  <c r="AA98" i="6"/>
  <c r="Z98" i="6"/>
  <c r="AB98" i="6" s="1"/>
  <c r="V98" i="6"/>
  <c r="J98" i="7" s="1"/>
  <c r="F14" i="8" s="1"/>
  <c r="T98" i="6"/>
  <c r="S98" i="6"/>
  <c r="P98" i="6"/>
  <c r="AA97" i="6"/>
  <c r="AC97" i="6" s="1"/>
  <c r="Z97" i="6"/>
  <c r="AB97" i="6" s="1"/>
  <c r="V97" i="6"/>
  <c r="J97" i="7" s="1"/>
  <c r="F13" i="8" s="1"/>
  <c r="T97" i="6"/>
  <c r="S97" i="6"/>
  <c r="P97" i="6"/>
  <c r="AA96" i="6"/>
  <c r="AD96" i="6" s="1"/>
  <c r="Z96" i="6"/>
  <c r="AB96" i="6" s="1"/>
  <c r="V96" i="6"/>
  <c r="T96" i="6"/>
  <c r="S96" i="6"/>
  <c r="P96" i="6"/>
  <c r="AA95" i="6"/>
  <c r="Z95" i="6"/>
  <c r="AB95" i="6" s="1"/>
  <c r="V95" i="6"/>
  <c r="T95" i="6"/>
  <c r="S95" i="6"/>
  <c r="P95" i="6"/>
  <c r="AA94" i="6"/>
  <c r="AD94" i="6" s="1"/>
  <c r="Z94" i="6"/>
  <c r="AB94" i="6" s="1"/>
  <c r="V94" i="6"/>
  <c r="T94" i="6"/>
  <c r="S94" i="6"/>
  <c r="U94" i="6" s="1"/>
  <c r="P94" i="6"/>
  <c r="AA93" i="6"/>
  <c r="AC93" i="6" s="1"/>
  <c r="Z93" i="6"/>
  <c r="AB93" i="6" s="1"/>
  <c r="V93" i="6"/>
  <c r="T93" i="6"/>
  <c r="S93" i="6"/>
  <c r="P93" i="6"/>
  <c r="AA92" i="6"/>
  <c r="Z92" i="6"/>
  <c r="V92" i="6"/>
  <c r="T92" i="6"/>
  <c r="S92" i="6"/>
  <c r="P92" i="6"/>
  <c r="AA91" i="6"/>
  <c r="O91" i="7" s="1"/>
  <c r="R91" i="7" s="1"/>
  <c r="Z91" i="6"/>
  <c r="AB91" i="6"/>
  <c r="V91" i="6"/>
  <c r="AE91" i="6" s="1"/>
  <c r="T91" i="6"/>
  <c r="S91" i="6"/>
  <c r="P91" i="6"/>
  <c r="AA90" i="6"/>
  <c r="O90" i="7" s="1"/>
  <c r="R90" i="7" s="1"/>
  <c r="Z90" i="6"/>
  <c r="V90" i="6"/>
  <c r="AE90" i="6" s="1"/>
  <c r="T90" i="6"/>
  <c r="S90" i="6"/>
  <c r="P90" i="6"/>
  <c r="AA89" i="6"/>
  <c r="AD89" i="6" s="1"/>
  <c r="Z89" i="6"/>
  <c r="AB89" i="6" s="1"/>
  <c r="V89" i="6"/>
  <c r="T89" i="6"/>
  <c r="S89" i="6"/>
  <c r="P89" i="6"/>
  <c r="AA88" i="6"/>
  <c r="AC88" i="6" s="1"/>
  <c r="Z88" i="6"/>
  <c r="V88" i="6"/>
  <c r="T88" i="6"/>
  <c r="S88" i="6"/>
  <c r="P88" i="6"/>
  <c r="AA87" i="6"/>
  <c r="Z87" i="6"/>
  <c r="AB87" i="6" s="1"/>
  <c r="V87" i="6"/>
  <c r="T87" i="6"/>
  <c r="S87" i="6"/>
  <c r="U87" i="6" s="1"/>
  <c r="P87" i="6"/>
  <c r="AA86" i="6"/>
  <c r="O86" i="7" s="1"/>
  <c r="Z86" i="6"/>
  <c r="AB86" i="6" s="1"/>
  <c r="V86" i="6"/>
  <c r="W86" i="6" s="1"/>
  <c r="AJ86" i="6" s="1"/>
  <c r="T86" i="6"/>
  <c r="S86" i="6"/>
  <c r="P86" i="6"/>
  <c r="AA85" i="6"/>
  <c r="Z85" i="6"/>
  <c r="AB85" i="6" s="1"/>
  <c r="V85" i="6"/>
  <c r="W85" i="6" s="1"/>
  <c r="AJ85" i="6" s="1"/>
  <c r="T85" i="6"/>
  <c r="S85" i="6"/>
  <c r="P85" i="6"/>
  <c r="AA84" i="6"/>
  <c r="AD84" i="6" s="1"/>
  <c r="Z84" i="6"/>
  <c r="AB84" i="6" s="1"/>
  <c r="V84" i="6"/>
  <c r="AE84" i="6" s="1"/>
  <c r="T84" i="6"/>
  <c r="S84" i="6"/>
  <c r="P84" i="6"/>
  <c r="AA83" i="6"/>
  <c r="AD83" i="6" s="1"/>
  <c r="AC83" i="6"/>
  <c r="Z83" i="6"/>
  <c r="AB83" i="6" s="1"/>
  <c r="V83" i="6"/>
  <c r="T83" i="6"/>
  <c r="S83" i="6"/>
  <c r="P83" i="6"/>
  <c r="AA82" i="6"/>
  <c r="Z82" i="6"/>
  <c r="V82" i="6"/>
  <c r="J82" i="7" s="1"/>
  <c r="F85" i="8" s="1"/>
  <c r="T82" i="6"/>
  <c r="S82" i="6"/>
  <c r="P82" i="6"/>
  <c r="AA81" i="6"/>
  <c r="AD81" i="6" s="1"/>
  <c r="Z81" i="6"/>
  <c r="AB81" i="6" s="1"/>
  <c r="V81" i="6"/>
  <c r="J81" i="7" s="1"/>
  <c r="F77" i="8" s="1"/>
  <c r="T81" i="6"/>
  <c r="S81" i="6"/>
  <c r="P81" i="6"/>
  <c r="AA80" i="6"/>
  <c r="Z80" i="6"/>
  <c r="V80" i="6"/>
  <c r="AE80" i="6" s="1"/>
  <c r="AG80" i="6" s="1"/>
  <c r="S80" i="7" s="1"/>
  <c r="T80" i="6"/>
  <c r="S80" i="6"/>
  <c r="P80" i="6"/>
  <c r="AA79" i="6"/>
  <c r="O79" i="7" s="1"/>
  <c r="R79" i="7" s="1"/>
  <c r="Z79" i="6"/>
  <c r="AB79" i="6" s="1"/>
  <c r="V79" i="6"/>
  <c r="J79" i="7" s="1"/>
  <c r="F146" i="8" s="1"/>
  <c r="T79" i="6"/>
  <c r="S79" i="6"/>
  <c r="P79" i="6"/>
  <c r="AA78" i="6"/>
  <c r="Z78" i="6"/>
  <c r="V78" i="6"/>
  <c r="J78" i="7" s="1"/>
  <c r="F48" i="8" s="1"/>
  <c r="T78" i="6"/>
  <c r="S78" i="6"/>
  <c r="P78" i="6"/>
  <c r="AA77" i="6"/>
  <c r="Z77" i="6"/>
  <c r="AB77" i="6" s="1"/>
  <c r="V77" i="6"/>
  <c r="W77" i="6" s="1"/>
  <c r="AJ77" i="6" s="1"/>
  <c r="T77" i="6"/>
  <c r="S77" i="6"/>
  <c r="P77" i="6"/>
  <c r="AA76" i="6"/>
  <c r="AD76" i="6" s="1"/>
  <c r="Z76" i="6"/>
  <c r="V76" i="6"/>
  <c r="W76" i="6" s="1"/>
  <c r="AJ76" i="6" s="1"/>
  <c r="T76" i="6"/>
  <c r="S76" i="6"/>
  <c r="P76" i="6"/>
  <c r="AA75" i="6"/>
  <c r="Z75" i="6"/>
  <c r="AB75" i="6" s="1"/>
  <c r="V75" i="6"/>
  <c r="W75" i="6" s="1"/>
  <c r="AJ75" i="6" s="1"/>
  <c r="T75" i="6"/>
  <c r="S75" i="6"/>
  <c r="P75" i="6"/>
  <c r="AA74" i="6"/>
  <c r="Z74" i="6"/>
  <c r="AB74" i="6" s="1"/>
  <c r="V74" i="6"/>
  <c r="P74" i="6"/>
  <c r="T74" i="6"/>
  <c r="S74" i="6"/>
  <c r="AA73" i="6"/>
  <c r="AD73" i="6" s="1"/>
  <c r="Z73" i="6"/>
  <c r="AB73" i="6" s="1"/>
  <c r="V73" i="6"/>
  <c r="J73" i="7" s="1"/>
  <c r="F100" i="8" s="1"/>
  <c r="T73" i="6"/>
  <c r="S73" i="6"/>
  <c r="P73" i="6"/>
  <c r="AA72" i="6"/>
  <c r="Z72" i="6"/>
  <c r="V72" i="6"/>
  <c r="J72" i="7" s="1"/>
  <c r="F71" i="8" s="1"/>
  <c r="T72" i="6"/>
  <c r="S72" i="6"/>
  <c r="P72" i="6"/>
  <c r="AA71" i="6"/>
  <c r="Z71" i="6"/>
  <c r="AB71" i="6" s="1"/>
  <c r="V71" i="6"/>
  <c r="T71" i="6"/>
  <c r="S71" i="6"/>
  <c r="U71" i="6" s="1"/>
  <c r="P71" i="6"/>
  <c r="AA70" i="6"/>
  <c r="Z70" i="6"/>
  <c r="AB70" i="6" s="1"/>
  <c r="V70" i="6"/>
  <c r="J70" i="7" s="1"/>
  <c r="F54" i="8" s="1"/>
  <c r="T70" i="6"/>
  <c r="S70" i="6"/>
  <c r="P70" i="6"/>
  <c r="AA69" i="6"/>
  <c r="Z69" i="6"/>
  <c r="AB69" i="6" s="1"/>
  <c r="V69" i="6"/>
  <c r="T69" i="6"/>
  <c r="S69" i="6"/>
  <c r="P69" i="6"/>
  <c r="AA68" i="6"/>
  <c r="O68" i="7" s="1"/>
  <c r="R68" i="7" s="1"/>
  <c r="Z68" i="6"/>
  <c r="AB68" i="6" s="1"/>
  <c r="V68" i="6"/>
  <c r="J68" i="7" s="1"/>
  <c r="F36" i="8" s="1"/>
  <c r="T68" i="6"/>
  <c r="S68" i="6"/>
  <c r="P68" i="6"/>
  <c r="AA67" i="6"/>
  <c r="AD67" i="6" s="1"/>
  <c r="Z67" i="6"/>
  <c r="AB67" i="6" s="1"/>
  <c r="V67" i="6"/>
  <c r="P67" i="6"/>
  <c r="T67" i="6"/>
  <c r="S67" i="6"/>
  <c r="AA66" i="6"/>
  <c r="AC66" i="6" s="1"/>
  <c r="Z66" i="6"/>
  <c r="V66" i="6"/>
  <c r="AE66" i="6" s="1"/>
  <c r="AF66" i="6" s="1"/>
  <c r="P66" i="6"/>
  <c r="T66" i="6"/>
  <c r="S66" i="6"/>
  <c r="AA65" i="6"/>
  <c r="AC65" i="6" s="1"/>
  <c r="Z65" i="6"/>
  <c r="AB65" i="6" s="1"/>
  <c r="V65" i="6"/>
  <c r="T65" i="6"/>
  <c r="S65" i="6"/>
  <c r="P65" i="6"/>
  <c r="AA64" i="6"/>
  <c r="Z64" i="6"/>
  <c r="AB64" i="6" s="1"/>
  <c r="V64" i="6"/>
  <c r="P64" i="6"/>
  <c r="T64" i="6"/>
  <c r="S64" i="6"/>
  <c r="AA63" i="6"/>
  <c r="AC63" i="6" s="1"/>
  <c r="Z63" i="6"/>
  <c r="AB63" i="6" s="1"/>
  <c r="V63" i="6"/>
  <c r="AE63" i="6" s="1"/>
  <c r="P63" i="6"/>
  <c r="T63" i="6"/>
  <c r="S63" i="6"/>
  <c r="AA62" i="6"/>
  <c r="AD62" i="6" s="1"/>
  <c r="Z62" i="6"/>
  <c r="AB62" i="6" s="1"/>
  <c r="V62" i="6"/>
  <c r="T62" i="6"/>
  <c r="S62" i="6"/>
  <c r="P62" i="6"/>
  <c r="AA61" i="6"/>
  <c r="AC61" i="6" s="1"/>
  <c r="Z61" i="6"/>
  <c r="AB61" i="6" s="1"/>
  <c r="V61" i="6"/>
  <c r="J61" i="7" s="1"/>
  <c r="F34" i="8" s="1"/>
  <c r="T61" i="6"/>
  <c r="S61" i="6"/>
  <c r="P61" i="6"/>
  <c r="AA60" i="6"/>
  <c r="Z60" i="6"/>
  <c r="AB60" i="6" s="1"/>
  <c r="V60" i="6"/>
  <c r="J60" i="7" s="1"/>
  <c r="F59" i="8" s="1"/>
  <c r="T60" i="6"/>
  <c r="S60" i="6"/>
  <c r="P60" i="6"/>
  <c r="AA59" i="6"/>
  <c r="Z59" i="6"/>
  <c r="AB59" i="6" s="1"/>
  <c r="V59" i="6"/>
  <c r="T59" i="6"/>
  <c r="S59" i="6"/>
  <c r="P59" i="6"/>
  <c r="AA58" i="6"/>
  <c r="Z58" i="6"/>
  <c r="V58" i="6"/>
  <c r="T58" i="6"/>
  <c r="S58" i="6"/>
  <c r="P58" i="6"/>
  <c r="AB58" i="6" s="1"/>
  <c r="AA57" i="6"/>
  <c r="AD57" i="6" s="1"/>
  <c r="Z57" i="6"/>
  <c r="AB57" i="6"/>
  <c r="V57" i="6"/>
  <c r="J57" i="7" s="1"/>
  <c r="F141" i="8" s="1"/>
  <c r="T57" i="6"/>
  <c r="S57" i="6"/>
  <c r="P57" i="6"/>
  <c r="AA56" i="6"/>
  <c r="Z56" i="6"/>
  <c r="AB56" i="6" s="1"/>
  <c r="V56" i="6"/>
  <c r="T56" i="6"/>
  <c r="S56" i="6"/>
  <c r="P56" i="6"/>
  <c r="AA55" i="6"/>
  <c r="Z55" i="6"/>
  <c r="AB55" i="6" s="1"/>
  <c r="V55" i="6"/>
  <c r="T55" i="6"/>
  <c r="S55" i="6"/>
  <c r="P55" i="6"/>
  <c r="AA54" i="6"/>
  <c r="AD54" i="6" s="1"/>
  <c r="Z54" i="6"/>
  <c r="AB54" i="6" s="1"/>
  <c r="V54" i="6"/>
  <c r="T54" i="6"/>
  <c r="S54" i="6"/>
  <c r="U54" i="6" s="1"/>
  <c r="P54" i="6"/>
  <c r="AA53" i="6"/>
  <c r="AC53" i="6" s="1"/>
  <c r="Z53" i="6"/>
  <c r="AB53" i="6" s="1"/>
  <c r="V53" i="6"/>
  <c r="J53" i="7" s="1"/>
  <c r="F63" i="8" s="1"/>
  <c r="T53" i="6"/>
  <c r="S53" i="6"/>
  <c r="P53" i="6"/>
  <c r="AA52" i="6"/>
  <c r="AC52" i="6" s="1"/>
  <c r="Z52" i="6"/>
  <c r="AB52" i="6" s="1"/>
  <c r="V52" i="6"/>
  <c r="T52" i="6"/>
  <c r="S52" i="6"/>
  <c r="P52" i="6"/>
  <c r="AA51" i="6"/>
  <c r="Z51" i="6"/>
  <c r="V51" i="6"/>
  <c r="W51" i="6" s="1"/>
  <c r="AJ51" i="6" s="1"/>
  <c r="T51" i="6"/>
  <c r="S51" i="6"/>
  <c r="P51" i="6"/>
  <c r="AB51" i="6" s="1"/>
  <c r="AA50" i="6"/>
  <c r="Z50" i="6"/>
  <c r="AB50" i="6" s="1"/>
  <c r="V50" i="6"/>
  <c r="W50" i="6" s="1"/>
  <c r="AJ50" i="6" s="1"/>
  <c r="T50" i="6"/>
  <c r="S50" i="6"/>
  <c r="P50" i="6"/>
  <c r="AA49" i="6"/>
  <c r="Z49" i="6"/>
  <c r="AB49" i="6" s="1"/>
  <c r="V49" i="6"/>
  <c r="T49" i="6"/>
  <c r="S49" i="6"/>
  <c r="P49" i="6"/>
  <c r="AA48" i="6"/>
  <c r="AC48" i="6" s="1"/>
  <c r="Z48" i="6"/>
  <c r="AB48" i="6" s="1"/>
  <c r="V48" i="6"/>
  <c r="T48" i="6"/>
  <c r="S48" i="6"/>
  <c r="P48" i="6"/>
  <c r="AA47" i="6"/>
  <c r="Z47" i="6"/>
  <c r="AB47" i="6" s="1"/>
  <c r="V47" i="6"/>
  <c r="W47" i="6" s="1"/>
  <c r="AJ47" i="6" s="1"/>
  <c r="T47" i="6"/>
  <c r="S47" i="6"/>
  <c r="P47" i="6"/>
  <c r="AA46" i="6"/>
  <c r="Z46" i="6"/>
  <c r="AB46" i="6" s="1"/>
  <c r="V46" i="6"/>
  <c r="J46" i="7" s="1"/>
  <c r="T46" i="6"/>
  <c r="S46" i="6"/>
  <c r="P46" i="6"/>
  <c r="AA45" i="6"/>
  <c r="Z45" i="6"/>
  <c r="AB45" i="6" s="1"/>
  <c r="V45" i="6"/>
  <c r="J45" i="7" s="1"/>
  <c r="F113" i="8" s="1"/>
  <c r="T45" i="6"/>
  <c r="S45" i="6"/>
  <c r="P45" i="6"/>
  <c r="AA44" i="6"/>
  <c r="O44" i="7" s="1"/>
  <c r="Z44" i="6"/>
  <c r="AB44" i="6" s="1"/>
  <c r="V44" i="6"/>
  <c r="W44" i="6" s="1"/>
  <c r="AJ44" i="6" s="1"/>
  <c r="T44" i="6"/>
  <c r="S44" i="6"/>
  <c r="P44" i="6"/>
  <c r="AA43" i="6"/>
  <c r="Z43" i="6"/>
  <c r="AB43" i="6" s="1"/>
  <c r="V43" i="6"/>
  <c r="W43" i="6" s="1"/>
  <c r="AJ43" i="6" s="1"/>
  <c r="T43" i="6"/>
  <c r="S43" i="6"/>
  <c r="P43" i="6"/>
  <c r="AA42" i="6"/>
  <c r="AD42" i="6" s="1"/>
  <c r="Z42" i="6"/>
  <c r="AB42" i="6" s="1"/>
  <c r="V42" i="6"/>
  <c r="AE42" i="6" s="1"/>
  <c r="T42" i="6"/>
  <c r="S42" i="6"/>
  <c r="P42" i="6"/>
  <c r="AA41" i="6"/>
  <c r="Z41" i="6"/>
  <c r="AB41" i="6" s="1"/>
  <c r="V41" i="6"/>
  <c r="AE41" i="6" s="1"/>
  <c r="T41" i="6"/>
  <c r="S41" i="6"/>
  <c r="P41" i="6"/>
  <c r="AA40" i="6"/>
  <c r="Z40" i="6"/>
  <c r="AB40" i="6" s="1"/>
  <c r="V40" i="6"/>
  <c r="T40" i="6"/>
  <c r="S40" i="6"/>
  <c r="P40" i="6"/>
  <c r="AA39" i="6"/>
  <c r="AD39" i="6" s="1"/>
  <c r="Z39" i="6"/>
  <c r="AB39" i="6" s="1"/>
  <c r="V39" i="6"/>
  <c r="T39" i="6"/>
  <c r="S39" i="6"/>
  <c r="P39" i="6"/>
  <c r="AA38" i="6"/>
  <c r="AD38" i="6" s="1"/>
  <c r="Z38" i="6"/>
  <c r="AB38" i="6" s="1"/>
  <c r="V38" i="6"/>
  <c r="T38" i="6"/>
  <c r="S38" i="6"/>
  <c r="P38" i="6"/>
  <c r="AA37" i="6"/>
  <c r="Z37" i="6"/>
  <c r="V37" i="6"/>
  <c r="AE37" i="6" s="1"/>
  <c r="AG37" i="6" s="1"/>
  <c r="T37" i="6"/>
  <c r="S37" i="6"/>
  <c r="P37" i="6"/>
  <c r="AA199" i="6"/>
  <c r="Z199" i="6"/>
  <c r="AB199" i="6" s="1"/>
  <c r="V199" i="6"/>
  <c r="T199" i="6"/>
  <c r="S199" i="6"/>
  <c r="P199" i="6"/>
  <c r="AA36" i="6"/>
  <c r="Z36" i="6"/>
  <c r="V36" i="6"/>
  <c r="T36" i="6"/>
  <c r="S36" i="6"/>
  <c r="P36" i="6"/>
  <c r="AD36" i="6" s="1"/>
  <c r="AA35" i="6"/>
  <c r="Z35" i="6"/>
  <c r="V35" i="6"/>
  <c r="T35" i="6"/>
  <c r="S35" i="6"/>
  <c r="P35" i="6"/>
  <c r="AA34" i="6"/>
  <c r="Z34" i="6"/>
  <c r="AB34" i="6" s="1"/>
  <c r="V34" i="6"/>
  <c r="W34" i="6" s="1"/>
  <c r="AJ34" i="6" s="1"/>
  <c r="T34" i="6"/>
  <c r="S34" i="6"/>
  <c r="P34" i="6"/>
  <c r="AA33" i="6"/>
  <c r="Z33" i="6"/>
  <c r="AB33" i="6" s="1"/>
  <c r="V33" i="6"/>
  <c r="T33" i="6"/>
  <c r="S33" i="6"/>
  <c r="P33" i="6"/>
  <c r="AA32" i="6"/>
  <c r="Z32" i="6"/>
  <c r="AB32" i="6" s="1"/>
  <c r="V32" i="6"/>
  <c r="T32" i="6"/>
  <c r="S32" i="6"/>
  <c r="P32" i="6"/>
  <c r="AA31" i="6"/>
  <c r="AC31" i="6" s="1"/>
  <c r="Z31" i="6"/>
  <c r="AB31" i="6" s="1"/>
  <c r="V31" i="6"/>
  <c r="T31" i="6"/>
  <c r="S31" i="6"/>
  <c r="P31" i="6"/>
  <c r="AA30" i="6"/>
  <c r="AC30" i="6" s="1"/>
  <c r="Z30" i="6"/>
  <c r="AB30" i="6" s="1"/>
  <c r="V30" i="6"/>
  <c r="J30" i="7" s="1"/>
  <c r="F25" i="8" s="1"/>
  <c r="T30" i="6"/>
  <c r="S30" i="6"/>
  <c r="P30" i="6"/>
  <c r="AA208" i="6"/>
  <c r="Z208" i="6"/>
  <c r="V208" i="6"/>
  <c r="J208" i="7" s="1"/>
  <c r="F208" i="8" s="1"/>
  <c r="T208" i="6"/>
  <c r="S208" i="6"/>
  <c r="P208" i="6"/>
  <c r="AB208" i="6" s="1"/>
  <c r="AA29" i="6"/>
  <c r="AD29" i="6" s="1"/>
  <c r="Z29" i="6"/>
  <c r="AB29" i="6" s="1"/>
  <c r="V29" i="6"/>
  <c r="T29" i="6"/>
  <c r="S29" i="6"/>
  <c r="P29" i="6"/>
  <c r="AA28" i="6"/>
  <c r="Z28" i="6"/>
  <c r="V28" i="6"/>
  <c r="J28" i="7" s="1"/>
  <c r="F120" i="8" s="1"/>
  <c r="T28" i="6"/>
  <c r="S28" i="6"/>
  <c r="P28" i="6"/>
  <c r="AA27" i="6"/>
  <c r="O27" i="7" s="1"/>
  <c r="R27" i="7" s="1"/>
  <c r="Z27" i="6"/>
  <c r="V27" i="6"/>
  <c r="T27" i="6"/>
  <c r="S27" i="6"/>
  <c r="P27" i="6"/>
  <c r="AA26" i="6"/>
  <c r="Z26" i="6"/>
  <c r="AB26" i="6" s="1"/>
  <c r="V26" i="6"/>
  <c r="J26" i="7" s="1"/>
  <c r="T26" i="6"/>
  <c r="S26" i="6"/>
  <c r="P26" i="6"/>
  <c r="AD26" i="6" s="1"/>
  <c r="AA25" i="6"/>
  <c r="AD25" i="6" s="1"/>
  <c r="Z25" i="6"/>
  <c r="AB25" i="6" s="1"/>
  <c r="V25" i="6"/>
  <c r="W25" i="6" s="1"/>
  <c r="AJ25" i="6" s="1"/>
  <c r="T25" i="6"/>
  <c r="S25" i="6"/>
  <c r="P25" i="6"/>
  <c r="AA24" i="6"/>
  <c r="Z24" i="6"/>
  <c r="AB24" i="6" s="1"/>
  <c r="V24" i="6"/>
  <c r="AE24" i="6" s="1"/>
  <c r="P24" i="6"/>
  <c r="T24" i="6"/>
  <c r="S24" i="6"/>
  <c r="AA23" i="6"/>
  <c r="AD23" i="6" s="1"/>
  <c r="Z23" i="6"/>
  <c r="V23" i="6"/>
  <c r="T23" i="6"/>
  <c r="S23" i="6"/>
  <c r="P23" i="6"/>
  <c r="AA22" i="6"/>
  <c r="AD22" i="6" s="1"/>
  <c r="Z22" i="6"/>
  <c r="AB22" i="6" s="1"/>
  <c r="V22" i="6"/>
  <c r="AE22" i="6" s="1"/>
  <c r="T22" i="6"/>
  <c r="S22" i="6"/>
  <c r="P22" i="6"/>
  <c r="AA21" i="6"/>
  <c r="Z21" i="6"/>
  <c r="V21" i="6"/>
  <c r="W21" i="6" s="1"/>
  <c r="AJ21" i="6" s="1"/>
  <c r="T21" i="6"/>
  <c r="S21" i="6"/>
  <c r="P21" i="6"/>
  <c r="AA20" i="6"/>
  <c r="AD20" i="6" s="1"/>
  <c r="Z20" i="6"/>
  <c r="AB20" i="6" s="1"/>
  <c r="V20" i="6"/>
  <c r="T20" i="6"/>
  <c r="S20" i="6"/>
  <c r="P20" i="6"/>
  <c r="AA19" i="6"/>
  <c r="Z19" i="6"/>
  <c r="V19" i="6"/>
  <c r="T19" i="6"/>
  <c r="S19" i="6"/>
  <c r="P19" i="6"/>
  <c r="AA18" i="6"/>
  <c r="AC18" i="6" s="1"/>
  <c r="Z18" i="6"/>
  <c r="V18" i="6"/>
  <c r="W18" i="6" s="1"/>
  <c r="AJ18" i="6" s="1"/>
  <c r="T18" i="6"/>
  <c r="S18" i="6"/>
  <c r="P18" i="6"/>
  <c r="AA103" i="6"/>
  <c r="AD103" i="6" s="1"/>
  <c r="Z103" i="6"/>
  <c r="AB103" i="6" s="1"/>
  <c r="V103" i="6"/>
  <c r="T103" i="6"/>
  <c r="S103" i="6"/>
  <c r="P103" i="6"/>
  <c r="AA17" i="6"/>
  <c r="AC17" i="6" s="1"/>
  <c r="Z17" i="6"/>
  <c r="V17" i="6"/>
  <c r="J17" i="7" s="1"/>
  <c r="F42" i="8" s="1"/>
  <c r="T17" i="6"/>
  <c r="S17" i="6"/>
  <c r="P17" i="6"/>
  <c r="AA16" i="6"/>
  <c r="Z16" i="6"/>
  <c r="V16" i="6"/>
  <c r="T16" i="6"/>
  <c r="S16" i="6"/>
  <c r="U16" i="6" s="1"/>
  <c r="P16" i="6"/>
  <c r="AA15" i="6"/>
  <c r="Z15" i="6"/>
  <c r="V15" i="6"/>
  <c r="J15" i="7" s="1"/>
  <c r="F43" i="8" s="1"/>
  <c r="T15" i="6"/>
  <c r="S15" i="6"/>
  <c r="P15" i="6"/>
  <c r="AA14" i="6"/>
  <c r="Z14" i="6"/>
  <c r="V14" i="6"/>
  <c r="T14" i="6"/>
  <c r="S14" i="6"/>
  <c r="P14" i="6"/>
  <c r="AA136" i="6"/>
  <c r="Z136" i="6"/>
  <c r="V136" i="6"/>
  <c r="T136" i="6"/>
  <c r="S136" i="6"/>
  <c r="P136" i="6"/>
  <c r="Z13" i="6"/>
  <c r="V13" i="6"/>
  <c r="T13" i="6"/>
  <c r="S13" i="6"/>
  <c r="P13" i="6"/>
  <c r="AB13" i="6" s="1"/>
  <c r="AA12" i="6"/>
  <c r="Z12" i="6"/>
  <c r="V12" i="6"/>
  <c r="T12" i="6"/>
  <c r="S12" i="6"/>
  <c r="P12" i="6"/>
  <c r="AA11" i="6"/>
  <c r="Z11" i="6"/>
  <c r="AB11" i="6" s="1"/>
  <c r="V11" i="6"/>
  <c r="T11" i="6"/>
  <c r="S11" i="6"/>
  <c r="P11" i="6"/>
  <c r="AA10" i="6"/>
  <c r="AC10" i="6" s="1"/>
  <c r="Z10" i="6"/>
  <c r="AB10" i="6" s="1"/>
  <c r="V10" i="6"/>
  <c r="T10" i="6"/>
  <c r="S10" i="6"/>
  <c r="P10" i="6"/>
  <c r="AA188" i="6"/>
  <c r="Z188" i="6"/>
  <c r="V188" i="6"/>
  <c r="T188" i="6"/>
  <c r="S188" i="6"/>
  <c r="P188" i="6"/>
  <c r="AA107" i="6"/>
  <c r="Z107" i="6"/>
  <c r="V107" i="6"/>
  <c r="T107" i="6"/>
  <c r="S107" i="6"/>
  <c r="P107" i="6"/>
  <c r="AA9" i="6"/>
  <c r="AD9" i="6" s="1"/>
  <c r="Z9" i="6"/>
  <c r="AB9" i="6" s="1"/>
  <c r="V9" i="6"/>
  <c r="T9" i="6"/>
  <c r="S9" i="6"/>
  <c r="P9" i="6"/>
  <c r="AA8" i="6"/>
  <c r="Z8" i="6"/>
  <c r="V8" i="6"/>
  <c r="T8" i="6"/>
  <c r="S8" i="6"/>
  <c r="P8" i="6"/>
  <c r="AA7" i="6"/>
  <c r="Z7" i="6"/>
  <c r="AB7" i="6" s="1"/>
  <c r="V7" i="6"/>
  <c r="T7" i="6"/>
  <c r="S7" i="6"/>
  <c r="P7" i="6"/>
  <c r="AA6" i="6"/>
  <c r="Z6" i="6"/>
  <c r="V6" i="6"/>
  <c r="T6" i="6"/>
  <c r="S6" i="6"/>
  <c r="P6" i="6"/>
  <c r="AA5" i="6"/>
  <c r="Z5" i="6"/>
  <c r="AB5" i="6" s="1"/>
  <c r="V5" i="6"/>
  <c r="T5" i="6"/>
  <c r="S5" i="6"/>
  <c r="P5" i="6"/>
  <c r="AA4" i="6"/>
  <c r="Z4" i="6"/>
  <c r="V4" i="6"/>
  <c r="T4" i="6"/>
  <c r="S4" i="6"/>
  <c r="P4" i="6"/>
  <c r="AA123" i="6"/>
  <c r="AC123" i="6" s="1"/>
  <c r="Z123" i="6"/>
  <c r="P123" i="6"/>
  <c r="V123" i="6"/>
  <c r="T123" i="6"/>
  <c r="S123" i="6"/>
  <c r="AA104" i="6"/>
  <c r="Z104" i="6"/>
  <c r="AB104" i="6" s="1"/>
  <c r="V104" i="6"/>
  <c r="T104" i="6"/>
  <c r="S104" i="6"/>
  <c r="P104" i="6"/>
  <c r="AA177" i="6"/>
  <c r="Z177" i="6"/>
  <c r="V177" i="6"/>
  <c r="J177" i="7" s="1"/>
  <c r="T177" i="6"/>
  <c r="S177" i="6"/>
  <c r="P177" i="6"/>
  <c r="AA102" i="6"/>
  <c r="Z102" i="6"/>
  <c r="AB102" i="6" s="1"/>
  <c r="V102" i="6"/>
  <c r="J102" i="7" s="1"/>
  <c r="F118" i="8" s="1"/>
  <c r="T102" i="6"/>
  <c r="S102" i="6"/>
  <c r="P102" i="6"/>
  <c r="AA186" i="6"/>
  <c r="Z186" i="6"/>
  <c r="AB186" i="6" s="1"/>
  <c r="V186" i="6"/>
  <c r="T186" i="6"/>
  <c r="S186" i="6"/>
  <c r="P186" i="6"/>
  <c r="AA108" i="6"/>
  <c r="Z108" i="6"/>
  <c r="V108" i="6"/>
  <c r="P108" i="6"/>
  <c r="T108" i="6"/>
  <c r="S108" i="6"/>
  <c r="AA142" i="6"/>
  <c r="AD142" i="6" s="1"/>
  <c r="Z142" i="6"/>
  <c r="V142" i="6"/>
  <c r="T142" i="6"/>
  <c r="S142" i="6"/>
  <c r="P142" i="6"/>
  <c r="AA129" i="6"/>
  <c r="AC129" i="6" s="1"/>
  <c r="Z129" i="6"/>
  <c r="V129" i="6"/>
  <c r="T129" i="6"/>
  <c r="S129" i="6"/>
  <c r="P129" i="6"/>
  <c r="AA130" i="6"/>
  <c r="O130" i="7" s="1"/>
  <c r="Z130" i="6"/>
  <c r="V130" i="6"/>
  <c r="T130" i="6"/>
  <c r="S130" i="6"/>
  <c r="P130" i="6"/>
  <c r="AA137" i="6"/>
  <c r="Z137" i="6"/>
  <c r="V137" i="6"/>
  <c r="T137" i="6"/>
  <c r="S137" i="6"/>
  <c r="P137" i="6"/>
  <c r="AA131" i="6"/>
  <c r="Z131" i="6"/>
  <c r="V131" i="6"/>
  <c r="T131" i="6"/>
  <c r="S131" i="6"/>
  <c r="P131" i="6"/>
  <c r="AA120" i="6"/>
  <c r="Z120" i="6"/>
  <c r="AB120" i="6" s="1"/>
  <c r="V120" i="6"/>
  <c r="J120" i="7" s="1"/>
  <c r="F16" i="8" s="1"/>
  <c r="T120" i="6"/>
  <c r="S120" i="6"/>
  <c r="P120" i="6"/>
  <c r="AA139" i="6"/>
  <c r="Z139" i="6"/>
  <c r="AB139" i="6" s="1"/>
  <c r="V139" i="6"/>
  <c r="T139" i="6"/>
  <c r="S139" i="6"/>
  <c r="P139" i="6"/>
  <c r="AA119" i="6"/>
  <c r="Z119" i="6"/>
  <c r="V119" i="6"/>
  <c r="T119" i="6"/>
  <c r="S119" i="6"/>
  <c r="P119" i="6"/>
  <c r="AA154" i="6"/>
  <c r="Z154" i="6"/>
  <c r="V154" i="6"/>
  <c r="J154" i="7" s="1"/>
  <c r="F219" i="8" s="1"/>
  <c r="T154" i="6"/>
  <c r="S154" i="6"/>
  <c r="P154" i="6"/>
  <c r="AA135" i="6"/>
  <c r="AD135" i="6" s="1"/>
  <c r="Z135" i="6"/>
  <c r="AB135" i="6" s="1"/>
  <c r="V135" i="6"/>
  <c r="T135" i="6"/>
  <c r="S135" i="6"/>
  <c r="P135" i="6"/>
  <c r="AA181" i="6"/>
  <c r="Z181" i="6"/>
  <c r="V181" i="6"/>
  <c r="T181" i="6"/>
  <c r="S181" i="6"/>
  <c r="P181" i="6"/>
  <c r="AB181" i="6" s="1"/>
  <c r="AA162" i="6"/>
  <c r="Z162" i="6"/>
  <c r="V162" i="6"/>
  <c r="J162" i="7" s="1"/>
  <c r="T162" i="6"/>
  <c r="S162" i="6"/>
  <c r="P162" i="6"/>
  <c r="AA165" i="6"/>
  <c r="Z165" i="6"/>
  <c r="AB165" i="6" s="1"/>
  <c r="V165" i="6"/>
  <c r="T165" i="6"/>
  <c r="S165" i="6"/>
  <c r="P165" i="6"/>
  <c r="AA134" i="6"/>
  <c r="Z134" i="6"/>
  <c r="V134" i="6"/>
  <c r="T134" i="6"/>
  <c r="S134" i="6"/>
  <c r="P134" i="6"/>
  <c r="AA167" i="6"/>
  <c r="Z167" i="6"/>
  <c r="AB167" i="6" s="1"/>
  <c r="V167" i="6"/>
  <c r="T167" i="6"/>
  <c r="S167" i="6"/>
  <c r="P167" i="6"/>
  <c r="AA145" i="6"/>
  <c r="O145" i="7" s="1"/>
  <c r="Z145" i="6"/>
  <c r="V145" i="6"/>
  <c r="T145" i="6"/>
  <c r="S145" i="6"/>
  <c r="P145" i="6"/>
  <c r="AB145" i="6" s="1"/>
  <c r="AA117" i="6"/>
  <c r="AD117" i="6" s="1"/>
  <c r="Z117" i="6"/>
  <c r="V117" i="6"/>
  <c r="T117" i="6"/>
  <c r="S117" i="6"/>
  <c r="P117" i="6"/>
  <c r="AA174" i="6"/>
  <c r="AD174" i="6" s="1"/>
  <c r="Z174" i="6"/>
  <c r="AB174" i="6" s="1"/>
  <c r="V174" i="6"/>
  <c r="J174" i="7" s="1"/>
  <c r="F163" i="8" s="1"/>
  <c r="T174" i="6"/>
  <c r="S174" i="6"/>
  <c r="P174" i="6"/>
  <c r="AA192" i="6"/>
  <c r="AD192" i="6" s="1"/>
  <c r="Z192" i="6"/>
  <c r="V192" i="6"/>
  <c r="J192" i="7" s="1"/>
  <c r="T192" i="6"/>
  <c r="S192" i="6"/>
  <c r="P192" i="6"/>
  <c r="AA110" i="6"/>
  <c r="AC110" i="6" s="1"/>
  <c r="Z110" i="6"/>
  <c r="AB110" i="6" s="1"/>
  <c r="V110" i="6"/>
  <c r="W110" i="6" s="1"/>
  <c r="AJ110" i="6" s="1"/>
  <c r="T110" i="6"/>
  <c r="S110" i="6"/>
  <c r="P110" i="6"/>
  <c r="AA185" i="6"/>
  <c r="O185" i="7" s="1"/>
  <c r="Z185" i="6"/>
  <c r="V185" i="6"/>
  <c r="J185" i="7" s="1"/>
  <c r="T185" i="6"/>
  <c r="S185" i="6"/>
  <c r="P185" i="6"/>
  <c r="AA166" i="6"/>
  <c r="Z166" i="6"/>
  <c r="V166" i="6"/>
  <c r="T166" i="6"/>
  <c r="S166" i="6"/>
  <c r="P166" i="6"/>
  <c r="AA171" i="6"/>
  <c r="Z171" i="6"/>
  <c r="V171" i="6"/>
  <c r="T171" i="6"/>
  <c r="S171" i="6"/>
  <c r="P171" i="6"/>
  <c r="AA124" i="6"/>
  <c r="O124" i="7" s="1"/>
  <c r="R124" i="7" s="1"/>
  <c r="Z124" i="6"/>
  <c r="AB124" i="6" s="1"/>
  <c r="V124" i="6"/>
  <c r="T124" i="6"/>
  <c r="S124" i="6"/>
  <c r="P124" i="6"/>
  <c r="AA153" i="6"/>
  <c r="O153" i="7" s="1"/>
  <c r="Z153" i="6"/>
  <c r="V153" i="6"/>
  <c r="T153" i="6"/>
  <c r="S153" i="6"/>
  <c r="P153" i="6"/>
  <c r="AA149" i="6"/>
  <c r="AC149" i="6" s="1"/>
  <c r="Z149" i="6"/>
  <c r="V149" i="6"/>
  <c r="T149" i="6"/>
  <c r="S149" i="6"/>
  <c r="P149" i="6"/>
  <c r="AA147" i="6"/>
  <c r="Z147" i="6"/>
  <c r="V147" i="6"/>
  <c r="P147" i="6"/>
  <c r="T147" i="6"/>
  <c r="S147" i="6"/>
  <c r="AA141" i="6"/>
  <c r="Z141" i="6"/>
  <c r="AB141" i="6" s="1"/>
  <c r="V141" i="6"/>
  <c r="P141" i="6"/>
  <c r="T141" i="6"/>
  <c r="S141" i="6"/>
  <c r="U141" i="6" s="1"/>
  <c r="AA180" i="6"/>
  <c r="Z180" i="6"/>
  <c r="V180" i="6"/>
  <c r="T180" i="6"/>
  <c r="S180" i="6"/>
  <c r="P180" i="6"/>
  <c r="AA159" i="6"/>
  <c r="Z159" i="6"/>
  <c r="AB159" i="6" s="1"/>
  <c r="V159" i="6"/>
  <c r="J159" i="7" s="1"/>
  <c r="T159" i="6"/>
  <c r="S159" i="6"/>
  <c r="P159" i="6"/>
  <c r="AA183" i="6"/>
  <c r="Z183" i="6"/>
  <c r="V183" i="6"/>
  <c r="T183" i="6"/>
  <c r="S183" i="6"/>
  <c r="P183" i="6"/>
  <c r="AA175" i="6"/>
  <c r="Z175" i="6"/>
  <c r="AB175" i="6" s="1"/>
  <c r="V175" i="6"/>
  <c r="J175" i="7" s="1"/>
  <c r="F49" i="8" s="1"/>
  <c r="T175" i="6"/>
  <c r="S175" i="6"/>
  <c r="P175" i="6"/>
  <c r="AA156" i="6"/>
  <c r="O156" i="7" s="1"/>
  <c r="Q156" i="7" s="1"/>
  <c r="Z156" i="6"/>
  <c r="V156" i="6"/>
  <c r="T156" i="6"/>
  <c r="S156" i="6"/>
  <c r="P156" i="6"/>
  <c r="AA182" i="6"/>
  <c r="Z182" i="6"/>
  <c r="AB182" i="6" s="1"/>
  <c r="V182" i="6"/>
  <c r="T182" i="6"/>
  <c r="S182" i="6"/>
  <c r="P182" i="6"/>
  <c r="AA126" i="6"/>
  <c r="AC126" i="6" s="1"/>
  <c r="Z126" i="6"/>
  <c r="AB126" i="6" s="1"/>
  <c r="V126" i="6"/>
  <c r="T126" i="6"/>
  <c r="S126" i="6"/>
  <c r="P126" i="6"/>
  <c r="AA144" i="6"/>
  <c r="Z144" i="6"/>
  <c r="AB144" i="6" s="1"/>
  <c r="V144" i="6"/>
  <c r="T144" i="6"/>
  <c r="S144" i="6"/>
  <c r="U144" i="6" s="1"/>
  <c r="P144" i="6"/>
  <c r="AA125" i="6"/>
  <c r="AD125" i="6" s="1"/>
  <c r="Z125" i="6"/>
  <c r="V125" i="6"/>
  <c r="T125" i="6"/>
  <c r="S125" i="6"/>
  <c r="U125" i="6" s="1"/>
  <c r="P125" i="6"/>
  <c r="AA151" i="6"/>
  <c r="AC151" i="6" s="1"/>
  <c r="Z151" i="6"/>
  <c r="V151" i="6"/>
  <c r="T151" i="6"/>
  <c r="S151" i="6"/>
  <c r="P151" i="6"/>
  <c r="AA150" i="6"/>
  <c r="Z150" i="6"/>
  <c r="V150" i="6"/>
  <c r="T150" i="6"/>
  <c r="S150" i="6"/>
  <c r="P150" i="6"/>
  <c r="AA193" i="6"/>
  <c r="O193" i="7" s="1"/>
  <c r="Z193" i="6"/>
  <c r="V193" i="6"/>
  <c r="T193" i="6"/>
  <c r="S193" i="6"/>
  <c r="P193" i="6"/>
  <c r="AA236" i="6"/>
  <c r="Z236" i="6"/>
  <c r="V236" i="6"/>
  <c r="T236" i="6"/>
  <c r="S236" i="6"/>
  <c r="U236" i="6" s="1"/>
  <c r="P236" i="6"/>
  <c r="AA173" i="6"/>
  <c r="O173" i="7" s="1"/>
  <c r="Z173" i="6"/>
  <c r="V173" i="6"/>
  <c r="T173" i="6"/>
  <c r="S173" i="6"/>
  <c r="P173" i="6"/>
  <c r="AA226" i="6"/>
  <c r="O226" i="7" s="1"/>
  <c r="Z226" i="6"/>
  <c r="V226" i="6"/>
  <c r="J226" i="7" s="1"/>
  <c r="T226" i="6"/>
  <c r="S226" i="6"/>
  <c r="P226" i="6"/>
  <c r="AA169" i="6"/>
  <c r="AC169" i="6" s="1"/>
  <c r="Z169" i="6"/>
  <c r="AB169" i="6" s="1"/>
  <c r="V169" i="6"/>
  <c r="T169" i="6"/>
  <c r="S169" i="6"/>
  <c r="U169" i="6" s="1"/>
  <c r="P169" i="6"/>
  <c r="AA164" i="6"/>
  <c r="Z164" i="6"/>
  <c r="V164" i="6"/>
  <c r="T164" i="6"/>
  <c r="S164" i="6"/>
  <c r="U164" i="6" s="1"/>
  <c r="P164" i="6"/>
  <c r="AA206" i="6"/>
  <c r="AC206" i="6" s="1"/>
  <c r="Z206" i="6"/>
  <c r="V206" i="6"/>
  <c r="T206" i="6"/>
  <c r="S206" i="6"/>
  <c r="P206" i="6"/>
  <c r="AA229" i="6"/>
  <c r="Z229" i="6"/>
  <c r="V229" i="6"/>
  <c r="T229" i="6"/>
  <c r="S229" i="6"/>
  <c r="P229" i="6"/>
  <c r="AA128" i="6"/>
  <c r="O128" i="7" s="1"/>
  <c r="Z128" i="6"/>
  <c r="V128" i="6"/>
  <c r="J128" i="7" s="1"/>
  <c r="F57" i="8" s="1"/>
  <c r="T128" i="6"/>
  <c r="S128" i="6"/>
  <c r="P128" i="6"/>
  <c r="AA116" i="6"/>
  <c r="AC116" i="6" s="1"/>
  <c r="Z116" i="6"/>
  <c r="AB116" i="6" s="1"/>
  <c r="V116" i="6"/>
  <c r="T116" i="6"/>
  <c r="S116" i="6"/>
  <c r="P116" i="6"/>
  <c r="AA239" i="6"/>
  <c r="O239" i="7" s="1"/>
  <c r="Z239" i="6"/>
  <c r="V239" i="6"/>
  <c r="J239" i="7" s="1"/>
  <c r="F205" i="8" s="1"/>
  <c r="T239" i="6"/>
  <c r="S239" i="6"/>
  <c r="P239" i="6"/>
  <c r="AB239" i="6" s="1"/>
  <c r="AA179" i="6"/>
  <c r="Z179" i="6"/>
  <c r="AB179" i="6" s="1"/>
  <c r="V179" i="6"/>
  <c r="T179" i="6"/>
  <c r="S179" i="6"/>
  <c r="P179" i="6"/>
  <c r="AA140" i="6"/>
  <c r="Z140" i="6"/>
  <c r="V140" i="6"/>
  <c r="J140" i="7" s="1"/>
  <c r="F9" i="8" s="1"/>
  <c r="T140" i="6"/>
  <c r="S140" i="6"/>
  <c r="P140" i="6"/>
  <c r="AA133" i="6"/>
  <c r="O133" i="7" s="1"/>
  <c r="Z133" i="6"/>
  <c r="V133" i="6"/>
  <c r="T133" i="6"/>
  <c r="S133" i="6"/>
  <c r="P133" i="6"/>
  <c r="AA245" i="6"/>
  <c r="O245" i="7" s="1"/>
  <c r="Z245" i="6"/>
  <c r="V245" i="6"/>
  <c r="J245" i="7" s="1"/>
  <c r="F245" i="8" s="1"/>
  <c r="T245" i="6"/>
  <c r="S245" i="6"/>
  <c r="P245" i="6"/>
  <c r="AB245" i="6" s="1"/>
  <c r="AA238" i="6"/>
  <c r="AD238" i="6" s="1"/>
  <c r="Z238" i="6"/>
  <c r="V238" i="6"/>
  <c r="T238" i="6"/>
  <c r="S238" i="6"/>
  <c r="P238" i="6"/>
  <c r="AA190" i="6"/>
  <c r="AD190" i="6" s="1"/>
  <c r="Z190" i="6"/>
  <c r="V190" i="6"/>
  <c r="Y190" i="6" s="1"/>
  <c r="T190" i="6"/>
  <c r="S190" i="6"/>
  <c r="P190" i="6"/>
  <c r="AA148" i="6"/>
  <c r="O148" i="7" s="1"/>
  <c r="Z148" i="6"/>
  <c r="V148" i="6"/>
  <c r="T148" i="6"/>
  <c r="S148" i="6"/>
  <c r="P148" i="6"/>
  <c r="AA220" i="6"/>
  <c r="Z220" i="6"/>
  <c r="AB220" i="6" s="1"/>
  <c r="V220" i="6"/>
  <c r="T220" i="6"/>
  <c r="S220" i="6"/>
  <c r="P220" i="6"/>
  <c r="AA115" i="6"/>
  <c r="Z115" i="6"/>
  <c r="AB115" i="6" s="1"/>
  <c r="V115" i="6"/>
  <c r="T115" i="6"/>
  <c r="S115" i="6"/>
  <c r="P115" i="6"/>
  <c r="AA111" i="6"/>
  <c r="AD111" i="6" s="1"/>
  <c r="Z111" i="6"/>
  <c r="AB111" i="6" s="1"/>
  <c r="V111" i="6"/>
  <c r="J111" i="7" s="1"/>
  <c r="F108" i="8" s="1"/>
  <c r="T111" i="6"/>
  <c r="S111" i="6"/>
  <c r="P111" i="6"/>
  <c r="AA221" i="6"/>
  <c r="Z221" i="6"/>
  <c r="AB221" i="6"/>
  <c r="V221" i="6"/>
  <c r="W221" i="6" s="1"/>
  <c r="AJ221" i="6" s="1"/>
  <c r="T221" i="6"/>
  <c r="S221" i="6"/>
  <c r="P221" i="6"/>
  <c r="AA161" i="6"/>
  <c r="AD161" i="6" s="1"/>
  <c r="Z161" i="6"/>
  <c r="P161" i="6"/>
  <c r="V161" i="6"/>
  <c r="T161" i="6"/>
  <c r="S161" i="6"/>
  <c r="AA163" i="6"/>
  <c r="AD163" i="6" s="1"/>
  <c r="Z163" i="6"/>
  <c r="V163" i="6"/>
  <c r="T163" i="6"/>
  <c r="S163" i="6"/>
  <c r="P163" i="6"/>
  <c r="AA201" i="6"/>
  <c r="Z201" i="6"/>
  <c r="V201" i="6"/>
  <c r="T201" i="6"/>
  <c r="S201" i="6"/>
  <c r="P201" i="6"/>
  <c r="AA191" i="6"/>
  <c r="Z191" i="6"/>
  <c r="V191" i="6"/>
  <c r="J191" i="7" s="1"/>
  <c r="T191" i="6"/>
  <c r="S191" i="6"/>
  <c r="P191" i="6"/>
  <c r="AD191" i="6" s="1"/>
  <c r="AA109" i="6"/>
  <c r="P109" i="6"/>
  <c r="AC109" i="6" s="1"/>
  <c r="Z109" i="6"/>
  <c r="V109" i="6"/>
  <c r="T109" i="6"/>
  <c r="S109" i="6"/>
  <c r="AA118" i="6"/>
  <c r="Z118" i="6"/>
  <c r="V118" i="6"/>
  <c r="J118" i="7" s="1"/>
  <c r="F8" i="8" s="1"/>
  <c r="T118" i="6"/>
  <c r="S118" i="6"/>
  <c r="P118" i="6"/>
  <c r="AA143" i="6"/>
  <c r="Z143" i="6"/>
  <c r="V143" i="6"/>
  <c r="T143" i="6"/>
  <c r="S143" i="6"/>
  <c r="P143" i="6"/>
  <c r="AA138" i="6"/>
  <c r="AD138" i="6" s="1"/>
  <c r="Z138" i="6"/>
  <c r="V138" i="6"/>
  <c r="T138" i="6"/>
  <c r="S138" i="6"/>
  <c r="P138" i="6"/>
  <c r="AA158" i="6"/>
  <c r="Z158" i="6"/>
  <c r="V158" i="6"/>
  <c r="T158" i="6"/>
  <c r="S158" i="6"/>
  <c r="P158" i="6"/>
  <c r="AA170" i="6"/>
  <c r="Z170" i="6"/>
  <c r="V170" i="6"/>
  <c r="T170" i="6"/>
  <c r="S170" i="6"/>
  <c r="P170" i="6"/>
  <c r="AB170" i="6" s="1"/>
  <c r="AA132" i="6"/>
  <c r="Z132" i="6"/>
  <c r="AB132" i="6" s="1"/>
  <c r="V132" i="6"/>
  <c r="J132" i="7" s="1"/>
  <c r="T132" i="6"/>
  <c r="S132" i="6"/>
  <c r="P132" i="6"/>
  <c r="AA207" i="6"/>
  <c r="Z207" i="6"/>
  <c r="V207" i="6"/>
  <c r="T207" i="6"/>
  <c r="S207" i="6"/>
  <c r="P207" i="6"/>
  <c r="AD207" i="6" s="1"/>
  <c r="AA176" i="6"/>
  <c r="Z176" i="6"/>
  <c r="V176" i="6"/>
  <c r="T176" i="6"/>
  <c r="S176" i="6"/>
  <c r="P176" i="6"/>
  <c r="AC176" i="6" s="1"/>
  <c r="AA219" i="6"/>
  <c r="Z219" i="6"/>
  <c r="V219" i="6"/>
  <c r="T219" i="6"/>
  <c r="S219" i="6"/>
  <c r="P219" i="6"/>
  <c r="AA197" i="6"/>
  <c r="Z197" i="6"/>
  <c r="V197" i="6"/>
  <c r="T197" i="6"/>
  <c r="S197" i="6"/>
  <c r="P197" i="6"/>
  <c r="AA243" i="6"/>
  <c r="AC243" i="6" s="1"/>
  <c r="AD243" i="6"/>
  <c r="Z243" i="6"/>
  <c r="V243" i="6"/>
  <c r="T243" i="6"/>
  <c r="S243" i="6"/>
  <c r="P243" i="6"/>
  <c r="AA146" i="6"/>
  <c r="Z146" i="6"/>
  <c r="V146" i="6"/>
  <c r="T146" i="6"/>
  <c r="S146" i="6"/>
  <c r="P146" i="6"/>
  <c r="AA178" i="6"/>
  <c r="AD178" i="6" s="1"/>
  <c r="Z178" i="6"/>
  <c r="V178" i="6"/>
  <c r="T178" i="6"/>
  <c r="S178" i="6"/>
  <c r="P178" i="6"/>
  <c r="AA240" i="6"/>
  <c r="AC240" i="6" s="1"/>
  <c r="Z240" i="6"/>
  <c r="V240" i="6"/>
  <c r="AE240" i="6" s="1"/>
  <c r="T240" i="6"/>
  <c r="S240" i="6"/>
  <c r="P240" i="6"/>
  <c r="AA195" i="6"/>
  <c r="O195" i="7" s="1"/>
  <c r="Z195" i="6"/>
  <c r="V195" i="6"/>
  <c r="J195" i="7" s="1"/>
  <c r="F185" i="8" s="1"/>
  <c r="T195" i="6"/>
  <c r="S195" i="6"/>
  <c r="P195" i="6"/>
  <c r="AA200" i="6"/>
  <c r="AD200" i="6" s="1"/>
  <c r="Z200" i="6"/>
  <c r="V200" i="6"/>
  <c r="T200" i="6"/>
  <c r="S200" i="6"/>
  <c r="P200" i="6"/>
  <c r="AA196" i="6"/>
  <c r="AD196" i="6" s="1"/>
  <c r="Z196" i="6"/>
  <c r="V196" i="6"/>
  <c r="T196" i="6"/>
  <c r="S196" i="6"/>
  <c r="P196" i="6"/>
  <c r="AA234" i="6"/>
  <c r="Z234" i="6"/>
  <c r="V234" i="6"/>
  <c r="T234" i="6"/>
  <c r="S234" i="6"/>
  <c r="P234" i="6"/>
  <c r="AA172" i="6"/>
  <c r="O172" i="7" s="1"/>
  <c r="Z172" i="6"/>
  <c r="V172" i="6"/>
  <c r="T172" i="6"/>
  <c r="S172" i="6"/>
  <c r="P172" i="6"/>
  <c r="AA198" i="6"/>
  <c r="AC198" i="6" s="1"/>
  <c r="Z198" i="6"/>
  <c r="V198" i="6"/>
  <c r="T198" i="6"/>
  <c r="S198" i="6"/>
  <c r="P198" i="6"/>
  <c r="AA217" i="6"/>
  <c r="AC217" i="6" s="1"/>
  <c r="Z217" i="6"/>
  <c r="AB217" i="6" s="1"/>
  <c r="V217" i="6"/>
  <c r="T217" i="6"/>
  <c r="S217" i="6"/>
  <c r="P217" i="6"/>
  <c r="AA202" i="6"/>
  <c r="AC202" i="6" s="1"/>
  <c r="Z202" i="6"/>
  <c r="V202" i="6"/>
  <c r="T202" i="6"/>
  <c r="S202" i="6"/>
  <c r="P202" i="6"/>
  <c r="AA228" i="6"/>
  <c r="O228" i="7" s="1"/>
  <c r="Q228" i="7" s="1"/>
  <c r="Z228" i="6"/>
  <c r="AB228" i="6" s="1"/>
  <c r="V228" i="6"/>
  <c r="W228" i="6" s="1"/>
  <c r="AJ228" i="6" s="1"/>
  <c r="T228" i="6"/>
  <c r="S228" i="6"/>
  <c r="P228" i="6"/>
  <c r="AA189" i="6"/>
  <c r="AC189" i="6" s="1"/>
  <c r="Z189" i="6"/>
  <c r="V189" i="6"/>
  <c r="T189" i="6"/>
  <c r="S189" i="6"/>
  <c r="P189" i="6"/>
  <c r="AA203" i="6"/>
  <c r="Z203" i="6"/>
  <c r="V203" i="6"/>
  <c r="J203" i="7" s="1"/>
  <c r="F166" i="8" s="1"/>
  <c r="T203" i="6"/>
  <c r="S203" i="6"/>
  <c r="P203" i="6"/>
  <c r="AA204" i="6"/>
  <c r="Z204" i="6"/>
  <c r="AB204" i="6" s="1"/>
  <c r="V204" i="6"/>
  <c r="T204" i="6"/>
  <c r="S204" i="6"/>
  <c r="P204" i="6"/>
  <c r="AA122" i="6"/>
  <c r="Z122" i="6"/>
  <c r="AB122" i="6" s="1"/>
  <c r="V122" i="6"/>
  <c r="T122" i="6"/>
  <c r="S122" i="6"/>
  <c r="P122" i="6"/>
  <c r="AA209" i="6"/>
  <c r="O209" i="7" s="1"/>
  <c r="Z209" i="6"/>
  <c r="V209" i="6"/>
  <c r="T209" i="6"/>
  <c r="S209" i="6"/>
  <c r="P209" i="6"/>
  <c r="AA205" i="6"/>
  <c r="AD205" i="6" s="1"/>
  <c r="W205" i="6" s="1"/>
  <c r="AJ205" i="6" s="1"/>
  <c r="Z205" i="6"/>
  <c r="AB205" i="6" s="1"/>
  <c r="V205" i="6"/>
  <c r="T205" i="6"/>
  <c r="S205" i="6"/>
  <c r="P205" i="6"/>
  <c r="AA211" i="6"/>
  <c r="O211" i="7" s="1"/>
  <c r="Z211" i="6"/>
  <c r="AB211" i="6" s="1"/>
  <c r="V211" i="6"/>
  <c r="T211" i="6"/>
  <c r="S211" i="6"/>
  <c r="P211" i="6"/>
  <c r="AA187" i="6"/>
  <c r="Z187" i="6"/>
  <c r="V187" i="6"/>
  <c r="J187" i="7" s="1"/>
  <c r="F239" i="8" s="1"/>
  <c r="T187" i="6"/>
  <c r="S187" i="6"/>
  <c r="P187" i="6"/>
  <c r="AA114" i="6"/>
  <c r="O114" i="7" s="1"/>
  <c r="Z114" i="6"/>
  <c r="V114" i="6"/>
  <c r="T114" i="6"/>
  <c r="S114" i="6"/>
  <c r="P114" i="6"/>
  <c r="AA127" i="6"/>
  <c r="Z127" i="6"/>
  <c r="V127" i="6"/>
  <c r="T127" i="6"/>
  <c r="S127" i="6"/>
  <c r="P127" i="6"/>
  <c r="AA210" i="6"/>
  <c r="AC210" i="6" s="1"/>
  <c r="Z210" i="6"/>
  <c r="AB210" i="6" s="1"/>
  <c r="V210" i="6"/>
  <c r="T210" i="6"/>
  <c r="S210" i="6"/>
  <c r="P210" i="6"/>
  <c r="AA155" i="6"/>
  <c r="Z155" i="6"/>
  <c r="V155" i="6"/>
  <c r="J155" i="7" s="1"/>
  <c r="T155" i="6"/>
  <c r="S155" i="6"/>
  <c r="P155" i="6"/>
  <c r="AA157" i="6"/>
  <c r="Z157" i="6"/>
  <c r="AB157" i="6" s="1"/>
  <c r="V157" i="6"/>
  <c r="T157" i="6"/>
  <c r="S157" i="6"/>
  <c r="P157" i="6"/>
  <c r="AA212" i="6"/>
  <c r="Z212" i="6"/>
  <c r="V212" i="6"/>
  <c r="J212" i="7" s="1"/>
  <c r="F161" i="8" s="1"/>
  <c r="T212" i="6"/>
  <c r="S212" i="6"/>
  <c r="P212" i="6"/>
  <c r="AA121" i="6"/>
  <c r="O121" i="7" s="1"/>
  <c r="R121" i="7" s="1"/>
  <c r="P121" i="6"/>
  <c r="Z121" i="6"/>
  <c r="V121" i="6"/>
  <c r="J121" i="7" s="1"/>
  <c r="F105" i="8" s="1"/>
  <c r="T121" i="6"/>
  <c r="S121" i="6"/>
  <c r="AA168" i="6"/>
  <c r="O168" i="7" s="1"/>
  <c r="Q168" i="7" s="1"/>
  <c r="Z168" i="6"/>
  <c r="V168" i="6"/>
  <c r="J168" i="7" s="1"/>
  <c r="F233" i="8" s="1"/>
  <c r="T168" i="6"/>
  <c r="S168" i="6"/>
  <c r="P168" i="6"/>
  <c r="AA213" i="6"/>
  <c r="AD213" i="6" s="1"/>
  <c r="Z213" i="6"/>
  <c r="V213" i="6"/>
  <c r="AE213" i="6" s="1"/>
  <c r="AG213" i="6" s="1"/>
  <c r="T213" i="6"/>
  <c r="S213" i="6"/>
  <c r="P213" i="6"/>
  <c r="AA160" i="6"/>
  <c r="AC160" i="6" s="1"/>
  <c r="Z160" i="6"/>
  <c r="AB160" i="6" s="1"/>
  <c r="V160" i="6"/>
  <c r="T160" i="6"/>
  <c r="S160" i="6"/>
  <c r="P160" i="6"/>
  <c r="AA215" i="6"/>
  <c r="AD215" i="6" s="1"/>
  <c r="Z215" i="6"/>
  <c r="V215" i="6"/>
  <c r="W215" i="6" s="1"/>
  <c r="AJ215" i="6" s="1"/>
  <c r="T215" i="6"/>
  <c r="S215" i="6"/>
  <c r="P215" i="6"/>
  <c r="AA194" i="6"/>
  <c r="AD194" i="6" s="1"/>
  <c r="Z194" i="6"/>
  <c r="V194" i="6"/>
  <c r="AE194" i="6" s="1"/>
  <c r="T194" i="6"/>
  <c r="S194" i="6"/>
  <c r="P194" i="6"/>
  <c r="AA241" i="6"/>
  <c r="AC241" i="6" s="1"/>
  <c r="Z241" i="6"/>
  <c r="AB241" i="6" s="1"/>
  <c r="V241" i="6"/>
  <c r="J241" i="7" s="1"/>
  <c r="F173" i="8" s="1"/>
  <c r="T241" i="6"/>
  <c r="S241" i="6"/>
  <c r="P241" i="6"/>
  <c r="AA218" i="6"/>
  <c r="AD218" i="6" s="1"/>
  <c r="Z218" i="6"/>
  <c r="V218" i="6"/>
  <c r="J218" i="7" s="1"/>
  <c r="F176" i="8" s="1"/>
  <c r="T218" i="6"/>
  <c r="S218" i="6"/>
  <c r="P218" i="6"/>
  <c r="AA222" i="6"/>
  <c r="AD222" i="6" s="1"/>
  <c r="W222" i="6" s="1"/>
  <c r="Z222" i="6"/>
  <c r="V222" i="6"/>
  <c r="T222" i="6"/>
  <c r="S222" i="6"/>
  <c r="P222" i="6"/>
  <c r="AA223" i="6"/>
  <c r="AD223" i="6" s="1"/>
  <c r="Z223" i="6"/>
  <c r="AB223" i="6" s="1"/>
  <c r="V223" i="6"/>
  <c r="J223" i="7" s="1"/>
  <c r="F213" i="8" s="1"/>
  <c r="T223" i="6"/>
  <c r="S223" i="6"/>
  <c r="P223" i="6"/>
  <c r="AA225" i="6"/>
  <c r="Z225" i="6"/>
  <c r="AB225" i="6" s="1"/>
  <c r="V225" i="6"/>
  <c r="J225" i="7" s="1"/>
  <c r="F158" i="8" s="1"/>
  <c r="T225" i="6"/>
  <c r="S225" i="6"/>
  <c r="P225" i="6"/>
  <c r="AA227" i="6"/>
  <c r="Z227" i="6"/>
  <c r="AB227" i="6" s="1"/>
  <c r="V227" i="6"/>
  <c r="AE227" i="6" s="1"/>
  <c r="AF227" i="6" s="1"/>
  <c r="T227" i="6"/>
  <c r="S227" i="6"/>
  <c r="P227" i="6"/>
  <c r="AA214" i="6"/>
  <c r="O214" i="7" s="1"/>
  <c r="R214" i="7" s="1"/>
  <c r="Z214" i="6"/>
  <c r="AB214" i="6" s="1"/>
  <c r="V214" i="6"/>
  <c r="J214" i="7" s="1"/>
  <c r="F178" i="8" s="1"/>
  <c r="T214" i="6"/>
  <c r="S214" i="6"/>
  <c r="P214" i="6"/>
  <c r="AA113" i="6"/>
  <c r="P113" i="6"/>
  <c r="Z113" i="6"/>
  <c r="V113" i="6"/>
  <c r="T113" i="6"/>
  <c r="S113" i="6"/>
  <c r="AA224" i="6"/>
  <c r="AC224" i="6" s="1"/>
  <c r="Z224" i="6"/>
  <c r="AB224" i="6" s="1"/>
  <c r="V224" i="6"/>
  <c r="T224" i="6"/>
  <c r="S224" i="6"/>
  <c r="P224" i="6"/>
  <c r="AA184" i="6"/>
  <c r="AD184" i="6" s="1"/>
  <c r="Z184" i="6"/>
  <c r="V184" i="6"/>
  <c r="T184" i="6"/>
  <c r="S184" i="6"/>
  <c r="P184" i="6"/>
  <c r="AB184" i="6" s="1"/>
  <c r="AA230" i="6"/>
  <c r="AC230" i="6" s="1"/>
  <c r="Z230" i="6"/>
  <c r="V230" i="6"/>
  <c r="T230" i="6"/>
  <c r="S230" i="6"/>
  <c r="P230" i="6"/>
  <c r="AA233" i="6"/>
  <c r="O233" i="7" s="1"/>
  <c r="Z233" i="6"/>
  <c r="V233" i="6"/>
  <c r="T233" i="6"/>
  <c r="S233" i="6"/>
  <c r="P233" i="6"/>
  <c r="AA101" i="6"/>
  <c r="Z101" i="6"/>
  <c r="V101" i="6"/>
  <c r="J101" i="7" s="1"/>
  <c r="F75" i="8" s="1"/>
  <c r="T101" i="6"/>
  <c r="S101" i="6"/>
  <c r="P101" i="6"/>
  <c r="AA106" i="6"/>
  <c r="AD106" i="6" s="1"/>
  <c r="Z106" i="6"/>
  <c r="V106" i="6"/>
  <c r="T106" i="6"/>
  <c r="S106" i="6"/>
  <c r="P106" i="6"/>
  <c r="AB106" i="6" s="1"/>
  <c r="AA231" i="6"/>
  <c r="Z231" i="6"/>
  <c r="V231" i="6"/>
  <c r="T231" i="6"/>
  <c r="S231" i="6"/>
  <c r="P231" i="6"/>
  <c r="AA112" i="6"/>
  <c r="Z112" i="6"/>
  <c r="V112" i="6"/>
  <c r="T112" i="6"/>
  <c r="S112" i="6"/>
  <c r="P112" i="6"/>
  <c r="AB112" i="6" s="1"/>
  <c r="AA232" i="6"/>
  <c r="AD232" i="6" s="1"/>
  <c r="W232" i="6" s="1"/>
  <c r="AE232" i="6" s="1"/>
  <c r="AH232" i="6" s="1"/>
  <c r="Z232" i="6"/>
  <c r="V232" i="6"/>
  <c r="T232" i="6"/>
  <c r="S232" i="6"/>
  <c r="P232" i="6"/>
  <c r="AA237" i="6"/>
  <c r="O237" i="7" s="1"/>
  <c r="Z237" i="6"/>
  <c r="V237" i="6"/>
  <c r="T237" i="6"/>
  <c r="S237" i="6"/>
  <c r="P237" i="6"/>
  <c r="AA235" i="6"/>
  <c r="Z235" i="6"/>
  <c r="V235" i="6"/>
  <c r="J235" i="7" s="1"/>
  <c r="F192" i="8" s="1"/>
  <c r="T235" i="6"/>
  <c r="S235" i="6"/>
  <c r="P235" i="6"/>
  <c r="AB235" i="6" s="1"/>
  <c r="AA152" i="6"/>
  <c r="AD152" i="6" s="1"/>
  <c r="Z152" i="6"/>
  <c r="V152" i="6"/>
  <c r="T152" i="6"/>
  <c r="S152" i="6"/>
  <c r="P152" i="6"/>
  <c r="AA216" i="6"/>
  <c r="Z216" i="6"/>
  <c r="V216" i="6"/>
  <c r="T216" i="6"/>
  <c r="S216" i="6"/>
  <c r="P216" i="6"/>
  <c r="AA242" i="6"/>
  <c r="Z242" i="6"/>
  <c r="V242" i="6"/>
  <c r="T242" i="6"/>
  <c r="S242" i="6"/>
  <c r="P242" i="6"/>
  <c r="AA244" i="6"/>
  <c r="O244" i="7" s="1"/>
  <c r="Q244" i="7" s="1"/>
  <c r="Z244" i="6"/>
  <c r="V244" i="6"/>
  <c r="T244" i="6"/>
  <c r="S244" i="6"/>
  <c r="P244" i="6"/>
  <c r="AA105" i="6"/>
  <c r="O105" i="7" s="1"/>
  <c r="Z105" i="6"/>
  <c r="V105" i="6"/>
  <c r="T105" i="6"/>
  <c r="S105" i="6"/>
  <c r="P105" i="6"/>
  <c r="AA246" i="6"/>
  <c r="Z246" i="6"/>
  <c r="P246" i="6"/>
  <c r="V246" i="6"/>
  <c r="W246" i="6" s="1"/>
  <c r="AJ246" i="6" s="1"/>
  <c r="T246" i="6"/>
  <c r="S246" i="6"/>
  <c r="AA247" i="6"/>
  <c r="AD247" i="6" s="1"/>
  <c r="Z247" i="6"/>
  <c r="AB247" i="6" s="1"/>
  <c r="V247" i="6"/>
  <c r="AE247" i="6" s="1"/>
  <c r="AF247" i="6" s="1"/>
  <c r="T247" i="6"/>
  <c r="S247" i="6"/>
  <c r="P247" i="6"/>
  <c r="W7" i="4"/>
  <c r="A251" i="8"/>
  <c r="X43" i="6"/>
  <c r="X106" i="6"/>
  <c r="X50" i="6"/>
  <c r="X18" i="6"/>
  <c r="X10" i="6"/>
  <c r="X209" i="6"/>
  <c r="X169" i="6"/>
  <c r="X129" i="6"/>
  <c r="X97" i="6"/>
  <c r="X65" i="6"/>
  <c r="X57" i="6"/>
  <c r="X33" i="6"/>
  <c r="X25" i="6"/>
  <c r="A100" i="8"/>
  <c r="X208" i="6"/>
  <c r="X8" i="6"/>
  <c r="X207" i="6"/>
  <c r="X191" i="6"/>
  <c r="Y191" i="6" s="1"/>
  <c r="X87" i="6"/>
  <c r="X31" i="6"/>
  <c r="X15" i="6"/>
  <c r="Y15" i="6" s="1"/>
  <c r="X142" i="6"/>
  <c r="X228" i="6"/>
  <c r="X220" i="6"/>
  <c r="X212" i="6"/>
  <c r="X204" i="6"/>
  <c r="X196" i="6"/>
  <c r="X188" i="6"/>
  <c r="X164" i="6"/>
  <c r="X156" i="6"/>
  <c r="X148" i="6"/>
  <c r="X140" i="6"/>
  <c r="X132" i="6"/>
  <c r="X124" i="6"/>
  <c r="X116" i="6"/>
  <c r="X92" i="6"/>
  <c r="X84" i="6"/>
  <c r="X76" i="6"/>
  <c r="X68" i="6"/>
  <c r="X60" i="6"/>
  <c r="X52" i="6"/>
  <c r="X36" i="6"/>
  <c r="X20" i="6"/>
  <c r="X12" i="6"/>
  <c r="W247" i="6"/>
  <c r="AJ247" i="6" s="1"/>
  <c r="AE35" i="6"/>
  <c r="AF35" i="6" s="1"/>
  <c r="W35" i="6"/>
  <c r="AJ35" i="6" s="1"/>
  <c r="W63" i="6"/>
  <c r="AJ63" i="6" s="1"/>
  <c r="A34" i="8"/>
  <c r="A65" i="8"/>
  <c r="A148" i="8"/>
  <c r="G143" i="7"/>
  <c r="A205" i="8"/>
  <c r="A13" i="8"/>
  <c r="X4" i="6"/>
  <c r="Y4" i="6" s="1"/>
  <c r="F28" i="7"/>
  <c r="F90" i="7"/>
  <c r="F76" i="7"/>
  <c r="F44" i="7"/>
  <c r="F92" i="7"/>
  <c r="B195" i="7"/>
  <c r="F89" i="7"/>
  <c r="D140" i="7"/>
  <c r="C231" i="7"/>
  <c r="F143" i="7"/>
  <c r="F72" i="7"/>
  <c r="B62" i="7"/>
  <c r="B117" i="8" s="1"/>
  <c r="B225" i="7"/>
  <c r="F225" i="7"/>
  <c r="K26" i="7"/>
  <c r="F26" i="7"/>
  <c r="C22" i="7"/>
  <c r="D66" i="7"/>
  <c r="F50" i="7"/>
  <c r="F4" i="7"/>
  <c r="F42" i="7"/>
  <c r="B150" i="7"/>
  <c r="B237" i="7"/>
  <c r="D147" i="7"/>
  <c r="D206" i="7"/>
  <c r="D123" i="7"/>
  <c r="E123" i="7" s="1"/>
  <c r="D155" i="7"/>
  <c r="D149" i="7"/>
  <c r="D120" i="7"/>
  <c r="F180" i="7"/>
  <c r="D19" i="7"/>
  <c r="F129" i="7"/>
  <c r="D193" i="7"/>
  <c r="E193" i="7" s="1"/>
  <c r="D212" i="7"/>
  <c r="A170" i="8"/>
  <c r="D188" i="7"/>
  <c r="D159" i="7"/>
  <c r="F58" i="7"/>
  <c r="D118" i="7"/>
  <c r="D191" i="7"/>
  <c r="C114" i="7"/>
  <c r="F68" i="7"/>
  <c r="F132" i="7"/>
  <c r="F60" i="7"/>
  <c r="F204" i="7"/>
  <c r="E165" i="7"/>
  <c r="E70" i="7"/>
  <c r="D134" i="7"/>
  <c r="D13" i="7"/>
  <c r="D96" i="7"/>
  <c r="D53" i="7"/>
  <c r="E53" i="7" s="1"/>
  <c r="D61" i="7"/>
  <c r="E61" i="7" s="1"/>
  <c r="D144" i="7"/>
  <c r="D64" i="7"/>
  <c r="D33" i="7"/>
  <c r="D108" i="7"/>
  <c r="E108" i="7" s="1"/>
  <c r="D132" i="7"/>
  <c r="D27" i="7"/>
  <c r="D126" i="7"/>
  <c r="D141" i="7"/>
  <c r="D4" i="7"/>
  <c r="E4" i="7" s="1"/>
  <c r="D166" i="7"/>
  <c r="D14" i="7"/>
  <c r="E14" i="7" s="1"/>
  <c r="D175" i="7"/>
  <c r="D128" i="7"/>
  <c r="D119" i="7"/>
  <c r="D114" i="7"/>
  <c r="D163" i="7"/>
  <c r="E163" i="7" s="1"/>
  <c r="D161" i="7"/>
  <c r="D237" i="7"/>
  <c r="E237" i="7" s="1"/>
  <c r="D220" i="7"/>
  <c r="D231" i="7"/>
  <c r="E231" i="7" s="1"/>
  <c r="D218" i="7"/>
  <c r="D211" i="7"/>
  <c r="D214" i="7"/>
  <c r="D209" i="7"/>
  <c r="E209" i="7" s="1"/>
  <c r="D26" i="7"/>
  <c r="D195" i="7"/>
  <c r="E195" i="7"/>
  <c r="D9" i="7"/>
  <c r="G79" i="7"/>
  <c r="G29" i="7"/>
  <c r="G88" i="7"/>
  <c r="G117" i="7"/>
  <c r="G77" i="7"/>
  <c r="G120" i="7"/>
  <c r="G94" i="7"/>
  <c r="G213" i="7"/>
  <c r="G157" i="7"/>
  <c r="G125" i="7"/>
  <c r="A114" i="8"/>
  <c r="A83" i="8"/>
  <c r="G119" i="7"/>
  <c r="G231" i="7"/>
  <c r="G95" i="7"/>
  <c r="G214" i="7"/>
  <c r="G22" i="7"/>
  <c r="G221" i="7"/>
  <c r="G93" i="7"/>
  <c r="A175" i="8"/>
  <c r="A224" i="8"/>
  <c r="A92" i="8"/>
  <c r="A33" i="8"/>
  <c r="A42" i="8"/>
  <c r="A206" i="8"/>
  <c r="D35" i="7"/>
  <c r="A135" i="8"/>
  <c r="A21" i="8"/>
  <c r="A10" i="8"/>
  <c r="A208" i="8"/>
  <c r="A218" i="8"/>
  <c r="A230" i="8"/>
  <c r="A197" i="8"/>
  <c r="AC94" i="6"/>
  <c r="AC103" i="6"/>
  <c r="AD18" i="6"/>
  <c r="D92" i="7"/>
  <c r="D240" i="7"/>
  <c r="O5" i="7"/>
  <c r="R5" i="7" s="1"/>
  <c r="A53" i="8"/>
  <c r="A9" i="8"/>
  <c r="A49" i="8"/>
  <c r="A123" i="8"/>
  <c r="A133" i="8"/>
  <c r="A145" i="8"/>
  <c r="A47" i="8"/>
  <c r="J206" i="7"/>
  <c r="AC25" i="6"/>
  <c r="A213" i="8"/>
  <c r="AC192" i="6"/>
  <c r="A245" i="8"/>
  <c r="B27" i="7"/>
  <c r="A43" i="8"/>
  <c r="A215" i="8"/>
  <c r="C245" i="7"/>
  <c r="C66" i="7"/>
  <c r="K66" i="7"/>
  <c r="B105" i="7"/>
  <c r="C105" i="7"/>
  <c r="B132" i="7"/>
  <c r="B53" i="8" s="1"/>
  <c r="B161" i="7"/>
  <c r="D75" i="7"/>
  <c r="K101" i="7"/>
  <c r="B22" i="7"/>
  <c r="B199" i="7"/>
  <c r="C86" i="7"/>
  <c r="C134" i="7"/>
  <c r="B98" i="7"/>
  <c r="B14" i="8" s="1"/>
  <c r="B144" i="7"/>
  <c r="C110" i="7"/>
  <c r="C119" i="7"/>
  <c r="C80" i="8" s="1"/>
  <c r="B152" i="7"/>
  <c r="B241" i="7"/>
  <c r="C184" i="7"/>
  <c r="C214" i="8" s="1"/>
  <c r="C56" i="7"/>
  <c r="B130" i="7"/>
  <c r="B227" i="7"/>
  <c r="B244" i="7"/>
  <c r="B244" i="8" s="1"/>
  <c r="B226" i="7"/>
  <c r="B5" i="7"/>
  <c r="C14" i="7"/>
  <c r="C166" i="7"/>
  <c r="K166" i="7"/>
  <c r="B235" i="7"/>
  <c r="B163" i="7"/>
  <c r="B228" i="8" s="1"/>
  <c r="C170" i="7"/>
  <c r="C39" i="7"/>
  <c r="D39" i="7"/>
  <c r="K114" i="7"/>
  <c r="B26" i="7"/>
  <c r="B126" i="8" s="1"/>
  <c r="B175" i="7"/>
  <c r="M5" i="7" a="1"/>
  <c r="M5" i="7" s="1"/>
  <c r="N68" i="7" a="1"/>
  <c r="N68" i="7" s="1"/>
  <c r="M68" i="7" a="1"/>
  <c r="M68" i="7" s="1"/>
  <c r="B68" i="7"/>
  <c r="C68" i="7"/>
  <c r="C36" i="8" s="1"/>
  <c r="N158" i="7" a="1"/>
  <c r="N158" i="7" s="1"/>
  <c r="C158" i="7"/>
  <c r="M79" i="7" a="1"/>
  <c r="M79" i="7" s="1"/>
  <c r="N79" i="7" a="1"/>
  <c r="N79" i="7" s="1"/>
  <c r="B79" i="7"/>
  <c r="C79" i="7"/>
  <c r="N95" i="7" a="1"/>
  <c r="N95" i="7" s="1"/>
  <c r="K95" i="7"/>
  <c r="C95" i="7"/>
  <c r="B95" i="7"/>
  <c r="N87" i="7" a="1"/>
  <c r="N87" i="7" s="1"/>
  <c r="M87" i="7" a="1"/>
  <c r="M87" i="7" s="1"/>
  <c r="C87" i="7"/>
  <c r="K87" i="7"/>
  <c r="B87" i="7"/>
  <c r="N122" i="7" a="1"/>
  <c r="N122" i="7" s="1"/>
  <c r="M122" i="7" a="1"/>
  <c r="M122" i="7" s="1"/>
  <c r="C122" i="7"/>
  <c r="B122" i="7"/>
  <c r="N202" i="7" a="1"/>
  <c r="N202" i="7" s="1"/>
  <c r="K202" i="7"/>
  <c r="C202" i="7"/>
  <c r="B202" i="7"/>
  <c r="B196" i="8" s="1"/>
  <c r="N115" i="7" a="1"/>
  <c r="N115" i="7" s="1"/>
  <c r="P115" i="7" s="1"/>
  <c r="K115" i="7"/>
  <c r="N188" i="7" a="1"/>
  <c r="N188" i="7" s="1"/>
  <c r="K188" i="7"/>
  <c r="B188" i="7"/>
  <c r="C188" i="7"/>
  <c r="N154" i="7" a="1"/>
  <c r="N154" i="7" s="1"/>
  <c r="M154" i="7" a="1"/>
  <c r="M154" i="7" s="1"/>
  <c r="N205" i="7" a="1"/>
  <c r="N205" i="7" s="1"/>
  <c r="M205" i="7" a="1"/>
  <c r="M205" i="7" s="1"/>
  <c r="K81" i="7"/>
  <c r="C190" i="7"/>
  <c r="C205" i="7"/>
  <c r="K79" i="7"/>
  <c r="K88" i="7"/>
  <c r="N88" i="7" a="1"/>
  <c r="N88" i="7" s="1"/>
  <c r="N185" i="7" a="1"/>
  <c r="N185" i="7" s="1"/>
  <c r="M185" i="7" a="1"/>
  <c r="M185" i="7" s="1"/>
  <c r="K185" i="7"/>
  <c r="C185" i="7"/>
  <c r="B185" i="7"/>
  <c r="M242" i="7" a="1"/>
  <c r="M242" i="7" s="1"/>
  <c r="N242" i="7" a="1"/>
  <c r="N242" i="7" s="1"/>
  <c r="C242" i="7"/>
  <c r="B242" i="7"/>
  <c r="N212" i="7" a="1"/>
  <c r="N212" i="7" s="1"/>
  <c r="M212" i="7" a="1"/>
  <c r="M212" i="7" s="1"/>
  <c r="P212" i="7" s="1"/>
  <c r="C212" i="7"/>
  <c r="B212" i="7"/>
  <c r="B161" i="8" s="1"/>
  <c r="K162" i="7"/>
  <c r="N162" i="7" a="1"/>
  <c r="N162" i="7" s="1"/>
  <c r="C162" i="7"/>
  <c r="M162" i="7" a="1"/>
  <c r="M162" i="7" s="1"/>
  <c r="B162" i="7"/>
  <c r="N177" i="7" a="1"/>
  <c r="N177" i="7" s="1"/>
  <c r="K177" i="7"/>
  <c r="M177" i="7" a="1"/>
  <c r="M177" i="7" s="1"/>
  <c r="C177" i="7"/>
  <c r="C183" i="8" s="1"/>
  <c r="M141" i="7" a="1"/>
  <c r="M141" i="7" s="1"/>
  <c r="K141" i="7"/>
  <c r="C141" i="7"/>
  <c r="B141" i="7"/>
  <c r="A239" i="8"/>
  <c r="N125" i="7" a="1"/>
  <c r="N125" i="7" s="1"/>
  <c r="P125" i="7" s="1"/>
  <c r="M125" i="7" a="1"/>
  <c r="M125" i="7" s="1"/>
  <c r="N159" i="7" a="1"/>
  <c r="N159" i="7" s="1"/>
  <c r="K159" i="7"/>
  <c r="M159" i="7" a="1"/>
  <c r="M159" i="7" s="1"/>
  <c r="B159" i="7"/>
  <c r="C159" i="7"/>
  <c r="A229" i="8"/>
  <c r="M83" i="7" a="1"/>
  <c r="M83" i="7" s="1"/>
  <c r="N83" i="7" a="1"/>
  <c r="N83" i="7" s="1"/>
  <c r="K83" i="7"/>
  <c r="B83" i="7"/>
  <c r="C83" i="7"/>
  <c r="N74" i="7" a="1"/>
  <c r="N74" i="7" s="1"/>
  <c r="M74" i="7" a="1"/>
  <c r="M74" i="7" s="1"/>
  <c r="N35" i="7" a="1"/>
  <c r="N35" i="7" s="1"/>
  <c r="P35" i="7" s="1"/>
  <c r="K35" i="7"/>
  <c r="J35" i="7"/>
  <c r="L35" i="7" s="1"/>
  <c r="M35" i="7" a="1"/>
  <c r="M35" i="7" s="1"/>
  <c r="N127" i="7" a="1"/>
  <c r="N127" i="7" s="1"/>
  <c r="K127" i="7"/>
  <c r="D86" i="7"/>
  <c r="N89" i="7" a="1"/>
  <c r="N89" i="7" s="1"/>
  <c r="M89" i="7" a="1"/>
  <c r="M89" i="7" s="1"/>
  <c r="K89" i="7"/>
  <c r="A128" i="8"/>
  <c r="N140" i="7" a="1"/>
  <c r="N140" i="7" s="1"/>
  <c r="M140" i="7" a="1"/>
  <c r="M140" i="7" s="1"/>
  <c r="K140" i="7"/>
  <c r="N34" i="7" a="1"/>
  <c r="N34" i="7" s="1"/>
  <c r="M34" i="7" a="1"/>
  <c r="M34" i="7" s="1"/>
  <c r="K34" i="7"/>
  <c r="N17" i="7" a="1"/>
  <c r="N17" i="7" s="1"/>
  <c r="M17" i="7" a="1"/>
  <c r="M17" i="7" s="1"/>
  <c r="P17" i="7" s="1"/>
  <c r="K17" i="7"/>
  <c r="N97" i="7" a="1"/>
  <c r="N97" i="7" s="1"/>
  <c r="K97" i="7"/>
  <c r="C97" i="7"/>
  <c r="B97" i="7"/>
  <c r="B13" i="8" s="1"/>
  <c r="M118" i="7" a="1"/>
  <c r="M118" i="7" s="1"/>
  <c r="C118" i="7"/>
  <c r="B118" i="7"/>
  <c r="N189" i="7" a="1"/>
  <c r="N189" i="7" s="1"/>
  <c r="C189" i="7"/>
  <c r="N55" i="7" a="1"/>
  <c r="N55" i="7" s="1"/>
  <c r="N191" i="7" a="1"/>
  <c r="N191" i="7" s="1"/>
  <c r="C191" i="7"/>
  <c r="B191" i="7"/>
  <c r="K145" i="7"/>
  <c r="N153" i="7" a="1"/>
  <c r="N153" i="7" s="1"/>
  <c r="M153" i="7" a="1"/>
  <c r="M153" i="7" s="1"/>
  <c r="K153" i="7"/>
  <c r="B153" i="7"/>
  <c r="B125" i="7"/>
  <c r="B74" i="7"/>
  <c r="B140" i="7"/>
  <c r="C127" i="7"/>
  <c r="C89" i="7"/>
  <c r="C34" i="7"/>
  <c r="C41" i="8" s="1"/>
  <c r="D31" i="7"/>
  <c r="E31" i="7" s="1"/>
  <c r="D59" i="7"/>
  <c r="AD169" i="6"/>
  <c r="AD93" i="6"/>
  <c r="A246" i="8"/>
  <c r="K45" i="7"/>
  <c r="M84" i="7" a="1"/>
  <c r="M84" i="7" s="1"/>
  <c r="K84" i="7"/>
  <c r="N84" i="7" a="1"/>
  <c r="N84" i="7" s="1"/>
  <c r="M214" i="7" a="1"/>
  <c r="M214" i="7" s="1"/>
  <c r="K214" i="7"/>
  <c r="N214" i="7" a="1"/>
  <c r="N214" i="7" s="1"/>
  <c r="M51" i="7" a="1"/>
  <c r="M51" i="7" s="1"/>
  <c r="K51" i="7"/>
  <c r="N51" i="7" a="1"/>
  <c r="N51" i="7" s="1"/>
  <c r="P51" i="7" s="1"/>
  <c r="M210" i="7" a="1"/>
  <c r="M210" i="7" s="1"/>
  <c r="N210" i="7" a="1"/>
  <c r="N210" i="7" s="1"/>
  <c r="N37" i="7" a="1"/>
  <c r="N37" i="7" s="1"/>
  <c r="K37" i="7"/>
  <c r="B37" i="7"/>
  <c r="B106" i="8" s="1"/>
  <c r="K109" i="7"/>
  <c r="B109" i="7"/>
  <c r="M63" i="7" a="1"/>
  <c r="M63" i="7" s="1"/>
  <c r="N63" i="7" a="1"/>
  <c r="N63" i="7" s="1"/>
  <c r="K63" i="7"/>
  <c r="J63" i="7"/>
  <c r="F95" i="8" s="1"/>
  <c r="N239" i="7" a="1"/>
  <c r="N239" i="7" s="1"/>
  <c r="K239" i="7"/>
  <c r="N195" i="7" a="1"/>
  <c r="N195" i="7" s="1"/>
  <c r="K195" i="7"/>
  <c r="M195" i="7" a="1"/>
  <c r="M195" i="7" s="1"/>
  <c r="N171" i="7" a="1"/>
  <c r="N171" i="7" s="1"/>
  <c r="M171" i="7" a="1"/>
  <c r="M171" i="7" s="1"/>
  <c r="K171" i="7"/>
  <c r="N213" i="7" a="1"/>
  <c r="N213" i="7" s="1"/>
  <c r="M213" i="7" a="1"/>
  <c r="M213" i="7" s="1"/>
  <c r="B213" i="7"/>
  <c r="B182" i="8" s="1"/>
  <c r="C213" i="7"/>
  <c r="N92" i="7" a="1"/>
  <c r="N92" i="7" s="1"/>
  <c r="J92" i="7"/>
  <c r="L92" i="7" s="1"/>
  <c r="M92" i="7" a="1"/>
  <c r="M92" i="7" s="1"/>
  <c r="K92" i="7"/>
  <c r="B92" i="7"/>
  <c r="C92" i="7"/>
  <c r="C96" i="8" s="1"/>
  <c r="N155" i="7" a="1"/>
  <c r="N155" i="7" s="1"/>
  <c r="M155" i="7" a="1"/>
  <c r="M155" i="7" s="1"/>
  <c r="P155" i="7" s="1"/>
  <c r="K155" i="7"/>
  <c r="B155" i="7"/>
  <c r="C155" i="7"/>
  <c r="C221" i="8" s="1"/>
  <c r="M77" i="7" a="1"/>
  <c r="M77" i="7" s="1"/>
  <c r="N77" i="7" a="1"/>
  <c r="N77" i="7" s="1"/>
  <c r="K77" i="7"/>
  <c r="B77" i="7"/>
  <c r="C77" i="7"/>
  <c r="N243" i="7" a="1"/>
  <c r="N243" i="7" s="1"/>
  <c r="M243" i="7" a="1"/>
  <c r="M243" i="7" s="1"/>
  <c r="K243" i="7"/>
  <c r="N21" i="7" a="1"/>
  <c r="N21" i="7" s="1"/>
  <c r="K21" i="7"/>
  <c r="M21" i="7" a="1"/>
  <c r="M21" i="7" s="1"/>
  <c r="N67" i="7" a="1"/>
  <c r="N67" i="7" s="1"/>
  <c r="M67" i="7" a="1"/>
  <c r="M67" i="7" s="1"/>
  <c r="K67" i="7"/>
  <c r="N50" i="7" a="1"/>
  <c r="N50" i="7" s="1"/>
  <c r="P50" i="7" s="1"/>
  <c r="M50" i="7" a="1"/>
  <c r="M50" i="7" s="1"/>
  <c r="K50" i="7"/>
  <c r="A48" i="8"/>
  <c r="M15" i="7" a="1"/>
  <c r="M15" i="7" s="1"/>
  <c r="N15" i="7" a="1"/>
  <c r="N15" i="7" s="1"/>
  <c r="K15" i="7"/>
  <c r="A54" i="8"/>
  <c r="M220" i="7" a="1"/>
  <c r="M220" i="7" s="1"/>
  <c r="J220" i="7"/>
  <c r="F197" i="8" s="1"/>
  <c r="N96" i="7" a="1"/>
  <c r="N96" i="7" s="1"/>
  <c r="M96" i="7" a="1"/>
  <c r="M96" i="7" s="1"/>
  <c r="K96" i="7"/>
  <c r="N129" i="7" a="1"/>
  <c r="N129" i="7" s="1"/>
  <c r="M129" i="7" a="1"/>
  <c r="M129" i="7" s="1"/>
  <c r="K129" i="7"/>
  <c r="N41" i="7" a="1"/>
  <c r="N41" i="7" s="1"/>
  <c r="M41" i="7" a="1"/>
  <c r="M41" i="7" s="1"/>
  <c r="K41" i="7"/>
  <c r="B146" i="7"/>
  <c r="B127" i="7"/>
  <c r="B68" i="8" s="1"/>
  <c r="B50" i="7"/>
  <c r="C62" i="7"/>
  <c r="C26" i="7"/>
  <c r="C74" i="7"/>
  <c r="C12" i="8" s="1"/>
  <c r="C243" i="7"/>
  <c r="C162" i="8" s="1"/>
  <c r="C67" i="7"/>
  <c r="C15" i="7"/>
  <c r="C153" i="7"/>
  <c r="D18" i="7"/>
  <c r="K212" i="7"/>
  <c r="O205" i="7"/>
  <c r="N106" i="7" a="1"/>
  <c r="N106" i="7" s="1"/>
  <c r="C106" i="7"/>
  <c r="N244" i="7" a="1"/>
  <c r="N244" i="7" s="1"/>
  <c r="M244" i="7" a="1"/>
  <c r="M244" i="7" s="1"/>
  <c r="K244" i="7"/>
  <c r="D95" i="7"/>
  <c r="N18" i="7" a="1"/>
  <c r="N18" i="7" s="1"/>
  <c r="M18" i="7" a="1"/>
  <c r="M18" i="7" s="1"/>
  <c r="D87" i="7"/>
  <c r="K18" i="7"/>
  <c r="N217" i="7" a="1"/>
  <c r="N217" i="7" s="1"/>
  <c r="P217" i="7" s="1"/>
  <c r="J217" i="7"/>
  <c r="F190" i="8" s="1"/>
  <c r="A178" i="8"/>
  <c r="M219" i="7" a="1"/>
  <c r="M219" i="7" s="1"/>
  <c r="K219" i="7"/>
  <c r="N219" i="7" a="1"/>
  <c r="N219" i="7" s="1"/>
  <c r="J219" i="7"/>
  <c r="F203" i="8" s="1"/>
  <c r="O16" i="7"/>
  <c r="M16" i="7" a="1"/>
  <c r="M16" i="7" s="1"/>
  <c r="N16" i="7" a="1"/>
  <c r="N16" i="7" s="1"/>
  <c r="N192" i="7" a="1"/>
  <c r="N192" i="7" s="1"/>
  <c r="M192" i="7" a="1"/>
  <c r="M192" i="7" s="1"/>
  <c r="C192" i="7"/>
  <c r="B192" i="7"/>
  <c r="M47" i="7" a="1"/>
  <c r="M47" i="7" s="1"/>
  <c r="N13" i="7" a="1"/>
  <c r="N13" i="7" s="1"/>
  <c r="K13" i="7"/>
  <c r="J13" i="7"/>
  <c r="F103" i="8" s="1"/>
  <c r="D90" i="7"/>
  <c r="A150" i="8"/>
  <c r="N25" i="7" a="1"/>
  <c r="N25" i="7" s="1"/>
  <c r="P25" i="7" s="1"/>
  <c r="M25" i="7" a="1"/>
  <c r="M25" i="7" s="1"/>
  <c r="N226" i="7" a="1"/>
  <c r="N226" i="7" s="1"/>
  <c r="M226" i="7" a="1"/>
  <c r="M226" i="7" s="1"/>
  <c r="K226" i="7"/>
  <c r="M245" i="7" a="1"/>
  <c r="M245" i="7" s="1"/>
  <c r="K245" i="7"/>
  <c r="N218" i="7" a="1"/>
  <c r="N218" i="7" s="1"/>
  <c r="M218" i="7" a="1"/>
  <c r="M218" i="7" s="1"/>
  <c r="K218" i="7"/>
  <c r="N137" i="7" a="1"/>
  <c r="N137" i="7" s="1"/>
  <c r="M137" i="7" a="1"/>
  <c r="M137" i="7" s="1"/>
  <c r="C137" i="7"/>
  <c r="C129" i="8" s="1"/>
  <c r="N194" i="7" a="1"/>
  <c r="N194" i="7" s="1"/>
  <c r="M194" i="7" a="1"/>
  <c r="M194" i="7" s="1"/>
  <c r="K194" i="7"/>
  <c r="C194" i="7"/>
  <c r="B88" i="7"/>
  <c r="B92" i="8" s="1"/>
  <c r="B214" i="7"/>
  <c r="B16" i="7"/>
  <c r="B94" i="8" s="1"/>
  <c r="B11" i="7"/>
  <c r="B88" i="8" s="1"/>
  <c r="B215" i="7"/>
  <c r="B93" i="7"/>
  <c r="B243" i="7"/>
  <c r="B121" i="7"/>
  <c r="C70" i="7"/>
  <c r="C125" i="7"/>
  <c r="C10" i="7"/>
  <c r="C195" i="7"/>
  <c r="C185" i="8" s="1"/>
  <c r="C218" i="7"/>
  <c r="C176" i="8" s="1"/>
  <c r="C146" i="7"/>
  <c r="C152" i="8" s="1"/>
  <c r="C61" i="7"/>
  <c r="D29" i="7"/>
  <c r="D49" i="7"/>
  <c r="D198" i="7"/>
  <c r="M202" i="7" a="1"/>
  <c r="M202" i="7" s="1"/>
  <c r="AC111" i="6"/>
  <c r="N193" i="7" a="1"/>
  <c r="N193" i="7" s="1"/>
  <c r="B193" i="7"/>
  <c r="M193" i="7" a="1"/>
  <c r="M193" i="7" s="1"/>
  <c r="D88" i="7"/>
  <c r="C193" i="7"/>
  <c r="C160" i="8" s="1"/>
  <c r="N142" i="7" a="1"/>
  <c r="N142" i="7" s="1"/>
  <c r="B142" i="7"/>
  <c r="B11" i="8" s="1"/>
  <c r="M147" i="7" a="1"/>
  <c r="M147" i="7" s="1"/>
  <c r="C147" i="7"/>
  <c r="M46" i="7" a="1"/>
  <c r="M46" i="7" s="1"/>
  <c r="N46" i="7" a="1"/>
  <c r="N46" i="7" s="1"/>
  <c r="P46" i="7" s="1"/>
  <c r="K46" i="7"/>
  <c r="C46" i="7"/>
  <c r="C104" i="8" s="1"/>
  <c r="M60" i="7" a="1"/>
  <c r="M60" i="7" s="1"/>
  <c r="N60" i="7" a="1"/>
  <c r="N60" i="7" s="1"/>
  <c r="P60" i="7" s="1"/>
  <c r="K60" i="7"/>
  <c r="B60" i="7"/>
  <c r="C60" i="7"/>
  <c r="K62" i="7"/>
  <c r="M62" i="7" a="1"/>
  <c r="M62" i="7" s="1"/>
  <c r="A211" i="8"/>
  <c r="N112" i="7" a="1"/>
  <c r="N112" i="7" s="1"/>
  <c r="K112" i="7"/>
  <c r="J112" i="7"/>
  <c r="N136" i="7" a="1"/>
  <c r="N136" i="7" s="1"/>
  <c r="M136" i="7" a="1"/>
  <c r="M136" i="7" s="1"/>
  <c r="B136" i="7"/>
  <c r="N207" i="7" a="1"/>
  <c r="N207" i="7" s="1"/>
  <c r="M207" i="7" a="1"/>
  <c r="M207" i="7" s="1"/>
  <c r="C207" i="7"/>
  <c r="K207" i="7"/>
  <c r="N236" i="7" a="1"/>
  <c r="N236" i="7" s="1"/>
  <c r="K236" i="7"/>
  <c r="B236" i="7"/>
  <c r="N91" i="7" a="1"/>
  <c r="N91" i="7" s="1"/>
  <c r="B91" i="7"/>
  <c r="B26" i="8" s="1"/>
  <c r="N201" i="7" a="1"/>
  <c r="N201" i="7" s="1"/>
  <c r="K201" i="7"/>
  <c r="C201" i="7"/>
  <c r="C165" i="8" s="1"/>
  <c r="B201" i="7"/>
  <c r="N66" i="7" a="1"/>
  <c r="N66" i="7" s="1"/>
  <c r="M66" i="7" a="1"/>
  <c r="M66" i="7" s="1"/>
  <c r="J66" i="7"/>
  <c r="N146" i="7" a="1"/>
  <c r="N146" i="7" s="1"/>
  <c r="M146" i="7" a="1"/>
  <c r="M146" i="7" s="1"/>
  <c r="K146" i="7"/>
  <c r="N168" i="7" a="1"/>
  <c r="N168" i="7" s="1"/>
  <c r="P168" i="7" s="1"/>
  <c r="K168" i="7"/>
  <c r="M168" i="7" a="1"/>
  <c r="M168" i="7" s="1"/>
  <c r="N143" i="7" a="1"/>
  <c r="N143" i="7" s="1"/>
  <c r="K143" i="7"/>
  <c r="M143" i="7" a="1"/>
  <c r="M143" i="7" s="1"/>
  <c r="P143" i="7" s="1"/>
  <c r="B143" i="7"/>
  <c r="C143" i="7"/>
  <c r="A79" i="8"/>
  <c r="N172" i="7" a="1"/>
  <c r="N172" i="7" s="1"/>
  <c r="M172" i="7" a="1"/>
  <c r="M172" i="7" s="1"/>
  <c r="K172" i="7"/>
  <c r="B172" i="7"/>
  <c r="B236" i="8" s="1"/>
  <c r="C172" i="7"/>
  <c r="N36" i="7" a="1"/>
  <c r="N36" i="7" s="1"/>
  <c r="M36" i="7" a="1"/>
  <c r="M36" i="7" s="1"/>
  <c r="P36" i="7" s="1"/>
  <c r="K36" i="7"/>
  <c r="B36" i="7"/>
  <c r="D89" i="7"/>
  <c r="E89" i="7" s="1"/>
  <c r="C36" i="7"/>
  <c r="C38" i="8" s="1"/>
  <c r="N157" i="7" a="1"/>
  <c r="N157" i="7" s="1"/>
  <c r="K157" i="7"/>
  <c r="M157" i="7" a="1"/>
  <c r="M157" i="7" s="1"/>
  <c r="B157" i="7"/>
  <c r="B23" i="8" s="1"/>
  <c r="C157" i="7"/>
  <c r="N165" i="7" a="1"/>
  <c r="N165" i="7" s="1"/>
  <c r="M165" i="7" a="1"/>
  <c r="M165" i="7" s="1"/>
  <c r="K165" i="7"/>
  <c r="B165" i="7"/>
  <c r="B230" i="8" s="1"/>
  <c r="C165" i="7"/>
  <c r="N246" i="7" a="1"/>
  <c r="N246" i="7" s="1"/>
  <c r="M246" i="7" a="1"/>
  <c r="M246" i="7" s="1"/>
  <c r="K246" i="7"/>
  <c r="B246" i="7"/>
  <c r="C246" i="7"/>
  <c r="N229" i="7" a="1"/>
  <c r="N229" i="7" s="1"/>
  <c r="M229" i="7" a="1"/>
  <c r="M229" i="7" s="1"/>
  <c r="K229" i="7"/>
  <c r="B229" i="7"/>
  <c r="B168" i="8" s="1"/>
  <c r="C229" i="7"/>
  <c r="M208" i="7" a="1"/>
  <c r="M208" i="7" s="1"/>
  <c r="N208" i="7" a="1"/>
  <c r="N208" i="7" s="1"/>
  <c r="K208" i="7"/>
  <c r="B208" i="7"/>
  <c r="C208" i="7"/>
  <c r="N180" i="7" a="1"/>
  <c r="N180" i="7" s="1"/>
  <c r="M180" i="7" a="1"/>
  <c r="M180" i="7" s="1"/>
  <c r="K180" i="7"/>
  <c r="B180" i="7"/>
  <c r="C180" i="7"/>
  <c r="N19" i="7" a="1"/>
  <c r="N19" i="7" s="1"/>
  <c r="M19" i="7" a="1"/>
  <c r="M19" i="7" s="1"/>
  <c r="K19" i="7"/>
  <c r="J19" i="7"/>
  <c r="F90" i="8" s="1"/>
  <c r="B19" i="7"/>
  <c r="B90" i="8" s="1"/>
  <c r="C19" i="7"/>
  <c r="M53" i="7" a="1"/>
  <c r="M53" i="7" s="1"/>
  <c r="N53" i="7" a="1"/>
  <c r="N53" i="7" s="1"/>
  <c r="K53" i="7"/>
  <c r="B53" i="7"/>
  <c r="N94" i="7" a="1"/>
  <c r="N94" i="7" s="1"/>
  <c r="P94" i="7" s="1"/>
  <c r="M94" i="7" a="1"/>
  <c r="M94" i="7" s="1"/>
  <c r="K94" i="7"/>
  <c r="C94" i="7"/>
  <c r="B94" i="7"/>
  <c r="B167" i="7"/>
  <c r="B112" i="7"/>
  <c r="B154" i="7"/>
  <c r="B89" i="7"/>
  <c r="K70" i="7"/>
  <c r="M112" i="7" a="1"/>
  <c r="M112" i="7" s="1"/>
  <c r="AC190" i="6"/>
  <c r="AC81" i="6"/>
  <c r="O207" i="7"/>
  <c r="U229" i="6"/>
  <c r="U31" i="6"/>
  <c r="A162" i="8"/>
  <c r="K186" i="7"/>
  <c r="N186" i="7" a="1"/>
  <c r="N186" i="7" s="1"/>
  <c r="P186" i="7" s="1"/>
  <c r="M186" i="7" a="1"/>
  <c r="M186" i="7" s="1"/>
  <c r="N111" i="7" a="1"/>
  <c r="N111" i="7" s="1"/>
  <c r="M111" i="7" a="1"/>
  <c r="M111" i="7" s="1"/>
  <c r="B111" i="7"/>
  <c r="C111" i="7"/>
  <c r="N44" i="7" a="1"/>
  <c r="N44" i="7" s="1"/>
  <c r="J44" i="7"/>
  <c r="L44" i="7" s="1"/>
  <c r="M44" i="7" a="1"/>
  <c r="M44" i="7" s="1"/>
  <c r="K44" i="7"/>
  <c r="B44" i="7"/>
  <c r="C44" i="7"/>
  <c r="C45" i="8" s="1"/>
  <c r="K69" i="7"/>
  <c r="N223" i="7" a="1"/>
  <c r="N223" i="7" s="1"/>
  <c r="P223" i="7" s="1"/>
  <c r="K223" i="7"/>
  <c r="M223" i="7" a="1"/>
  <c r="M223" i="7" s="1"/>
  <c r="B223" i="7"/>
  <c r="C223" i="7"/>
  <c r="C213" i="8" s="1"/>
  <c r="M232" i="7" a="1"/>
  <c r="M232" i="7" s="1"/>
  <c r="N232" i="7" a="1"/>
  <c r="N232" i="7" s="1"/>
  <c r="K232" i="7"/>
  <c r="B232" i="7"/>
  <c r="C232" i="7"/>
  <c r="C206" i="8" s="1"/>
  <c r="C157" i="8"/>
  <c r="M31" i="7" a="1"/>
  <c r="M31" i="7" s="1"/>
  <c r="K31" i="7"/>
  <c r="N31" i="7" a="1"/>
  <c r="N31" i="7" s="1"/>
  <c r="M11" i="7" a="1"/>
  <c r="M11" i="7" s="1"/>
  <c r="K11" i="7"/>
  <c r="N11" i="7" a="1"/>
  <c r="N11" i="7" s="1"/>
  <c r="N7" i="7" a="1"/>
  <c r="N7" i="7"/>
  <c r="P7" i="7" s="1"/>
  <c r="M7" i="7" a="1"/>
  <c r="M7" i="7" s="1"/>
  <c r="K7" i="7"/>
  <c r="C7" i="7"/>
  <c r="D228" i="7"/>
  <c r="B7" i="7"/>
  <c r="A233" i="8"/>
  <c r="N30" i="7" a="1"/>
  <c r="N30" i="7" s="1"/>
  <c r="M30" i="7" a="1"/>
  <c r="M30" i="7" s="1"/>
  <c r="K30" i="7"/>
  <c r="C30" i="7"/>
  <c r="B30" i="7"/>
  <c r="B25" i="8" s="1"/>
  <c r="N131" i="7" a="1"/>
  <c r="N131" i="7" s="1"/>
  <c r="K131" i="7"/>
  <c r="M131" i="7" a="1"/>
  <c r="M131" i="7" s="1"/>
  <c r="J131" i="7"/>
  <c r="F76" i="8" s="1"/>
  <c r="C131" i="7"/>
  <c r="C76" i="8" s="1"/>
  <c r="B131" i="7"/>
  <c r="N160" i="7" a="1"/>
  <c r="N160" i="7" s="1"/>
  <c r="P160" i="7" s="1"/>
  <c r="K160" i="7"/>
  <c r="C160" i="7"/>
  <c r="C223" i="8" s="1"/>
  <c r="B160" i="7"/>
  <c r="N85" i="7" a="1"/>
  <c r="N85" i="7" s="1"/>
  <c r="P85" i="7" s="1"/>
  <c r="K85" i="7"/>
  <c r="C85" i="7"/>
  <c r="C132" i="8" s="1"/>
  <c r="B85" i="7"/>
  <c r="N123" i="7" a="1"/>
  <c r="N123" i="7" s="1"/>
  <c r="M123" i="7" a="1"/>
  <c r="M123" i="7" s="1"/>
  <c r="K123" i="7"/>
  <c r="D213" i="7"/>
  <c r="E213" i="7" s="1"/>
  <c r="B123" i="7"/>
  <c r="B87" i="8" s="1"/>
  <c r="N170" i="7" a="1"/>
  <c r="N170" i="7" s="1"/>
  <c r="M170" i="7" a="1"/>
  <c r="M170" i="7" s="1"/>
  <c r="K170" i="7"/>
  <c r="M105" i="7" a="1"/>
  <c r="M105" i="7" s="1"/>
  <c r="N105" i="7" a="1"/>
  <c r="N105" i="7" s="1"/>
  <c r="K105" i="7"/>
  <c r="J105" i="7"/>
  <c r="F21" i="8" s="1"/>
  <c r="D77" i="7"/>
  <c r="O61" i="7"/>
  <c r="N61" i="7" a="1"/>
  <c r="N61" i="7" s="1"/>
  <c r="K61" i="7"/>
  <c r="M61" i="7" a="1"/>
  <c r="M61" i="7" s="1"/>
  <c r="N203" i="7" a="1"/>
  <c r="N203" i="7" s="1"/>
  <c r="K203" i="7"/>
  <c r="M203" i="7" a="1"/>
  <c r="M203" i="7" s="1"/>
  <c r="D21" i="7"/>
  <c r="N52" i="7" a="1"/>
  <c r="N52" i="7" s="1"/>
  <c r="P52" i="7" s="1"/>
  <c r="K52" i="7"/>
  <c r="M52" i="7" a="1"/>
  <c r="M52" i="7" s="1"/>
  <c r="N121" i="7" a="1"/>
  <c r="N121" i="7" s="1"/>
  <c r="M121" i="7" a="1"/>
  <c r="M121" i="7" s="1"/>
  <c r="K121" i="7"/>
  <c r="N27" i="7" a="1"/>
  <c r="N27" i="7" s="1"/>
  <c r="M27" i="7" a="1"/>
  <c r="M27" i="7" s="1"/>
  <c r="K27" i="7"/>
  <c r="J27" i="7"/>
  <c r="F40" i="8" s="1"/>
  <c r="N32" i="7" a="1"/>
  <c r="N32" i="7" s="1"/>
  <c r="J32" i="7"/>
  <c r="F135" i="8" s="1"/>
  <c r="M32" i="7" a="1"/>
  <c r="M32" i="7" s="1"/>
  <c r="B32" i="7"/>
  <c r="C32" i="7"/>
  <c r="C135" i="8" s="1"/>
  <c r="K32" i="7"/>
  <c r="M75" i="7" a="1"/>
  <c r="M75" i="7" s="1"/>
  <c r="B75" i="7"/>
  <c r="C75" i="7"/>
  <c r="N57" i="7" a="1"/>
  <c r="N57" i="7" s="1"/>
  <c r="K57" i="7"/>
  <c r="M57" i="7" a="1"/>
  <c r="M57" i="7" s="1"/>
  <c r="B57" i="7"/>
  <c r="C57" i="7"/>
  <c r="C141" i="8" s="1"/>
  <c r="N102" i="7" a="1"/>
  <c r="N102" i="7" s="1"/>
  <c r="P102" i="7" s="1"/>
  <c r="K102" i="7"/>
  <c r="M102" i="7" a="1"/>
  <c r="M102" i="7" s="1"/>
  <c r="B102" i="7"/>
  <c r="B118" i="8" s="1"/>
  <c r="C102" i="7"/>
  <c r="C118" i="8" s="1"/>
  <c r="N49" i="7" a="1"/>
  <c r="N49" i="7" s="1"/>
  <c r="P49" i="7" s="1"/>
  <c r="M49" i="7" a="1"/>
  <c r="M49" i="7" s="1"/>
  <c r="K49" i="7"/>
  <c r="B49" i="7"/>
  <c r="B18" i="8" s="1"/>
  <c r="C49" i="7"/>
  <c r="C18" i="8" s="1"/>
  <c r="N114" i="7" a="1"/>
  <c r="N114" i="7" s="1"/>
  <c r="M114" i="7" a="1"/>
  <c r="M114" i="7" s="1"/>
  <c r="B114" i="7"/>
  <c r="N204" i="7" a="1"/>
  <c r="N204" i="7" s="1"/>
  <c r="M204" i="7" a="1"/>
  <c r="M204" i="7" s="1"/>
  <c r="K204" i="7"/>
  <c r="C204" i="7"/>
  <c r="C170" i="8" s="1"/>
  <c r="B204" i="7"/>
  <c r="B170" i="8" s="1"/>
  <c r="A97" i="8"/>
  <c r="M247" i="7" a="1"/>
  <c r="M247" i="7" s="1"/>
  <c r="K247" i="7"/>
  <c r="B247" i="7"/>
  <c r="B247" i="8" s="1"/>
  <c r="B186" i="7"/>
  <c r="B238" i="8" s="1"/>
  <c r="B115" i="7"/>
  <c r="B27" i="8" s="1"/>
  <c r="B239" i="7"/>
  <c r="B205" i="8" s="1"/>
  <c r="B171" i="7"/>
  <c r="B67" i="7"/>
  <c r="B145" i="8" s="1"/>
  <c r="C88" i="7"/>
  <c r="C214" i="7"/>
  <c r="C178" i="8" s="1"/>
  <c r="C210" i="7"/>
  <c r="C16" i="7"/>
  <c r="C11" i="7"/>
  <c r="C88" i="8" s="1"/>
  <c r="C140" i="7"/>
  <c r="C17" i="7"/>
  <c r="C129" i="7"/>
  <c r="C28" i="8" s="1"/>
  <c r="C178" i="7"/>
  <c r="D51" i="7"/>
  <c r="D38" i="7"/>
  <c r="D34" i="7"/>
  <c r="E34" i="7" s="1"/>
  <c r="J186" i="7"/>
  <c r="F238" i="8" s="1"/>
  <c r="K125" i="7"/>
  <c r="K220" i="7"/>
  <c r="M236" i="7" a="1"/>
  <c r="M236" i="7" s="1"/>
  <c r="AD160" i="6"/>
  <c r="AD236" i="6"/>
  <c r="AD53" i="6"/>
  <c r="O52" i="7"/>
  <c r="R52" i="7" s="1"/>
  <c r="K173" i="7"/>
  <c r="J173" i="7"/>
  <c r="F237" i="8" s="1"/>
  <c r="N173" i="7" a="1"/>
  <c r="N173" i="7" s="1"/>
  <c r="M173" i="7" a="1"/>
  <c r="M173" i="7" s="1"/>
  <c r="C173" i="7"/>
  <c r="B173" i="7"/>
  <c r="N164" i="7" a="1"/>
  <c r="N164" i="7" s="1"/>
  <c r="J164" i="7"/>
  <c r="F229" i="8" s="1"/>
  <c r="M164" i="7" a="1"/>
  <c r="M164" i="7" s="1"/>
  <c r="K164" i="7"/>
  <c r="N28" i="7" a="1"/>
  <c r="N28" i="7" s="1"/>
  <c r="K28" i="7"/>
  <c r="M28" i="7" a="1"/>
  <c r="M28" i="7" s="1"/>
  <c r="K33" i="7"/>
  <c r="N33" i="7" a="1"/>
  <c r="N33" i="7" s="1"/>
  <c r="M33" i="7" a="1"/>
  <c r="M33" i="7" s="1"/>
  <c r="J126" i="7"/>
  <c r="F67" i="8" s="1"/>
  <c r="N126" i="7" a="1"/>
  <c r="N126" i="7" s="1"/>
  <c r="M126" i="7" a="1"/>
  <c r="M126" i="7" s="1"/>
  <c r="K126" i="7"/>
  <c r="N233" i="7" a="1"/>
  <c r="N233" i="7" s="1"/>
  <c r="J233" i="7"/>
  <c r="F204" i="8" s="1"/>
  <c r="M233" i="7" a="1"/>
  <c r="M233" i="7" s="1"/>
  <c r="K233" i="7"/>
  <c r="B233" i="7"/>
  <c r="B204" i="8" s="1"/>
  <c r="C233" i="7"/>
  <c r="M117" i="7" a="1"/>
  <c r="M117" i="7" s="1"/>
  <c r="N117" i="7" a="1"/>
  <c r="N117" i="7" s="1"/>
  <c r="K117" i="7"/>
  <c r="J117" i="7"/>
  <c r="F60" i="8" s="1"/>
  <c r="B117" i="7"/>
  <c r="B60" i="8" s="1"/>
  <c r="C117" i="7"/>
  <c r="C60" i="8" s="1"/>
  <c r="N64" i="7" a="1"/>
  <c r="N64" i="7" s="1"/>
  <c r="M64" i="7" a="1"/>
  <c r="M64" i="7" s="1"/>
  <c r="K64" i="7"/>
  <c r="N225" i="7" a="1"/>
  <c r="N225" i="7" s="1"/>
  <c r="K225" i="7"/>
  <c r="M225" i="7" a="1"/>
  <c r="M225" i="7" s="1"/>
  <c r="D47" i="7"/>
  <c r="M9" i="7" a="1"/>
  <c r="M9" i="7" s="1"/>
  <c r="K9" i="7"/>
  <c r="N9" i="7" a="1"/>
  <c r="N9" i="7" s="1"/>
  <c r="P9" i="7" s="1"/>
  <c r="M215" i="7" a="1"/>
  <c r="M215" i="7" s="1"/>
  <c r="K215" i="7"/>
  <c r="N215" i="7" a="1"/>
  <c r="N215" i="7" s="1"/>
  <c r="J215" i="7"/>
  <c r="L215" i="7" s="1"/>
  <c r="N209" i="7" a="1"/>
  <c r="N209" i="7" s="1"/>
  <c r="M209" i="7" a="1"/>
  <c r="M209" i="7" s="1"/>
  <c r="K209" i="7"/>
  <c r="D25" i="7"/>
  <c r="E25" i="7" s="1"/>
  <c r="N93" i="7" a="1"/>
  <c r="N93" i="7" s="1"/>
  <c r="M93" i="7" a="1"/>
  <c r="M93" i="7" s="1"/>
  <c r="K93" i="7"/>
  <c r="J93" i="7"/>
  <c r="L93" i="7" s="1"/>
  <c r="N80" i="7" a="1"/>
  <c r="N80" i="7" s="1"/>
  <c r="P80" i="7" s="1"/>
  <c r="M80" i="7" a="1"/>
  <c r="M80" i="7" s="1"/>
  <c r="K80" i="7"/>
  <c r="J80" i="7"/>
  <c r="F140" i="8" s="1"/>
  <c r="C80" i="7"/>
  <c r="B80" i="7"/>
  <c r="N29" i="7" a="1"/>
  <c r="N29" i="7" s="1"/>
  <c r="M29" i="7" a="1"/>
  <c r="M29" i="7" s="1"/>
  <c r="K29" i="7"/>
  <c r="C29" i="7"/>
  <c r="C144" i="8" s="1"/>
  <c r="B29" i="7"/>
  <c r="B144" i="8" s="1"/>
  <c r="M72" i="7" a="1"/>
  <c r="M72" i="7" s="1"/>
  <c r="C72" i="7"/>
  <c r="C71" i="8" s="1"/>
  <c r="K72" i="7"/>
  <c r="B72" i="7"/>
  <c r="B71" i="8" s="1"/>
  <c r="A105" i="8"/>
  <c r="J200" i="7"/>
  <c r="F164" i="8" s="1"/>
  <c r="K200" i="7"/>
  <c r="C200" i="7"/>
  <c r="C164" i="8" s="1"/>
  <c r="B200" i="7"/>
  <c r="B164" i="8" s="1"/>
  <c r="B105" i="8"/>
  <c r="N86" i="7" a="1"/>
  <c r="N86" i="7" s="1"/>
  <c r="K86" i="7"/>
  <c r="M86" i="7" a="1"/>
  <c r="M86" i="7" s="1"/>
  <c r="J86" i="7"/>
  <c r="N119" i="7" a="1"/>
  <c r="N119" i="7" s="1"/>
  <c r="K119" i="7"/>
  <c r="M119" i="7" a="1"/>
  <c r="M119" i="7" s="1"/>
  <c r="P119" i="7" s="1"/>
  <c r="J119" i="7"/>
  <c r="N211" i="7" a="1"/>
  <c r="N211" i="7" s="1"/>
  <c r="M211" i="7" a="1"/>
  <c r="M211" i="7" s="1"/>
  <c r="K211" i="7"/>
  <c r="J211" i="7"/>
  <c r="F201" i="8" s="1"/>
  <c r="N132" i="7" a="1"/>
  <c r="N132" i="7" s="1"/>
  <c r="M132" i="7" a="1"/>
  <c r="M132" i="7" s="1"/>
  <c r="K132" i="7"/>
  <c r="A12" i="8"/>
  <c r="N152" i="7" a="1"/>
  <c r="N152" i="7" s="1"/>
  <c r="P152" i="7" s="1"/>
  <c r="M152" i="7" a="1"/>
  <c r="M152" i="7" s="1"/>
  <c r="N59" i="7" a="1"/>
  <c r="N59" i="7" s="1"/>
  <c r="P59" i="7" s="1"/>
  <c r="M59" i="7" a="1"/>
  <c r="M59" i="7" s="1"/>
  <c r="K59" i="7"/>
  <c r="N231" i="7" a="1"/>
  <c r="N231" i="7" s="1"/>
  <c r="M231" i="7" a="1"/>
  <c r="M231" i="7" s="1"/>
  <c r="K231" i="7"/>
  <c r="N227" i="7" a="1"/>
  <c r="N227" i="7" s="1"/>
  <c r="M227" i="7" a="1"/>
  <c r="M227" i="7" s="1"/>
  <c r="K227" i="7"/>
  <c r="J227" i="7"/>
  <c r="L227" i="7" s="1"/>
  <c r="N175" i="7" a="1"/>
  <c r="N175" i="7" s="1"/>
  <c r="P175" i="7" s="1"/>
  <c r="M175" i="7" a="1"/>
  <c r="M175" i="7" s="1"/>
  <c r="K175" i="7"/>
  <c r="N156" i="7" a="1"/>
  <c r="N156" i="7" s="1"/>
  <c r="K156" i="7"/>
  <c r="M156" i="7" a="1"/>
  <c r="M156" i="7" s="1"/>
  <c r="J156" i="7"/>
  <c r="F217" i="8" s="1"/>
  <c r="D199" i="7"/>
  <c r="B104" i="7"/>
  <c r="B137" i="8" s="1"/>
  <c r="B63" i="7"/>
  <c r="B95" i="8" s="1"/>
  <c r="B25" i="7"/>
  <c r="B245" i="7"/>
  <c r="B66" i="7"/>
  <c r="B81" i="8" s="1"/>
  <c r="B35" i="7"/>
  <c r="B133" i="8" s="1"/>
  <c r="B52" i="7"/>
  <c r="B47" i="8" s="1"/>
  <c r="B34" i="7"/>
  <c r="C45" i="7"/>
  <c r="C113" i="8" s="1"/>
  <c r="C18" i="7"/>
  <c r="C35" i="8" s="1"/>
  <c r="C112" i="7"/>
  <c r="C225" i="7"/>
  <c r="C154" i="7"/>
  <c r="C35" i="7"/>
  <c r="C133" i="8" s="1"/>
  <c r="C21" i="7"/>
  <c r="C51" i="8" s="1"/>
  <c r="C50" i="7"/>
  <c r="C127" i="8" s="1"/>
  <c r="C220" i="7"/>
  <c r="K118" i="7"/>
  <c r="M160" i="7" a="1"/>
  <c r="M160" i="7" s="1"/>
  <c r="A131" i="8"/>
  <c r="M237" i="7" a="1"/>
  <c r="M237" i="7" s="1"/>
  <c r="N237" i="7" a="1"/>
  <c r="N237" i="7" s="1"/>
  <c r="D190" i="7"/>
  <c r="C237" i="7"/>
  <c r="K237" i="7"/>
  <c r="K110" i="7"/>
  <c r="N110" i="7" a="1"/>
  <c r="N110" i="7" s="1"/>
  <c r="M110" i="7" a="1"/>
  <c r="M110" i="7" s="1"/>
  <c r="J110" i="7"/>
  <c r="L110" i="7" s="1"/>
  <c r="N184" i="7" a="1"/>
  <c r="N184" i="7" s="1"/>
  <c r="K184" i="7"/>
  <c r="M184" i="7" a="1"/>
  <c r="M184" i="7" s="1"/>
  <c r="M14" i="7" a="1"/>
  <c r="M14" i="7" s="1"/>
  <c r="N14" i="7" a="1"/>
  <c r="N14" i="7" s="1"/>
  <c r="K14" i="7"/>
  <c r="N70" i="7" a="1"/>
  <c r="N70" i="7" s="1"/>
  <c r="M70" i="7" a="1"/>
  <c r="M70" i="7" s="1"/>
  <c r="D62" i="7"/>
  <c r="E62" i="7" s="1"/>
  <c r="N12" i="7" a="1"/>
  <c r="N12" i="7" s="1"/>
  <c r="J12" i="7"/>
  <c r="M12" i="7" a="1"/>
  <c r="M12" i="7" s="1"/>
  <c r="K12" i="7"/>
  <c r="B12" i="7"/>
  <c r="C12" i="7"/>
  <c r="C97" i="8" s="1"/>
  <c r="M73" i="7" a="1"/>
  <c r="M73" i="7" s="1"/>
  <c r="N73" i="7" a="1"/>
  <c r="N73" i="7" s="1"/>
  <c r="P73" i="7" s="1"/>
  <c r="K73" i="7"/>
  <c r="B73" i="7"/>
  <c r="C73" i="7"/>
  <c r="M24" i="7" a="1"/>
  <c r="M24" i="7" s="1"/>
  <c r="N24" i="7" a="1"/>
  <c r="N24" i="7" s="1"/>
  <c r="P24" i="7" s="1"/>
  <c r="K24" i="7"/>
  <c r="B24" i="7"/>
  <c r="B134" i="8" s="1"/>
  <c r="B158" i="8"/>
  <c r="C24" i="7"/>
  <c r="N26" i="7" a="1"/>
  <c r="N26" i="7" s="1"/>
  <c r="P26" i="7" s="1"/>
  <c r="M26" i="7" a="1"/>
  <c r="M26" i="7" s="1"/>
  <c r="N98" i="7" a="1"/>
  <c r="N98" i="7" s="1"/>
  <c r="P98" i="7" s="1"/>
  <c r="M98" i="7" a="1"/>
  <c r="M98" i="7" s="1"/>
  <c r="D91" i="7"/>
  <c r="E91" i="7" s="1"/>
  <c r="K98" i="7"/>
  <c r="N71" i="7" a="1"/>
  <c r="N71" i="7" s="1"/>
  <c r="M71" i="7" a="1"/>
  <c r="M71" i="7" s="1"/>
  <c r="K71" i="7"/>
  <c r="D201" i="7"/>
  <c r="J71" i="7"/>
  <c r="F83" i="8" s="1"/>
  <c r="N235" i="7" a="1"/>
  <c r="N235" i="7" s="1"/>
  <c r="D76" i="7"/>
  <c r="E76" i="7" s="1"/>
  <c r="M235" i="7" a="1"/>
  <c r="M235" i="7" s="1"/>
  <c r="K235" i="7"/>
  <c r="M169" i="7" a="1"/>
  <c r="M169" i="7" s="1"/>
  <c r="K169" i="7"/>
  <c r="N169" i="7" a="1"/>
  <c r="N169" i="7" s="1"/>
  <c r="P169" i="7" s="1"/>
  <c r="A62" i="8"/>
  <c r="M182" i="7" a="1"/>
  <c r="M182" i="7" s="1"/>
  <c r="K182" i="7"/>
  <c r="N182" i="7" a="1"/>
  <c r="N182" i="7" s="1"/>
  <c r="P182" i="7" s="1"/>
  <c r="D22" i="7"/>
  <c r="E22" i="7" s="1"/>
  <c r="J182" i="7"/>
  <c r="L182" i="7" s="1"/>
  <c r="A41" i="8"/>
  <c r="N179" i="7" a="1"/>
  <c r="N179" i="7" s="1"/>
  <c r="M179" i="7" a="1"/>
  <c r="M179" i="7" s="1"/>
  <c r="J179" i="7"/>
  <c r="F191" i="8" s="1"/>
  <c r="C179" i="7"/>
  <c r="C191" i="8" s="1"/>
  <c r="K179" i="7"/>
  <c r="J150" i="7"/>
  <c r="F226" i="8" s="1"/>
  <c r="B84" i="7"/>
  <c r="B37" i="8" s="1"/>
  <c r="B51" i="7"/>
  <c r="B33" i="8" s="1"/>
  <c r="B219" i="7"/>
  <c r="B203" i="8" s="1"/>
  <c r="B31" i="7"/>
  <c r="B30" i="8" s="1"/>
  <c r="B169" i="8"/>
  <c r="B9" i="7"/>
  <c r="B24" i="8" s="1"/>
  <c r="B209" i="7"/>
  <c r="B169" i="7"/>
  <c r="B176" i="8"/>
  <c r="B168" i="7"/>
  <c r="B211" i="7"/>
  <c r="B201" i="8" s="1"/>
  <c r="B15" i="7"/>
  <c r="B43" i="8" s="1"/>
  <c r="B240" i="8"/>
  <c r="B96" i="7"/>
  <c r="B139" i="8" s="1"/>
  <c r="B41" i="7"/>
  <c r="C186" i="7"/>
  <c r="C28" i="7"/>
  <c r="C120" i="8" s="1"/>
  <c r="C126" i="7"/>
  <c r="C115" i="7"/>
  <c r="C27" i="8" s="1"/>
  <c r="C239" i="7"/>
  <c r="C6" i="8"/>
  <c r="C171" i="7"/>
  <c r="C168" i="7"/>
  <c r="C203" i="7"/>
  <c r="C121" i="7"/>
  <c r="C105" i="8" s="1"/>
  <c r="C59" i="7"/>
  <c r="C50" i="8" s="1"/>
  <c r="C227" i="7"/>
  <c r="C156" i="7"/>
  <c r="C217" i="8" s="1"/>
  <c r="D84" i="7"/>
  <c r="E84" i="7" s="1"/>
  <c r="D41" i="7"/>
  <c r="K25" i="7"/>
  <c r="N76" i="7" a="1"/>
  <c r="N76" i="7" s="1"/>
  <c r="P76" i="7" s="1"/>
  <c r="M76" i="7" a="1"/>
  <c r="M76" i="7" s="1"/>
  <c r="N22" i="7" a="1"/>
  <c r="N22" i="7" s="1"/>
  <c r="P22" i="7" s="1"/>
  <c r="J22" i="7"/>
  <c r="L22" i="7" s="1"/>
  <c r="K22" i="7"/>
  <c r="M22" i="7" a="1"/>
  <c r="M22" i="7" s="1"/>
  <c r="N144" i="7" a="1"/>
  <c r="N144" i="7" s="1"/>
  <c r="P144" i="7" s="1"/>
  <c r="K144" i="7"/>
  <c r="M144" i="7" a="1"/>
  <c r="M144" i="7" s="1"/>
  <c r="N78" i="7" a="1"/>
  <c r="N78" i="7" s="1"/>
  <c r="K78" i="7"/>
  <c r="M78" i="7" a="1"/>
  <c r="M78" i="7" s="1"/>
  <c r="N197" i="7" a="1"/>
  <c r="N197" i="7" s="1"/>
  <c r="K197" i="7"/>
  <c r="M197" i="7" a="1"/>
  <c r="M197" i="7" s="1"/>
  <c r="M151" i="7" a="1"/>
  <c r="M151" i="7" s="1"/>
  <c r="N151" i="7" a="1"/>
  <c r="N151" i="7" s="1"/>
  <c r="K151" i="7"/>
  <c r="J151" i="7"/>
  <c r="F148" i="8" s="1"/>
  <c r="N196" i="7" a="1"/>
  <c r="N196" i="7" s="1"/>
  <c r="P196" i="7" s="1"/>
  <c r="M196" i="7" a="1"/>
  <c r="M196" i="7" s="1"/>
  <c r="K196" i="7"/>
  <c r="M65" i="7" a="1"/>
  <c r="M65" i="7" s="1"/>
  <c r="N65" i="7" a="1"/>
  <c r="N65" i="7" s="1"/>
  <c r="N82" i="7" a="1"/>
  <c r="N82" i="7" s="1"/>
  <c r="M82" i="7" a="1"/>
  <c r="M82" i="7" s="1"/>
  <c r="M120" i="7" a="1"/>
  <c r="M120" i="7" s="1"/>
  <c r="N120" i="7" a="1"/>
  <c r="N120" i="7" s="1"/>
  <c r="P120" i="7" s="1"/>
  <c r="K120" i="7"/>
  <c r="N161" i="7" a="1"/>
  <c r="N161" i="7" s="1"/>
  <c r="M161" i="7" a="1"/>
  <c r="M161" i="7" s="1"/>
  <c r="K161" i="7"/>
  <c r="M42" i="7" a="1"/>
  <c r="M42" i="7" s="1"/>
  <c r="N42" i="7" a="1"/>
  <c r="N42" i="7" s="1"/>
  <c r="P42" i="7" s="1"/>
  <c r="K42" i="7"/>
  <c r="N166" i="7" a="1"/>
  <c r="N166" i="7" s="1"/>
  <c r="P166" i="7" s="1"/>
  <c r="M166" i="7" a="1"/>
  <c r="M166" i="7" s="1"/>
  <c r="N199" i="7" a="1"/>
  <c r="N199" i="7" s="1"/>
  <c r="P199" i="7" s="1"/>
  <c r="M199" i="7" a="1"/>
  <c r="M199" i="7" s="1"/>
  <c r="K199" i="7"/>
  <c r="D43" i="7"/>
  <c r="M216" i="7" a="1"/>
  <c r="M216" i="7" s="1"/>
  <c r="K216" i="7"/>
  <c r="N176" i="7" a="1"/>
  <c r="N176" i="7" s="1"/>
  <c r="J176" i="7"/>
  <c r="F155" i="8" s="1"/>
  <c r="N241" i="7" a="1"/>
  <c r="N241" i="7" s="1"/>
  <c r="P241" i="7" s="1"/>
  <c r="M241" i="7" a="1"/>
  <c r="M241" i="7" s="1"/>
  <c r="K241" i="7"/>
  <c r="M39" i="7" a="1"/>
  <c r="M39" i="7" s="1"/>
  <c r="N39" i="7" a="1"/>
  <c r="N39" i="7" s="1"/>
  <c r="P39" i="7" s="1"/>
  <c r="K39" i="7"/>
  <c r="B76" i="7"/>
  <c r="B44" i="8" s="1"/>
  <c r="B99" i="7"/>
  <c r="B15" i="8" s="1"/>
  <c r="B149" i="7"/>
  <c r="B222" i="8" s="1"/>
  <c r="B222" i="7"/>
  <c r="B177" i="8" s="1"/>
  <c r="B100" i="7"/>
  <c r="B79" i="8" s="1"/>
  <c r="B187" i="7"/>
  <c r="B239" i="8" s="1"/>
  <c r="B227" i="8"/>
  <c r="B181" i="7"/>
  <c r="B184" i="8" s="1"/>
  <c r="B141" i="8"/>
  <c r="B174" i="7"/>
  <c r="B163" i="8" s="1"/>
  <c r="B43" i="7"/>
  <c r="B55" i="8" s="1"/>
  <c r="C90" i="7"/>
  <c r="C74" i="8" s="1"/>
  <c r="C54" i="7"/>
  <c r="C19" i="8" s="1"/>
  <c r="C206" i="7"/>
  <c r="C107" i="7"/>
  <c r="C89" i="8" s="1"/>
  <c r="C151" i="7"/>
  <c r="C148" i="8" s="1"/>
  <c r="C196" i="7"/>
  <c r="C189" i="8" s="1"/>
  <c r="C65" i="7"/>
  <c r="C52" i="8" s="1"/>
  <c r="C82" i="7"/>
  <c r="C85" i="8" s="1"/>
  <c r="C120" i="7"/>
  <c r="C16" i="8" s="1"/>
  <c r="J196" i="7"/>
  <c r="F189" i="8" s="1"/>
  <c r="N221" i="7" a="1"/>
  <c r="N221" i="7" s="1"/>
  <c r="P221" i="7" s="1"/>
  <c r="M221" i="7" a="1"/>
  <c r="M221" i="7" s="1"/>
  <c r="K221" i="7"/>
  <c r="C221" i="7"/>
  <c r="C38" i="7"/>
  <c r="C66" i="8" s="1"/>
  <c r="C234" i="7"/>
  <c r="C195" i="8" s="1"/>
  <c r="C101" i="7"/>
  <c r="C75" i="8" s="1"/>
  <c r="C78" i="7"/>
  <c r="C48" i="8" s="1"/>
  <c r="C197" i="7"/>
  <c r="K187" i="7"/>
  <c r="N38" i="7" a="1"/>
  <c r="N38" i="7" s="1"/>
  <c r="P38" i="7" s="1"/>
  <c r="J38" i="7"/>
  <c r="L38" i="7" s="1"/>
  <c r="M38" i="7" a="1"/>
  <c r="M38" i="7" s="1"/>
  <c r="K38" i="7"/>
  <c r="M90" i="7" a="1"/>
  <c r="M90" i="7" s="1"/>
  <c r="N90" i="7" a="1"/>
  <c r="N90" i="7" s="1"/>
  <c r="P90" i="7" s="1"/>
  <c r="K90" i="7"/>
  <c r="J90" i="7"/>
  <c r="L90" i="7" s="1"/>
  <c r="M139" i="7" a="1"/>
  <c r="M139" i="7" s="1"/>
  <c r="N139" i="7" a="1"/>
  <c r="N139" i="7" s="1"/>
  <c r="J139" i="7"/>
  <c r="F147" i="8" s="1"/>
  <c r="K139" i="7"/>
  <c r="M54" i="7" a="1"/>
  <c r="M54" i="7" s="1"/>
  <c r="N206" i="7" a="1"/>
  <c r="N206" i="7" s="1"/>
  <c r="M206" i="7" a="1"/>
  <c r="M206" i="7" s="1"/>
  <c r="K206" i="7"/>
  <c r="N138" i="7" a="1"/>
  <c r="N138" i="7" s="1"/>
  <c r="P138" i="7" s="1"/>
  <c r="K138" i="7"/>
  <c r="M138" i="7" a="1"/>
  <c r="M138" i="7" s="1"/>
  <c r="J138" i="7"/>
  <c r="F64" i="8" s="1"/>
  <c r="D85" i="7"/>
  <c r="A57" i="8"/>
  <c r="N6" i="7" a="1"/>
  <c r="N6" i="7" s="1"/>
  <c r="K6" i="7"/>
  <c r="M6" i="7" a="1"/>
  <c r="M6" i="7" s="1"/>
  <c r="J6" i="7"/>
  <c r="F131" i="8" s="1"/>
  <c r="N5" i="7" a="1"/>
  <c r="N5" i="7" s="1"/>
  <c r="P5" i="7" s="1"/>
  <c r="J5" i="7"/>
  <c r="F84" i="8" s="1"/>
  <c r="K5" i="7"/>
  <c r="M48" i="7" a="1"/>
  <c r="M48" i="7" s="1"/>
  <c r="N99" i="7" a="1"/>
  <c r="N99" i="7" s="1"/>
  <c r="M99" i="7" a="1"/>
  <c r="M99" i="7" s="1"/>
  <c r="K99" i="7"/>
  <c r="N149" i="7" a="1"/>
  <c r="N149" i="7" s="1"/>
  <c r="N108" i="7" a="1"/>
  <c r="N108" i="7" s="1"/>
  <c r="J108" i="7"/>
  <c r="M108" i="7" a="1"/>
  <c r="M108" i="7" s="1"/>
  <c r="K108" i="7"/>
  <c r="N222" i="7" a="1"/>
  <c r="N222" i="7" s="1"/>
  <c r="M222" i="7" a="1"/>
  <c r="M222" i="7" s="1"/>
  <c r="N100" i="7" a="1"/>
  <c r="N100" i="7"/>
  <c r="P100" i="7" s="1"/>
  <c r="K100" i="7"/>
  <c r="M100" i="7" a="1"/>
  <c r="M100" i="7" s="1"/>
  <c r="A81" i="8"/>
  <c r="N4" i="7" a="1"/>
  <c r="N4" i="7" s="1"/>
  <c r="M4" i="7" a="1"/>
  <c r="M4" i="7" s="1"/>
  <c r="K4" i="7"/>
  <c r="D246" i="7"/>
  <c r="E246" i="7" s="1"/>
  <c r="N134" i="7" a="1"/>
  <c r="N134" i="7" s="1"/>
  <c r="M134" i="7" a="1"/>
  <c r="M134" i="7" s="1"/>
  <c r="K134" i="7"/>
  <c r="J134" i="7"/>
  <c r="F69" i="8" s="1"/>
  <c r="N56" i="7" a="1"/>
  <c r="N56" i="7" s="1"/>
  <c r="P56" i="7" s="1"/>
  <c r="M56" i="7" a="1"/>
  <c r="M56" i="7" s="1"/>
  <c r="K56" i="7"/>
  <c r="A31" i="8"/>
  <c r="N116" i="7" a="1"/>
  <c r="N116" i="7" s="1"/>
  <c r="P116" i="7" s="1"/>
  <c r="K116" i="7"/>
  <c r="M116" i="7" a="1"/>
  <c r="M116" i="7" s="1"/>
  <c r="N183" i="7" a="1"/>
  <c r="N183" i="7" s="1"/>
  <c r="K183" i="7"/>
  <c r="M133" i="7" a="1"/>
  <c r="M133" i="7" s="1"/>
  <c r="K133" i="7"/>
  <c r="A88" i="8"/>
  <c r="N198" i="7" a="1"/>
  <c r="N198" i="7" s="1"/>
  <c r="P198" i="7" s="1"/>
  <c r="M198" i="7" a="1"/>
  <c r="M198" i="7" s="1"/>
  <c r="K198" i="7"/>
  <c r="B90" i="7"/>
  <c r="B74" i="8" s="1"/>
  <c r="B139" i="7"/>
  <c r="B147" i="8" s="1"/>
  <c r="B215" i="8"/>
  <c r="B54" i="7"/>
  <c r="B19" i="8" s="1"/>
  <c r="B206" i="7"/>
  <c r="B200" i="8" s="1"/>
  <c r="B151" i="7"/>
  <c r="B148" i="8" s="1"/>
  <c r="B130" i="8"/>
  <c r="B196" i="7"/>
  <c r="B189" i="8" s="1"/>
  <c r="B65" i="7"/>
  <c r="B52" i="8" s="1"/>
  <c r="B86" i="8"/>
  <c r="B82" i="7"/>
  <c r="B85" i="8" s="1"/>
  <c r="B120" i="7"/>
  <c r="B16" i="8" s="1"/>
  <c r="C76" i="7"/>
  <c r="C44" i="8" s="1"/>
  <c r="C48" i="7"/>
  <c r="C143" i="8" s="1"/>
  <c r="C13" i="8"/>
  <c r="C108" i="7"/>
  <c r="C39" i="8" s="1"/>
  <c r="C222" i="7"/>
  <c r="C177" i="8" s="1"/>
  <c r="C100" i="7"/>
  <c r="C79" i="8" s="1"/>
  <c r="C174" i="7"/>
  <c r="C163" i="8" s="1"/>
  <c r="C43" i="7"/>
  <c r="C55" i="8" s="1"/>
  <c r="C198" i="7"/>
  <c r="C211" i="8" s="1"/>
  <c r="D221" i="7"/>
  <c r="E221" i="7" s="1"/>
  <c r="J39" i="7"/>
  <c r="L39" i="7" s="1"/>
  <c r="K76" i="7"/>
  <c r="N234" i="7" a="1"/>
  <c r="N234" i="7" s="1"/>
  <c r="M234" i="7" a="1"/>
  <c r="M234" i="7" s="1"/>
  <c r="K234" i="7"/>
  <c r="N101" i="7" a="1"/>
  <c r="N101" i="7" s="1"/>
  <c r="M101" i="7" a="1"/>
  <c r="M101" i="7" s="1"/>
  <c r="M107" i="7" a="1"/>
  <c r="M107" i="7" s="1"/>
  <c r="N107" i="7" a="1"/>
  <c r="N107" i="7" s="1"/>
  <c r="J107" i="7"/>
  <c r="F89" i="8" s="1"/>
  <c r="K107" i="7"/>
  <c r="N224" i="7" a="1"/>
  <c r="N224" i="7" s="1"/>
  <c r="P224" i="7" s="1"/>
  <c r="M224" i="7" a="1"/>
  <c r="M224" i="7" s="1"/>
  <c r="K224" i="7"/>
  <c r="J224" i="7"/>
  <c r="F198" i="8" s="1"/>
  <c r="N163" i="7" a="1"/>
  <c r="N163" i="7" s="1"/>
  <c r="M163" i="7" a="1"/>
  <c r="M163" i="7" s="1"/>
  <c r="K163" i="7"/>
  <c r="N240" i="7" a="1"/>
  <c r="N240" i="7" s="1"/>
  <c r="M240" i="7" a="1"/>
  <c r="M240" i="7" s="1"/>
  <c r="K240" i="7"/>
  <c r="J240" i="7"/>
  <c r="L240" i="7" s="1"/>
  <c r="N148" i="7" a="1"/>
  <c r="N148" i="7" s="1"/>
  <c r="M148" i="7" a="1"/>
  <c r="M148" i="7" s="1"/>
  <c r="A139" i="8"/>
  <c r="N128" i="7" a="1"/>
  <c r="N128" i="7" s="1"/>
  <c r="K128" i="7"/>
  <c r="M128" i="7" a="1"/>
  <c r="M128" i="7" s="1"/>
  <c r="N58" i="7" a="1"/>
  <c r="N58" i="7" s="1"/>
  <c r="K58" i="7"/>
  <c r="M58" i="7" a="1"/>
  <c r="M58" i="7" s="1"/>
  <c r="J58" i="7"/>
  <c r="L58" i="7" s="1"/>
  <c r="N135" i="7" a="1"/>
  <c r="N135" i="7" s="1"/>
  <c r="P135" i="7" s="1"/>
  <c r="K135" i="7"/>
  <c r="M135" i="7" a="1"/>
  <c r="M135" i="7" s="1"/>
  <c r="N130" i="7" a="1"/>
  <c r="N130" i="7" s="1"/>
  <c r="K130" i="7"/>
  <c r="M130" i="7" a="1"/>
  <c r="M130" i="7" s="1"/>
  <c r="J130" i="7"/>
  <c r="F99" i="8" s="1"/>
  <c r="N187" i="7" a="1"/>
  <c r="N187" i="7" s="1"/>
  <c r="M187" i="7" a="1"/>
  <c r="M187" i="7" s="1"/>
  <c r="A141" i="8"/>
  <c r="N181" i="7" a="1"/>
  <c r="N181" i="7" s="1"/>
  <c r="M181" i="7" a="1"/>
  <c r="M181" i="7" s="1"/>
  <c r="K181" i="7"/>
  <c r="N174" i="7" a="1"/>
  <c r="N174" i="7" s="1"/>
  <c r="P174" i="7" s="1"/>
  <c r="M174" i="7" a="1"/>
  <c r="M174" i="7" s="1"/>
  <c r="K174" i="7"/>
  <c r="N43" i="7" a="1"/>
  <c r="N43" i="7" s="1"/>
  <c r="P43" i="7" s="1"/>
  <c r="K43" i="7"/>
  <c r="M43" i="7" a="1"/>
  <c r="M43" i="7" s="1"/>
  <c r="N150" i="7" a="1"/>
  <c r="N150" i="7" s="1"/>
  <c r="M150" i="7" a="1"/>
  <c r="M150" i="7" s="1"/>
  <c r="K150" i="7"/>
  <c r="C150" i="7"/>
  <c r="C226" i="8" s="1"/>
  <c r="N8" i="7" a="1"/>
  <c r="N8" i="7" s="1"/>
  <c r="D94" i="7"/>
  <c r="C8" i="7"/>
  <c r="C111" i="8" s="1"/>
  <c r="J113" i="7"/>
  <c r="F121" i="8" s="1"/>
  <c r="M113" i="7" a="1"/>
  <c r="M113" i="7" s="1"/>
  <c r="K113" i="7"/>
  <c r="C113" i="7"/>
  <c r="C121" i="8" s="1"/>
  <c r="B38" i="7"/>
  <c r="B66" i="8" s="1"/>
  <c r="B234" i="7"/>
  <c r="B195" i="8" s="1"/>
  <c r="B101" i="7"/>
  <c r="B78" i="7"/>
  <c r="B48" i="8" s="1"/>
  <c r="B197" i="7"/>
  <c r="B194" i="8" s="1"/>
  <c r="B56" i="8"/>
  <c r="C6" i="7"/>
  <c r="C131" i="8" s="1"/>
  <c r="C5" i="7"/>
  <c r="C84" i="8" s="1"/>
  <c r="C240" i="7"/>
  <c r="C175" i="8" s="1"/>
  <c r="C148" i="7"/>
  <c r="C154" i="8" s="1"/>
  <c r="C128" i="7"/>
  <c r="C57" i="8" s="1"/>
  <c r="C65" i="8"/>
  <c r="C58" i="7"/>
  <c r="C115" i="8" s="1"/>
  <c r="C135" i="7"/>
  <c r="C62" i="8" s="1"/>
  <c r="C140" i="8"/>
  <c r="C130" i="7"/>
  <c r="C99" i="8" s="1"/>
  <c r="C216" i="7"/>
  <c r="C186" i="8" s="1"/>
  <c r="D58" i="7"/>
  <c r="K65" i="7"/>
  <c r="U108" i="6"/>
  <c r="O137" i="7"/>
  <c r="A209" i="8"/>
  <c r="A231" i="8"/>
  <c r="O71" i="7"/>
  <c r="Q71" i="7" s="1"/>
  <c r="A220" i="8"/>
  <c r="O74" i="7"/>
  <c r="A67" i="8"/>
  <c r="O67" i="7"/>
  <c r="Q67" i="7" s="1"/>
  <c r="A202" i="8"/>
  <c r="A177" i="8"/>
  <c r="O161" i="7"/>
  <c r="R161" i="7" s="1"/>
  <c r="A66" i="8"/>
  <c r="O82" i="7"/>
  <c r="A18" i="8"/>
  <c r="C242" i="8"/>
  <c r="A4" i="8"/>
  <c r="O96" i="7"/>
  <c r="Q96" i="7" s="1"/>
  <c r="A120" i="8"/>
  <c r="A159" i="8"/>
  <c r="A222" i="8"/>
  <c r="A70" i="8"/>
  <c r="A69" i="8"/>
  <c r="A17" i="8"/>
  <c r="O203" i="7"/>
  <c r="R203" i="7" s="1"/>
  <c r="C208" i="8"/>
  <c r="A192" i="8"/>
  <c r="A180" i="8"/>
  <c r="O181" i="7"/>
  <c r="O220" i="7"/>
  <c r="Q220" i="7" s="1"/>
  <c r="O118" i="7"/>
  <c r="R118" i="7" s="1"/>
  <c r="A156" i="8"/>
  <c r="A40" i="8"/>
  <c r="O6" i="7"/>
  <c r="O10" i="7"/>
  <c r="O63" i="7"/>
  <c r="C108" i="8"/>
  <c r="A249" i="8"/>
  <c r="B248" i="8"/>
  <c r="A238" i="8"/>
  <c r="O170" i="7"/>
  <c r="A122" i="8"/>
  <c r="A116" i="8"/>
  <c r="A195" i="8"/>
  <c r="O62" i="7"/>
  <c r="A200" i="8"/>
  <c r="O221" i="7"/>
  <c r="Q221" i="7" s="1"/>
  <c r="A234" i="8"/>
  <c r="A11" i="8"/>
  <c r="A126" i="8"/>
  <c r="O150" i="7"/>
  <c r="O8" i="7"/>
  <c r="R8" i="7" s="1"/>
  <c r="A138" i="8"/>
  <c r="A19" i="8"/>
  <c r="O42" i="7"/>
  <c r="Q42" i="7" s="1"/>
  <c r="A104" i="8"/>
  <c r="O166" i="7"/>
  <c r="R166" i="7" s="1"/>
  <c r="B250" i="8"/>
  <c r="A210" i="8"/>
  <c r="A8" i="8"/>
  <c r="A74" i="8"/>
  <c r="A187" i="8"/>
  <c r="A196" i="8"/>
  <c r="A163" i="8"/>
  <c r="A64" i="8"/>
  <c r="O22" i="7"/>
  <c r="R22" i="7" s="1"/>
  <c r="A91" i="8"/>
  <c r="B208" i="8"/>
  <c r="O171" i="7"/>
  <c r="Q171" i="7" s="1"/>
  <c r="O134" i="7"/>
  <c r="A191" i="8"/>
  <c r="A201" i="8"/>
  <c r="O243" i="7"/>
  <c r="Q243" i="7" s="1"/>
  <c r="O186" i="7"/>
  <c r="O15" i="7"/>
  <c r="R15" i="7" s="1"/>
  <c r="A6" i="8"/>
  <c r="O238" i="7"/>
  <c r="O112" i="7"/>
  <c r="Q112" i="7" s="1"/>
  <c r="O154" i="7"/>
  <c r="Q154" i="7" s="1"/>
  <c r="O175" i="7"/>
  <c r="A149" i="8"/>
  <c r="A112" i="8"/>
  <c r="A176" i="8"/>
  <c r="O107" i="7"/>
  <c r="C156" i="8"/>
  <c r="C197" i="8"/>
  <c r="A7" i="8"/>
  <c r="A185" i="8"/>
  <c r="O56" i="7"/>
  <c r="A217" i="8"/>
  <c r="A101" i="8"/>
  <c r="A52" i="8"/>
  <c r="O219" i="7"/>
  <c r="A24" i="8"/>
  <c r="A137" i="8"/>
  <c r="A75" i="8"/>
  <c r="A182" i="8"/>
  <c r="A86" i="8"/>
  <c r="O177" i="7"/>
  <c r="O60" i="7"/>
  <c r="Q60" i="7" s="1"/>
  <c r="A244" i="8"/>
  <c r="A161" i="8"/>
  <c r="A171" i="8"/>
  <c r="A25" i="8"/>
  <c r="O39" i="7"/>
  <c r="R39" i="7" s="1"/>
  <c r="A84" i="8"/>
  <c r="B175" i="8"/>
  <c r="O188" i="7"/>
  <c r="B211" i="8"/>
  <c r="A23" i="8"/>
  <c r="B252" i="8"/>
  <c r="C227" i="8"/>
  <c r="B251" i="8"/>
  <c r="A242" i="8"/>
  <c r="A39" i="8"/>
  <c r="A111" i="8"/>
  <c r="A108" i="8"/>
  <c r="A90" i="8"/>
  <c r="A219" i="8"/>
  <c r="A78" i="8"/>
  <c r="O32" i="7"/>
  <c r="Q32" i="7" s="1"/>
  <c r="O180" i="7"/>
  <c r="A35" i="8"/>
  <c r="O24" i="7"/>
  <c r="A228" i="8"/>
  <c r="A106" i="8"/>
  <c r="O242" i="7"/>
  <c r="A51" i="8"/>
  <c r="A225" i="8"/>
  <c r="A226" i="8"/>
  <c r="O84" i="7"/>
  <c r="AC200" i="6"/>
  <c r="U206" i="6"/>
  <c r="U109" i="6"/>
  <c r="U156" i="6"/>
  <c r="U149" i="6"/>
  <c r="AD210" i="6"/>
  <c r="AD172" i="6"/>
  <c r="U216" i="6"/>
  <c r="U241" i="6"/>
  <c r="U205" i="6"/>
  <c r="U219" i="6"/>
  <c r="U121" i="6"/>
  <c r="U131" i="6"/>
  <c r="O218" i="7"/>
  <c r="AC164" i="6"/>
  <c r="O138" i="7"/>
  <c r="R138" i="7" s="1"/>
  <c r="O46" i="7"/>
  <c r="R46" i="7" s="1"/>
  <c r="AC154" i="6"/>
  <c r="O81" i="7"/>
  <c r="R81" i="7" s="1"/>
  <c r="AD173" i="6"/>
  <c r="AD123" i="6"/>
  <c r="W123" i="6" s="1"/>
  <c r="AJ123" i="6" s="1"/>
  <c r="AB109" i="6"/>
  <c r="U9" i="6"/>
  <c r="U11" i="6"/>
  <c r="U56" i="6"/>
  <c r="U53" i="6"/>
  <c r="U57" i="6"/>
  <c r="U61" i="6"/>
  <c r="U210" i="6"/>
  <c r="U201" i="6"/>
  <c r="U110" i="6"/>
  <c r="U154" i="6"/>
  <c r="U118" i="6"/>
  <c r="U111" i="6"/>
  <c r="U190" i="6"/>
  <c r="AB173" i="6"/>
  <c r="U207" i="6"/>
  <c r="U161" i="6"/>
  <c r="U246" i="6"/>
  <c r="U147" i="6"/>
  <c r="U135" i="6"/>
  <c r="U123" i="6"/>
  <c r="U107" i="6"/>
  <c r="U12" i="6"/>
  <c r="U15" i="6"/>
  <c r="U18" i="6"/>
  <c r="U69" i="6"/>
  <c r="U73" i="6"/>
  <c r="U81" i="6"/>
  <c r="AD122" i="6"/>
  <c r="AC161" i="6"/>
  <c r="O64" i="7"/>
  <c r="O139" i="7"/>
  <c r="AC170" i="6"/>
  <c r="AB180" i="6"/>
  <c r="AC180" i="6"/>
  <c r="AC153" i="6"/>
  <c r="O92" i="7"/>
  <c r="Q92" i="7" s="1"/>
  <c r="AB117" i="6"/>
  <c r="AC139" i="6"/>
  <c r="AD139" i="6"/>
  <c r="W139" i="6" s="1"/>
  <c r="AJ139" i="6" s="1"/>
  <c r="AC5" i="6"/>
  <c r="O94" i="7"/>
  <c r="AC45" i="6"/>
  <c r="O102" i="7"/>
  <c r="AD221" i="6"/>
  <c r="AC221" i="6"/>
  <c r="O225" i="7"/>
  <c r="AB226" i="6"/>
  <c r="O95" i="7"/>
  <c r="R95" i="7" s="1"/>
  <c r="AC150" i="6"/>
  <c r="AC28" i="6"/>
  <c r="O187" i="7"/>
  <c r="AD45" i="6"/>
  <c r="O144" i="7"/>
  <c r="AD24" i="6"/>
  <c r="AD195" i="6"/>
  <c r="AC146" i="6"/>
  <c r="AD146" i="6"/>
  <c r="AC232" i="6"/>
  <c r="AD189" i="6"/>
  <c r="AD99" i="6"/>
  <c r="A237" i="8"/>
  <c r="A183" i="8"/>
  <c r="A184" i="8"/>
  <c r="A216" i="8"/>
  <c r="O101" i="7"/>
  <c r="A241" i="8"/>
  <c r="O109" i="7"/>
  <c r="A160" i="8"/>
  <c r="A151" i="8"/>
  <c r="O125" i="7"/>
  <c r="A38" i="8"/>
  <c r="O192" i="7"/>
  <c r="A85" i="8"/>
  <c r="A118" i="8"/>
  <c r="A14" i="8"/>
  <c r="A189" i="8"/>
  <c r="A60" i="8"/>
  <c r="A136" i="8"/>
  <c r="B212" i="8"/>
  <c r="A212" i="8"/>
  <c r="A166" i="8"/>
  <c r="O20" i="7"/>
  <c r="Q20" i="7" s="1"/>
  <c r="A172" i="8"/>
  <c r="A203" i="8"/>
  <c r="O29" i="7"/>
  <c r="R29" i="7" s="1"/>
  <c r="AC37" i="6"/>
  <c r="AD37" i="6"/>
  <c r="AD41" i="6"/>
  <c r="O191" i="7"/>
  <c r="AC41" i="6"/>
  <c r="AD49" i="6"/>
  <c r="AC49" i="6"/>
  <c r="AB72" i="6"/>
  <c r="AB76" i="6"/>
  <c r="AB80" i="6"/>
  <c r="AB88" i="6"/>
  <c r="AB92" i="6"/>
  <c r="U202" i="6"/>
  <c r="U209" i="6"/>
  <c r="AB161" i="6"/>
  <c r="U221" i="6"/>
  <c r="U180" i="6"/>
  <c r="U174" i="6"/>
  <c r="AC131" i="6"/>
  <c r="U177" i="6"/>
  <c r="U10" i="6"/>
  <c r="U136" i="6"/>
  <c r="AB15" i="6"/>
  <c r="AB18" i="6"/>
  <c r="O25" i="7"/>
  <c r="Q25" i="7" s="1"/>
  <c r="U30" i="6"/>
  <c r="U37" i="6"/>
  <c r="U41" i="6"/>
  <c r="U45" i="6"/>
  <c r="O41" i="7"/>
  <c r="R41" i="7" s="1"/>
  <c r="AB82" i="6"/>
  <c r="U83" i="6"/>
  <c r="U100" i="6"/>
  <c r="O135" i="7"/>
  <c r="AB202" i="6"/>
  <c r="C249" i="8"/>
  <c r="U211" i="6"/>
  <c r="U183" i="6"/>
  <c r="U29" i="6"/>
  <c r="C253" i="8"/>
  <c r="U89" i="6"/>
  <c r="AC122" i="6"/>
  <c r="O123" i="7"/>
  <c r="O12" i="7"/>
  <c r="AD129" i="6"/>
  <c r="O66" i="7"/>
  <c r="R66" i="7" s="1"/>
  <c r="AC39" i="6"/>
  <c r="AB66" i="6"/>
  <c r="AB90" i="6"/>
  <c r="A179" i="8"/>
  <c r="AB192" i="6"/>
  <c r="AB19" i="6"/>
  <c r="O174" i="7"/>
  <c r="R174" i="7" s="1"/>
  <c r="AB8" i="6"/>
  <c r="AC27" i="6"/>
  <c r="AD27" i="6"/>
  <c r="W27" i="6" s="1"/>
  <c r="AJ27" i="6" s="1"/>
  <c r="A155" i="8"/>
  <c r="A199" i="8"/>
  <c r="A134" i="8"/>
  <c r="A99" i="8"/>
  <c r="A117" i="8"/>
  <c r="U106" i="6"/>
  <c r="U224" i="6"/>
  <c r="O132" i="7"/>
  <c r="AC194" i="6"/>
  <c r="AC163" i="6"/>
  <c r="AD231" i="6"/>
  <c r="AD131" i="6"/>
  <c r="O30" i="7"/>
  <c r="O35" i="7"/>
  <c r="O119" i="7"/>
  <c r="AC203" i="6"/>
  <c r="AC22" i="6"/>
  <c r="AB188" i="6"/>
  <c r="AC15" i="6"/>
  <c r="O241" i="7"/>
  <c r="AD102" i="6"/>
  <c r="AC142" i="6"/>
  <c r="U96" i="6"/>
  <c r="U74" i="6"/>
  <c r="U179" i="6"/>
  <c r="U193" i="6"/>
  <c r="AC187" i="6"/>
  <c r="A5" i="8"/>
  <c r="AB176" i="6"/>
  <c r="O179" i="7"/>
  <c r="O213" i="7"/>
  <c r="R213" i="7" s="1"/>
  <c r="O57" i="7"/>
  <c r="B216" i="8"/>
  <c r="A89" i="8"/>
  <c r="A153" i="8"/>
  <c r="A174" i="8"/>
  <c r="A181" i="8"/>
  <c r="A130" i="8"/>
  <c r="A115" i="8"/>
  <c r="O164" i="7"/>
  <c r="O47" i="7"/>
  <c r="A22" i="8"/>
  <c r="A107" i="8"/>
  <c r="O4" i="7"/>
  <c r="O9" i="7"/>
  <c r="A214" i="8"/>
  <c r="A240" i="8"/>
  <c r="A157" i="8"/>
  <c r="O37" i="7"/>
  <c r="R37" i="7" s="1"/>
  <c r="A119" i="8"/>
  <c r="O136" i="7"/>
  <c r="A168" i="8"/>
  <c r="O131" i="7"/>
  <c r="Q131" i="7" s="1"/>
  <c r="AC124" i="6"/>
  <c r="AD124" i="6"/>
  <c r="AB35" i="6"/>
  <c r="A158" i="8"/>
  <c r="O151" i="7"/>
  <c r="B174" i="8"/>
  <c r="O45" i="7"/>
  <c r="O49" i="7"/>
  <c r="A140" i="8"/>
  <c r="AC225" i="6"/>
  <c r="A68" i="8"/>
  <c r="A61" i="8"/>
  <c r="A132" i="8"/>
  <c r="AD228" i="6"/>
  <c r="O103" i="7"/>
  <c r="R103" i="7" s="1"/>
  <c r="A165" i="8"/>
  <c r="A127" i="8"/>
  <c r="O50" i="7"/>
  <c r="AC228" i="6"/>
  <c r="O141" i="7"/>
  <c r="Q141" i="7" s="1"/>
  <c r="O17" i="7"/>
  <c r="Q17" i="7" s="1"/>
  <c r="A27" i="8"/>
  <c r="O38" i="7"/>
  <c r="O206" i="7"/>
  <c r="C252" i="8"/>
  <c r="O176" i="7"/>
  <c r="U140" i="6"/>
  <c r="U116" i="6"/>
  <c r="U112" i="6"/>
  <c r="U203" i="6"/>
  <c r="AB168" i="6"/>
  <c r="AB238" i="6"/>
  <c r="AB16" i="6"/>
  <c r="AB240" i="6"/>
  <c r="AC120" i="6"/>
  <c r="AD28" i="6"/>
  <c r="U60" i="6"/>
  <c r="U98" i="6"/>
  <c r="U196" i="6"/>
  <c r="U240" i="6"/>
  <c r="U197" i="6"/>
  <c r="U245" i="6"/>
  <c r="AB236" i="6"/>
  <c r="AB125" i="6"/>
  <c r="AB215" i="6"/>
  <c r="A250" i="8"/>
  <c r="A252" i="8"/>
  <c r="A248" i="8"/>
  <c r="C251" i="8"/>
  <c r="AD216" i="6"/>
  <c r="W216" i="6" s="1"/>
  <c r="AJ216" i="6" s="1"/>
  <c r="C248" i="8"/>
  <c r="A253" i="8"/>
  <c r="A80" i="8"/>
  <c r="O232" i="7"/>
  <c r="R232" i="7" s="1"/>
  <c r="AD80" i="6"/>
  <c r="O230" i="7"/>
  <c r="AC165" i="6"/>
  <c r="AC177" i="6"/>
  <c r="O178" i="7"/>
  <c r="O147" i="7"/>
  <c r="O111" i="7"/>
  <c r="AC118" i="6"/>
  <c r="O217" i="7"/>
  <c r="AD201" i="6"/>
  <c r="AC218" i="6"/>
  <c r="AC135" i="6"/>
  <c r="O110" i="7"/>
  <c r="AD240" i="6"/>
  <c r="AC247" i="6"/>
  <c r="AD177" i="6"/>
  <c r="AC223" i="6"/>
  <c r="O13" i="7"/>
  <c r="AC209" i="6"/>
  <c r="AC215" i="6"/>
  <c r="AC20" i="6"/>
  <c r="AD108" i="6"/>
  <c r="AD17" i="6"/>
  <c r="O235" i="7"/>
  <c r="AC80" i="6"/>
  <c r="AD63" i="6"/>
  <c r="AC67" i="6"/>
  <c r="AC212" i="6"/>
  <c r="AD230" i="6"/>
  <c r="AD198" i="6"/>
  <c r="O18" i="7"/>
  <c r="R18" i="7" s="1"/>
  <c r="O53" i="7"/>
  <c r="Q53" i="7" s="1"/>
  <c r="AD209" i="6"/>
  <c r="O55" i="7"/>
  <c r="O72" i="7"/>
  <c r="AC44" i="6"/>
  <c r="AD30" i="6"/>
  <c r="AC96" i="6"/>
  <c r="AC76" i="6"/>
  <c r="AD203" i="6"/>
  <c r="W203" i="6" s="1"/>
  <c r="AJ203" i="6" s="1"/>
  <c r="AC245" i="6"/>
  <c r="O140" i="7"/>
  <c r="AD5" i="6"/>
  <c r="AD136" i="6"/>
  <c r="O88" i="7"/>
  <c r="AC112" i="6"/>
  <c r="O97" i="7"/>
  <c r="Q97" i="7" s="1"/>
  <c r="AD88" i="6"/>
  <c r="AD130" i="6"/>
  <c r="AC54" i="6"/>
  <c r="AC57" i="6"/>
  <c r="AD61" i="6"/>
  <c r="AD10" i="6"/>
  <c r="O21" i="7"/>
  <c r="O158" i="7"/>
  <c r="AC196" i="6"/>
  <c r="AD171" i="6"/>
  <c r="O120" i="7"/>
  <c r="AD165" i="6"/>
  <c r="W165" i="6" s="1"/>
  <c r="AE165" i="6" s="1"/>
  <c r="AG165" i="6" s="1"/>
  <c r="S165" i="7" s="1"/>
  <c r="O165" i="7"/>
  <c r="AD193" i="6"/>
  <c r="O189" i="7"/>
  <c r="O190" i="7"/>
  <c r="AD110" i="6"/>
  <c r="AD126" i="6"/>
  <c r="AD48" i="6"/>
  <c r="O227" i="7"/>
  <c r="AD70" i="6"/>
  <c r="O77" i="7"/>
  <c r="Q77" i="7" s="1"/>
  <c r="AC134" i="6"/>
  <c r="AD187" i="6"/>
  <c r="AD128" i="6"/>
  <c r="AC102" i="6"/>
  <c r="AB218" i="6"/>
  <c r="AD113" i="6"/>
  <c r="AD245" i="6"/>
  <c r="AD112" i="6"/>
  <c r="AB148" i="6"/>
  <c r="AC207" i="6"/>
  <c r="AC239" i="6"/>
  <c r="U231" i="6"/>
  <c r="U230" i="6"/>
  <c r="U223" i="6"/>
  <c r="U152" i="6"/>
  <c r="U225" i="6"/>
  <c r="U217" i="6"/>
  <c r="U234" i="6"/>
  <c r="U243" i="6"/>
  <c r="U115" i="6"/>
  <c r="U126" i="6"/>
  <c r="U175" i="6"/>
  <c r="U153" i="6"/>
  <c r="U185" i="6"/>
  <c r="U119" i="6"/>
  <c r="U186" i="6"/>
  <c r="U104" i="6"/>
  <c r="U14" i="6"/>
  <c r="U103" i="6"/>
  <c r="AB200" i="6"/>
  <c r="U91" i="6"/>
  <c r="U95" i="6"/>
  <c r="AD134" i="6"/>
  <c r="U213" i="6"/>
  <c r="U187" i="6"/>
  <c r="U228" i="6"/>
  <c r="AB146" i="6"/>
  <c r="U170" i="6"/>
  <c r="U220" i="6"/>
  <c r="AB140" i="6"/>
  <c r="U178" i="6"/>
  <c r="U163" i="6"/>
  <c r="U62" i="6"/>
  <c r="AB237" i="6"/>
  <c r="U132" i="6"/>
  <c r="U143" i="6"/>
  <c r="U191" i="6"/>
  <c r="U151" i="6"/>
  <c r="AB17" i="6"/>
  <c r="U232" i="6"/>
  <c r="U233" i="6"/>
  <c r="U214" i="6"/>
  <c r="U204" i="6"/>
  <c r="U195" i="6"/>
  <c r="U238" i="6"/>
  <c r="U235" i="6"/>
  <c r="U215" i="6"/>
  <c r="U165" i="6"/>
  <c r="AB229" i="6"/>
  <c r="AB113" i="6"/>
  <c r="AB197" i="6"/>
  <c r="AB203" i="6"/>
  <c r="AB212" i="6"/>
  <c r="AB242" i="6"/>
  <c r="AB189" i="6"/>
  <c r="AB222" i="6"/>
  <c r="AB190" i="6"/>
  <c r="AB121" i="6"/>
  <c r="AB138" i="6"/>
  <c r="AB172" i="6"/>
  <c r="AB166" i="6"/>
  <c r="AB108" i="6"/>
  <c r="AB206" i="6"/>
  <c r="AB149" i="6"/>
  <c r="AB150" i="6"/>
  <c r="AB198" i="6"/>
  <c r="AB196" i="6"/>
  <c r="U113" i="6"/>
  <c r="U168" i="6"/>
  <c r="U105" i="6"/>
  <c r="U194" i="6"/>
  <c r="U157" i="6"/>
  <c r="AB213" i="6"/>
  <c r="AB178" i="6"/>
  <c r="AB152" i="6"/>
  <c r="U237" i="6"/>
  <c r="U101" i="6"/>
  <c r="U114" i="6"/>
  <c r="U122" i="6"/>
  <c r="U189" i="6"/>
  <c r="U172" i="6"/>
  <c r="U138" i="6"/>
  <c r="AB246" i="6"/>
  <c r="U184" i="6"/>
  <c r="U222" i="6"/>
  <c r="U167" i="6"/>
  <c r="U218" i="6"/>
  <c r="AD235" i="6"/>
  <c r="AB21" i="6"/>
  <c r="AB37" i="6"/>
  <c r="AB14" i="6"/>
  <c r="AC179" i="6"/>
  <c r="AC128" i="6"/>
  <c r="AB129" i="6"/>
  <c r="AB183" i="6"/>
  <c r="AD179" i="6"/>
  <c r="AC186" i="6"/>
  <c r="AD170" i="6"/>
  <c r="AB230" i="6"/>
  <c r="AB233" i="6"/>
  <c r="AB105" i="6"/>
  <c r="C7" i="8"/>
  <c r="U247" i="6"/>
  <c r="U244" i="6"/>
  <c r="C250" i="8"/>
  <c r="AC242" i="6"/>
  <c r="U26" i="6"/>
  <c r="AC246" i="6"/>
  <c r="O43" i="7"/>
  <c r="R43" i="7" s="1"/>
  <c r="AD246" i="6"/>
  <c r="AB244" i="6"/>
  <c r="AD242" i="6"/>
  <c r="B69" i="8"/>
  <c r="B36" i="8"/>
  <c r="B128" i="8"/>
  <c r="A93" i="8"/>
  <c r="A82" i="8"/>
  <c r="B57" i="8"/>
  <c r="B122" i="8"/>
  <c r="B124" i="8"/>
  <c r="B123" i="8"/>
  <c r="B102" i="8"/>
  <c r="A98" i="8"/>
  <c r="A58" i="8"/>
  <c r="C69" i="8"/>
  <c r="A147" i="8"/>
  <c r="C59" i="8"/>
  <c r="B253" i="8"/>
  <c r="B59" i="8"/>
  <c r="B78" i="8"/>
  <c r="B119" i="8"/>
  <c r="B65" i="8"/>
  <c r="B160" i="8"/>
  <c r="B249" i="8"/>
  <c r="B67" i="8"/>
  <c r="B173" i="8"/>
  <c r="B193" i="8"/>
  <c r="B108" i="8"/>
  <c r="B246" i="8"/>
  <c r="B206" i="8"/>
  <c r="B91" i="8"/>
  <c r="C245" i="8"/>
  <c r="A124" i="8"/>
  <c r="B9" i="8"/>
  <c r="B84" i="8"/>
  <c r="B109" i="8"/>
  <c r="B96" i="8"/>
  <c r="B6" i="8"/>
  <c r="B45" i="8"/>
  <c r="B115" i="8"/>
  <c r="B76" i="8"/>
  <c r="U212" i="6"/>
  <c r="AC234" i="6"/>
  <c r="AC156" i="6"/>
  <c r="B218" i="8"/>
  <c r="B100" i="8"/>
  <c r="C238" i="8"/>
  <c r="C204" i="8"/>
  <c r="Y146" i="6"/>
  <c r="Y63" i="6"/>
  <c r="Y6" i="6"/>
  <c r="F228" i="7"/>
  <c r="F83" i="7"/>
  <c r="F103" i="7"/>
  <c r="F244" i="7"/>
  <c r="F56" i="7"/>
  <c r="F149" i="7"/>
  <c r="F23" i="7"/>
  <c r="F46" i="7"/>
  <c r="F212" i="7"/>
  <c r="F230" i="7"/>
  <c r="F245" i="7"/>
  <c r="F65" i="7"/>
  <c r="F17" i="7"/>
  <c r="Y188" i="6"/>
  <c r="Y96" i="6"/>
  <c r="Y174" i="6"/>
  <c r="P28" i="7"/>
  <c r="P63" i="7"/>
  <c r="P210" i="7"/>
  <c r="B29" i="8"/>
  <c r="B21" i="8"/>
  <c r="C40" i="8"/>
  <c r="B8" i="8"/>
  <c r="C150" i="8"/>
  <c r="B125" i="8"/>
  <c r="B209" i="8"/>
  <c r="C207" i="8"/>
  <c r="B231" i="8"/>
  <c r="B97" i="8"/>
  <c r="B159" i="8"/>
  <c r="C125" i="8"/>
  <c r="B136" i="8"/>
  <c r="C241" i="8"/>
  <c r="B142" i="8"/>
  <c r="P126" i="7"/>
  <c r="P68" i="7"/>
  <c r="B63" i="8"/>
  <c r="P88" i="7"/>
  <c r="C142" i="8"/>
  <c r="C98" i="8"/>
  <c r="B226" i="8"/>
  <c r="C188" i="8"/>
  <c r="P44" i="7"/>
  <c r="B235" i="8"/>
  <c r="B127" i="8"/>
  <c r="B162" i="8"/>
  <c r="B181" i="8"/>
  <c r="C109" i="8"/>
  <c r="C145" i="8"/>
  <c r="C37" i="8"/>
  <c r="B22" i="8"/>
  <c r="C243" i="8"/>
  <c r="C230" i="8"/>
  <c r="C171" i="8"/>
  <c r="C180" i="8"/>
  <c r="C168" i="8"/>
  <c r="C158" i="8"/>
  <c r="B213" i="8"/>
  <c r="P86" i="7"/>
  <c r="B185" i="8"/>
  <c r="C196" i="8"/>
  <c r="C200" i="8"/>
  <c r="P55" i="7"/>
  <c r="C22" i="8"/>
  <c r="C181" i="8"/>
  <c r="C220" i="8"/>
  <c r="C33" i="8"/>
  <c r="C172" i="8"/>
  <c r="C107" i="8"/>
  <c r="C233" i="8"/>
  <c r="C91" i="8"/>
  <c r="B75" i="8"/>
  <c r="C10" i="8"/>
  <c r="B245" i="8"/>
  <c r="P41" i="7"/>
  <c r="C169" i="8"/>
  <c r="C236" i="8"/>
  <c r="C54" i="8"/>
  <c r="P215" i="7"/>
  <c r="C194" i="8"/>
  <c r="P202" i="7"/>
  <c r="C81" i="8"/>
  <c r="C209" i="8"/>
  <c r="C43" i="8"/>
  <c r="B132" i="8"/>
  <c r="P139" i="7"/>
  <c r="B12" i="8"/>
  <c r="B225" i="8"/>
  <c r="C246" i="8"/>
  <c r="B179" i="8"/>
  <c r="P117" i="7"/>
  <c r="C182" i="8"/>
  <c r="P193" i="7"/>
  <c r="C240" i="8"/>
  <c r="C122" i="8"/>
  <c r="C117" i="8"/>
  <c r="C205" i="8"/>
  <c r="C161" i="8"/>
  <c r="C174" i="8"/>
  <c r="C215" i="8"/>
  <c r="C166" i="8"/>
  <c r="C216" i="8"/>
  <c r="C128" i="8"/>
  <c r="B40" i="8"/>
  <c r="P64" i="7"/>
  <c r="P95" i="7"/>
  <c r="C159" i="8"/>
  <c r="C68" i="8"/>
  <c r="C179" i="8"/>
  <c r="B146" i="8"/>
  <c r="C199" i="8"/>
  <c r="P111" i="7"/>
  <c r="P185" i="7"/>
  <c r="P62" i="7"/>
  <c r="P70" i="7"/>
  <c r="P214" i="7"/>
  <c r="P136" i="7"/>
  <c r="P91" i="7"/>
  <c r="P244" i="7"/>
  <c r="P31" i="7"/>
  <c r="P162" i="7"/>
  <c r="P33" i="7"/>
  <c r="P84" i="7"/>
  <c r="P110" i="7"/>
  <c r="P87" i="7"/>
  <c r="P164" i="7"/>
  <c r="P118" i="7"/>
  <c r="P74" i="7"/>
  <c r="P208" i="7"/>
  <c r="P96" i="7"/>
  <c r="P11" i="7"/>
  <c r="P77" i="7"/>
  <c r="P34" i="7"/>
  <c r="C237" i="8"/>
  <c r="C153" i="8"/>
  <c r="B10" i="8"/>
  <c r="C139" i="8"/>
  <c r="C126" i="8"/>
  <c r="P165" i="7"/>
  <c r="P211" i="7"/>
  <c r="P61" i="7"/>
  <c r="B152" i="8"/>
  <c r="C100" i="8"/>
  <c r="C5" i="8"/>
  <c r="P29" i="7"/>
  <c r="B199" i="8"/>
  <c r="C78" i="8"/>
  <c r="C23" i="8"/>
  <c r="C116" i="8"/>
  <c r="B99" i="8"/>
  <c r="C34" i="8"/>
  <c r="P89" i="7"/>
  <c r="B5" i="8"/>
  <c r="B221" i="8"/>
  <c r="C67" i="8"/>
  <c r="C92" i="8"/>
  <c r="P205" i="7"/>
  <c r="B138" i="8"/>
  <c r="C8" i="8"/>
  <c r="P27" i="7"/>
  <c r="P226" i="7"/>
  <c r="C119" i="8"/>
  <c r="P127" i="7"/>
  <c r="P83" i="7"/>
  <c r="B34" i="8"/>
  <c r="C42" i="8"/>
  <c r="C14" i="8"/>
  <c r="C94" i="8"/>
  <c r="C58" i="8"/>
  <c r="C73" i="8"/>
  <c r="B112" i="8"/>
  <c r="C138" i="8"/>
  <c r="C24" i="8"/>
  <c r="C25" i="8"/>
  <c r="C123" i="8"/>
  <c r="C53" i="8"/>
  <c r="C4" i="8"/>
  <c r="C134" i="8"/>
  <c r="P97" i="7"/>
  <c r="C90" i="8"/>
  <c r="C21" i="8"/>
  <c r="P99" i="7"/>
  <c r="C184" i="8"/>
  <c r="B58" i="8"/>
  <c r="P57" i="7"/>
  <c r="P213" i="7"/>
  <c r="B223" i="8"/>
  <c r="C31" i="8"/>
  <c r="C224" i="8"/>
  <c r="P65" i="7"/>
  <c r="C101" i="8"/>
  <c r="C219" i="8"/>
  <c r="P53" i="7"/>
  <c r="P92" i="7"/>
  <c r="C146" i="8"/>
  <c r="C225" i="8"/>
  <c r="C234" i="8"/>
  <c r="C235" i="8"/>
  <c r="C9" i="8"/>
  <c r="C231" i="8"/>
  <c r="P171" i="7"/>
  <c r="P225" i="7"/>
  <c r="P30" i="7"/>
  <c r="P105" i="7"/>
  <c r="P82" i="7"/>
  <c r="P172" i="7"/>
  <c r="P227" i="7"/>
  <c r="P32" i="7"/>
  <c r="P79" i="7"/>
  <c r="P71" i="7"/>
  <c r="P132" i="7"/>
  <c r="P93" i="7"/>
  <c r="P157" i="7"/>
  <c r="P154" i="7"/>
  <c r="P204" i="7"/>
  <c r="P229" i="7"/>
  <c r="P218" i="7"/>
  <c r="P122" i="7"/>
  <c r="P112" i="7"/>
  <c r="P140" i="7"/>
  <c r="P179" i="7"/>
  <c r="P66" i="7"/>
  <c r="P207" i="7"/>
  <c r="P137" i="7"/>
  <c r="P67" i="7"/>
  <c r="P21" i="7"/>
  <c r="P243" i="7"/>
  <c r="P159" i="7"/>
  <c r="P197" i="7"/>
  <c r="P131" i="7"/>
  <c r="P232" i="7"/>
  <c r="B101" i="8"/>
  <c r="B224" i="8"/>
  <c r="B232" i="8"/>
  <c r="B73" i="8"/>
  <c r="B49" i="8"/>
  <c r="B233" i="8"/>
  <c r="B166" i="8"/>
  <c r="B180" i="8"/>
  <c r="B178" i="8"/>
  <c r="B150" i="8"/>
  <c r="B165" i="8"/>
  <c r="B41" i="8"/>
  <c r="B192" i="8"/>
  <c r="B172" i="8"/>
  <c r="B135" i="8"/>
  <c r="B140" i="8"/>
  <c r="B207" i="8"/>
  <c r="B237" i="8"/>
  <c r="B219" i="8"/>
  <c r="B38" i="8"/>
  <c r="E248" i="8"/>
  <c r="G248" i="8" s="1"/>
  <c r="AG227" i="6"/>
  <c r="S227" i="7" s="1"/>
  <c r="E249" i="8"/>
  <c r="G249" i="8"/>
  <c r="AH63" i="6"/>
  <c r="AG247" i="6"/>
  <c r="S247" i="7" s="1"/>
  <c r="F80" i="8"/>
  <c r="AG90" i="6"/>
  <c r="S90" i="7" s="1"/>
  <c r="AF90" i="6"/>
  <c r="F250" i="8"/>
  <c r="F252" i="8"/>
  <c r="E250" i="8"/>
  <c r="G250" i="8"/>
  <c r="E251" i="8"/>
  <c r="G251" i="8"/>
  <c r="F216" i="8"/>
  <c r="E252" i="8"/>
  <c r="G252" i="8"/>
  <c r="D252" i="8"/>
  <c r="F172" i="8"/>
  <c r="F225" i="8"/>
  <c r="F248" i="8"/>
  <c r="D253" i="8"/>
  <c r="D248" i="8"/>
  <c r="F253" i="8"/>
  <c r="F150" i="8"/>
  <c r="F249" i="8"/>
  <c r="F96" i="8"/>
  <c r="F251" i="8"/>
  <c r="AF63" i="6"/>
  <c r="AG63" i="6"/>
  <c r="S63" i="7" s="1"/>
  <c r="E253" i="8"/>
  <c r="G253" i="8" s="1"/>
  <c r="F81" i="8"/>
  <c r="F125" i="8"/>
  <c r="D249" i="8"/>
  <c r="D251" i="8"/>
  <c r="D250" i="8"/>
  <c r="F169" i="8"/>
  <c r="F104" i="8"/>
  <c r="F221" i="8"/>
  <c r="F39" i="8"/>
  <c r="F126" i="8"/>
  <c r="F200" i="8"/>
  <c r="F53" i="8"/>
  <c r="F97" i="8"/>
  <c r="AD105" i="6" l="1"/>
  <c r="AC213" i="6"/>
  <c r="AC222" i="6"/>
  <c r="O215" i="7"/>
  <c r="Q215" i="7" s="1"/>
  <c r="AC193" i="6"/>
  <c r="AC172" i="6"/>
  <c r="O196" i="7"/>
  <c r="R196" i="7" s="1"/>
  <c r="O152" i="7"/>
  <c r="R152" i="7" s="1"/>
  <c r="O194" i="7"/>
  <c r="O200" i="7"/>
  <c r="R200" i="7" s="1"/>
  <c r="AC125" i="6"/>
  <c r="AD149" i="6"/>
  <c r="W149" i="6" s="1"/>
  <c r="AC105" i="6"/>
  <c r="AD237" i="6"/>
  <c r="W237" i="6" s="1"/>
  <c r="AJ237" i="6" s="1"/>
  <c r="AD233" i="6"/>
  <c r="AC113" i="6"/>
  <c r="AC205" i="6"/>
  <c r="AD217" i="6"/>
  <c r="AC173" i="6"/>
  <c r="AC175" i="6"/>
  <c r="AD159" i="6"/>
  <c r="AC137" i="6"/>
  <c r="AD104" i="6"/>
  <c r="AD6" i="6"/>
  <c r="W6" i="6" s="1"/>
  <c r="AD12" i="6"/>
  <c r="AH247" i="6"/>
  <c r="O198" i="7"/>
  <c r="AD214" i="6"/>
  <c r="AC152" i="6"/>
  <c r="O116" i="7"/>
  <c r="Q116" i="7" s="1"/>
  <c r="AC174" i="6"/>
  <c r="AD116" i="6"/>
  <c r="AC184" i="6"/>
  <c r="O169" i="7"/>
  <c r="O184" i="7"/>
  <c r="R184" i="7" s="1"/>
  <c r="AC244" i="6"/>
  <c r="AC216" i="6"/>
  <c r="AD101" i="6"/>
  <c r="AD224" i="6"/>
  <c r="W224" i="6" s="1"/>
  <c r="AJ224" i="6" s="1"/>
  <c r="AC214" i="6"/>
  <c r="AD183" i="6"/>
  <c r="AD180" i="6"/>
  <c r="AD153" i="6"/>
  <c r="AC171" i="6"/>
  <c r="AD185" i="6"/>
  <c r="AC108" i="6"/>
  <c r="E58" i="7"/>
  <c r="E39" i="7"/>
  <c r="H39" i="7" s="1"/>
  <c r="I39" i="7" s="1"/>
  <c r="D107" i="8" s="1"/>
  <c r="E211" i="7"/>
  <c r="E155" i="7"/>
  <c r="E92" i="7"/>
  <c r="E220" i="7"/>
  <c r="E188" i="7"/>
  <c r="E71" i="7"/>
  <c r="E15" i="7"/>
  <c r="W48" i="6"/>
  <c r="AE48" i="6" s="1"/>
  <c r="AG48" i="6" s="1"/>
  <c r="S48" i="7" s="1"/>
  <c r="E47" i="7"/>
  <c r="Y56" i="6"/>
  <c r="G159" i="7"/>
  <c r="E78" i="7"/>
  <c r="E143" i="7"/>
  <c r="Y113" i="6"/>
  <c r="P101" i="7"/>
  <c r="P173" i="7"/>
  <c r="P114" i="7"/>
  <c r="U33" i="6"/>
  <c r="U35" i="6"/>
  <c r="U42" i="6"/>
  <c r="U46" i="6"/>
  <c r="U50" i="6"/>
  <c r="P153" i="7"/>
  <c r="U227" i="6"/>
  <c r="U158" i="6"/>
  <c r="U192" i="6"/>
  <c r="U5" i="6"/>
  <c r="U27" i="6"/>
  <c r="U36" i="6"/>
  <c r="U49" i="6"/>
  <c r="U68" i="6"/>
  <c r="U70" i="6"/>
  <c r="U160" i="6"/>
  <c r="U155" i="6"/>
  <c r="U127" i="6"/>
  <c r="F161" i="7"/>
  <c r="X105" i="6"/>
  <c r="W105" i="6" s="1"/>
  <c r="X177" i="6"/>
  <c r="Y201" i="6"/>
  <c r="F169" i="7"/>
  <c r="F49" i="7"/>
  <c r="F41" i="7"/>
  <c r="X185" i="6"/>
  <c r="Y185" i="6" s="1"/>
  <c r="F153" i="7"/>
  <c r="F137" i="7"/>
  <c r="AD208" i="6"/>
  <c r="AC208" i="6"/>
  <c r="AE49" i="6"/>
  <c r="AF49" i="6" s="1"/>
  <c r="W49" i="6"/>
  <c r="AJ49" i="6" s="1"/>
  <c r="AD77" i="6"/>
  <c r="AC77" i="6"/>
  <c r="AE93" i="6"/>
  <c r="AG93" i="6" s="1"/>
  <c r="S93" i="7" s="1"/>
  <c r="W93" i="6"/>
  <c r="AJ93" i="6" s="1"/>
  <c r="P233" i="7"/>
  <c r="Y193" i="6"/>
  <c r="P130" i="7"/>
  <c r="P156" i="7"/>
  <c r="P180" i="7"/>
  <c r="P192" i="7"/>
  <c r="W80" i="6"/>
  <c r="AJ80" i="6" s="1"/>
  <c r="AC227" i="6"/>
  <c r="AD227" i="6"/>
  <c r="AB195" i="6"/>
  <c r="AB243" i="6"/>
  <c r="AD21" i="6"/>
  <c r="AC21" i="6"/>
  <c r="O75" i="7"/>
  <c r="P188" i="7"/>
  <c r="P16" i="7"/>
  <c r="P242" i="7"/>
  <c r="B158" i="7"/>
  <c r="B220" i="8" s="1"/>
  <c r="B70" i="7"/>
  <c r="B54" i="8" s="1"/>
  <c r="B231" i="7"/>
  <c r="B188" i="8" s="1"/>
  <c r="O159" i="7"/>
  <c r="A37" i="8"/>
  <c r="D37" i="7"/>
  <c r="A223" i="8"/>
  <c r="A227" i="8"/>
  <c r="G144" i="7"/>
  <c r="G168" i="7"/>
  <c r="D203" i="7"/>
  <c r="D241" i="7"/>
  <c r="D137" i="7"/>
  <c r="D181" i="7"/>
  <c r="F84" i="7"/>
  <c r="B42" i="7"/>
  <c r="B31" i="8" s="1"/>
  <c r="Y208" i="6"/>
  <c r="O246" i="7"/>
  <c r="Q246" i="7" s="1"/>
  <c r="AD241" i="6"/>
  <c r="AD121" i="6"/>
  <c r="AD211" i="6"/>
  <c r="AD133" i="6"/>
  <c r="J153" i="7"/>
  <c r="F224" i="8" s="1"/>
  <c r="J171" i="7"/>
  <c r="F235" i="8" s="1"/>
  <c r="U166" i="6"/>
  <c r="U145" i="6"/>
  <c r="J165" i="7"/>
  <c r="F230" i="8" s="1"/>
  <c r="U162" i="6"/>
  <c r="J181" i="7"/>
  <c r="F184" i="8" s="1"/>
  <c r="U137" i="6"/>
  <c r="AB123" i="6"/>
  <c r="U6" i="6"/>
  <c r="J7" i="7"/>
  <c r="F119" i="8" s="1"/>
  <c r="J188" i="7"/>
  <c r="F240" i="8" s="1"/>
  <c r="AC16" i="6"/>
  <c r="U28" i="6"/>
  <c r="U84" i="6"/>
  <c r="U88" i="6"/>
  <c r="J89" i="7"/>
  <c r="E107" i="7"/>
  <c r="G220" i="7"/>
  <c r="G204" i="7"/>
  <c r="G140" i="7"/>
  <c r="G100" i="7"/>
  <c r="G84" i="7"/>
  <c r="F208" i="7"/>
  <c r="F184" i="7"/>
  <c r="F88" i="7"/>
  <c r="F80" i="7"/>
  <c r="G16" i="7"/>
  <c r="G203" i="7"/>
  <c r="G195" i="7"/>
  <c r="G171" i="7"/>
  <c r="G163" i="7"/>
  <c r="G115" i="7"/>
  <c r="G43" i="7"/>
  <c r="E234" i="7"/>
  <c r="F207" i="7"/>
  <c r="F43" i="7"/>
  <c r="F31" i="7"/>
  <c r="G7" i="7"/>
  <c r="G218" i="7"/>
  <c r="G42" i="7"/>
  <c r="F234" i="7"/>
  <c r="F18" i="7"/>
  <c r="H12" i="7"/>
  <c r="I12" i="7" s="1"/>
  <c r="D97" i="8" s="1"/>
  <c r="F33" i="7"/>
  <c r="AD225" i="6"/>
  <c r="O223" i="7"/>
  <c r="J210" i="7"/>
  <c r="F243" i="8" s="1"/>
  <c r="O127" i="7"/>
  <c r="J209" i="7"/>
  <c r="F181" i="8" s="1"/>
  <c r="J161" i="7"/>
  <c r="J115" i="7"/>
  <c r="F27" i="8" s="1"/>
  <c r="J148" i="7"/>
  <c r="F154" i="8" s="1"/>
  <c r="AC147" i="6"/>
  <c r="J14" i="7"/>
  <c r="F58" i="8" s="1"/>
  <c r="J16" i="7"/>
  <c r="F94" i="8" s="1"/>
  <c r="J199" i="7"/>
  <c r="O51" i="7"/>
  <c r="Q51" i="7" s="1"/>
  <c r="J52" i="7"/>
  <c r="F47" i="8" s="1"/>
  <c r="O70" i="7"/>
  <c r="R70" i="7" s="1"/>
  <c r="O80" i="7"/>
  <c r="Q80" i="7" s="1"/>
  <c r="J96" i="7"/>
  <c r="F139" i="8" s="1"/>
  <c r="G14" i="7"/>
  <c r="G6" i="7"/>
  <c r="G233" i="7"/>
  <c r="G225" i="7"/>
  <c r="G217" i="7"/>
  <c r="G209" i="7"/>
  <c r="G201" i="7"/>
  <c r="G193" i="7"/>
  <c r="G185" i="7"/>
  <c r="G177" i="7"/>
  <c r="G169" i="7"/>
  <c r="G161" i="7"/>
  <c r="G153" i="7"/>
  <c r="G137" i="7"/>
  <c r="G121" i="7"/>
  <c r="G105" i="7"/>
  <c r="G89" i="7"/>
  <c r="G65" i="7"/>
  <c r="G57" i="7"/>
  <c r="G49" i="7"/>
  <c r="G41" i="7"/>
  <c r="G33" i="7"/>
  <c r="G17" i="7"/>
  <c r="E117" i="7"/>
  <c r="E168" i="7"/>
  <c r="E80" i="7"/>
  <c r="E24" i="7"/>
  <c r="L161" i="7"/>
  <c r="F227" i="8"/>
  <c r="AG66" i="6"/>
  <c r="S66" i="7" s="1"/>
  <c r="W111" i="6"/>
  <c r="AE111" i="6" s="1"/>
  <c r="J194" i="7"/>
  <c r="AG35" i="6"/>
  <c r="S35" i="7" s="1"/>
  <c r="J246" i="7"/>
  <c r="W66" i="6"/>
  <c r="AJ66" i="6" s="1"/>
  <c r="Y105" i="6"/>
  <c r="W211" i="6"/>
  <c r="Y224" i="6"/>
  <c r="Y176" i="6"/>
  <c r="Y168" i="6"/>
  <c r="Y120" i="6"/>
  <c r="Y40" i="6"/>
  <c r="Y151" i="6"/>
  <c r="F133" i="8"/>
  <c r="F91" i="8"/>
  <c r="W223" i="6"/>
  <c r="AE223" i="6" s="1"/>
  <c r="AF223" i="6" s="1"/>
  <c r="J77" i="7"/>
  <c r="L77" i="7" s="1"/>
  <c r="AE44" i="6"/>
  <c r="AF44" i="6" s="1"/>
  <c r="Y140" i="6"/>
  <c r="Y57" i="6"/>
  <c r="W225" i="6"/>
  <c r="W207" i="6"/>
  <c r="W104" i="6"/>
  <c r="AJ104" i="6" s="1"/>
  <c r="W12" i="6"/>
  <c r="AJ12" i="6" s="1"/>
  <c r="AB6" i="6"/>
  <c r="AB216" i="6"/>
  <c r="AC12" i="6"/>
  <c r="AC237" i="6"/>
  <c r="AD176" i="6"/>
  <c r="W176" i="6" s="1"/>
  <c r="AD109" i="6"/>
  <c r="AC121" i="6"/>
  <c r="AC183" i="6"/>
  <c r="F221" i="7"/>
  <c r="AD175" i="6"/>
  <c r="W175" i="6" s="1"/>
  <c r="AH35" i="6"/>
  <c r="AD244" i="6"/>
  <c r="AC235" i="6"/>
  <c r="AB194" i="6"/>
  <c r="AB187" i="6"/>
  <c r="AD234" i="6"/>
  <c r="AD150" i="6"/>
  <c r="U124" i="6"/>
  <c r="R211" i="7"/>
  <c r="Q119" i="7"/>
  <c r="Q179" i="7"/>
  <c r="AF232" i="6"/>
  <c r="AG232" i="6"/>
  <c r="S232" i="7" s="1"/>
  <c r="AD143" i="6"/>
  <c r="F219" i="7"/>
  <c r="P209" i="7"/>
  <c r="P184" i="7"/>
  <c r="P237" i="7"/>
  <c r="F115" i="7"/>
  <c r="F242" i="7"/>
  <c r="F162" i="7"/>
  <c r="F202" i="7"/>
  <c r="F187" i="7"/>
  <c r="F218" i="7"/>
  <c r="AB28" i="6"/>
  <c r="F186" i="7"/>
  <c r="F226" i="7"/>
  <c r="F146" i="7"/>
  <c r="AB143" i="6"/>
  <c r="AB171" i="6"/>
  <c r="W185" i="6"/>
  <c r="AE185" i="6" s="1"/>
  <c r="AH185" i="6" s="1"/>
  <c r="AB27" i="6"/>
  <c r="P195" i="7"/>
  <c r="AB164" i="6"/>
  <c r="Y169" i="6"/>
  <c r="P222" i="7"/>
  <c r="P246" i="7"/>
  <c r="P194" i="7"/>
  <c r="W210" i="6"/>
  <c r="P4" i="7"/>
  <c r="P235" i="7"/>
  <c r="P177" i="7"/>
  <c r="F27" i="7"/>
  <c r="F203" i="7"/>
  <c r="F195" i="7"/>
  <c r="F98" i="7"/>
  <c r="X234" i="6"/>
  <c r="AB232" i="6"/>
  <c r="AB101" i="6"/>
  <c r="AD15" i="6"/>
  <c r="W15" i="6" s="1"/>
  <c r="F154" i="7"/>
  <c r="R188" i="7"/>
  <c r="P170" i="7"/>
  <c r="F235" i="7"/>
  <c r="X122" i="6"/>
  <c r="U173" i="6"/>
  <c r="U182" i="6"/>
  <c r="U43" i="6"/>
  <c r="U47" i="6"/>
  <c r="U63" i="6"/>
  <c r="P19" i="7"/>
  <c r="F14" i="7"/>
  <c r="F155" i="7"/>
  <c r="AB154" i="6"/>
  <c r="AB131" i="6"/>
  <c r="AB142" i="6"/>
  <c r="AB177" i="6"/>
  <c r="Y36" i="6"/>
  <c r="R233" i="7"/>
  <c r="P107" i="7"/>
  <c r="P14" i="7"/>
  <c r="F19" i="7"/>
  <c r="F35" i="7"/>
  <c r="F227" i="7"/>
  <c r="U226" i="6"/>
  <c r="U150" i="6"/>
  <c r="AD154" i="6"/>
  <c r="AD11" i="6"/>
  <c r="W11" i="6" s="1"/>
  <c r="U92" i="6"/>
  <c r="W187" i="6"/>
  <c r="AJ187" i="6" s="1"/>
  <c r="F107" i="7"/>
  <c r="F9" i="7"/>
  <c r="U139" i="6"/>
  <c r="U188" i="6"/>
  <c r="U58" i="6"/>
  <c r="F66" i="7"/>
  <c r="F170" i="7"/>
  <c r="X244" i="6"/>
  <c r="Y244" i="6" s="1"/>
  <c r="Q241" i="7"/>
  <c r="P18" i="7"/>
  <c r="F82" i="7"/>
  <c r="AC159" i="6"/>
  <c r="AC24" i="6"/>
  <c r="F59" i="7"/>
  <c r="L89" i="7"/>
  <c r="F109" i="8"/>
  <c r="AD33" i="6"/>
  <c r="AC33" i="6"/>
  <c r="D167" i="7"/>
  <c r="K167" i="7"/>
  <c r="O167" i="7"/>
  <c r="A232" i="8"/>
  <c r="AD44" i="6"/>
  <c r="AD86" i="6"/>
  <c r="O73" i="7"/>
  <c r="Q73" i="7" s="1"/>
  <c r="J47" i="7"/>
  <c r="L47" i="7" s="1"/>
  <c r="AE85" i="6"/>
  <c r="AG85" i="6" s="1"/>
  <c r="S85" i="7" s="1"/>
  <c r="X80" i="6"/>
  <c r="Y80" i="6" s="1"/>
  <c r="AD127" i="6"/>
  <c r="AC127" i="6"/>
  <c r="U198" i="6"/>
  <c r="U200" i="6"/>
  <c r="U146" i="6"/>
  <c r="AC220" i="6"/>
  <c r="AD220" i="6"/>
  <c r="W220" i="6" s="1"/>
  <c r="U148" i="6"/>
  <c r="A46" i="8"/>
  <c r="K47" i="7"/>
  <c r="N47" i="7" a="1"/>
  <c r="N47" i="7" s="1"/>
  <c r="P47" i="7" s="1"/>
  <c r="B47" i="7"/>
  <c r="B46" i="8" s="1"/>
  <c r="D236" i="7"/>
  <c r="E236" i="7" s="1"/>
  <c r="F236" i="7"/>
  <c r="G236" i="7"/>
  <c r="A193" i="8"/>
  <c r="C236" i="7"/>
  <c r="C193" i="8" s="1"/>
  <c r="O236" i="7"/>
  <c r="C91" i="7"/>
  <c r="C26" i="8" s="1"/>
  <c r="F91" i="7"/>
  <c r="M91" i="7" a="1"/>
  <c r="M91" i="7" s="1"/>
  <c r="J91" i="7"/>
  <c r="F201" i="7"/>
  <c r="M201" i="7" a="1"/>
  <c r="M201" i="7" s="1"/>
  <c r="P201" i="7" s="1"/>
  <c r="G76" i="7"/>
  <c r="O76" i="7"/>
  <c r="Q76" i="7" s="1"/>
  <c r="A44" i="8"/>
  <c r="M85" i="7" a="1"/>
  <c r="M85" i="7" s="1"/>
  <c r="J85" i="7"/>
  <c r="F123" i="7"/>
  <c r="C123" i="7"/>
  <c r="C87" i="8" s="1"/>
  <c r="A87" i="8"/>
  <c r="J123" i="7"/>
  <c r="F87" i="8" s="1"/>
  <c r="D72" i="7"/>
  <c r="A71" i="8"/>
  <c r="N72" i="7" a="1"/>
  <c r="N72" i="7" s="1"/>
  <c r="P72" i="7" s="1"/>
  <c r="A164" i="8"/>
  <c r="N200" i="7" a="1"/>
  <c r="N200" i="7" s="1"/>
  <c r="M200" i="7" a="1"/>
  <c r="M200" i="7" s="1"/>
  <c r="D200" i="7"/>
  <c r="N48" i="7" a="1"/>
  <c r="N48" i="7" s="1"/>
  <c r="P48" i="7" s="1"/>
  <c r="A143" i="8"/>
  <c r="D48" i="7"/>
  <c r="K48" i="7"/>
  <c r="F99" i="7"/>
  <c r="C99" i="7"/>
  <c r="C15" i="8" s="1"/>
  <c r="A15" i="8"/>
  <c r="D99" i="7"/>
  <c r="O99" i="7"/>
  <c r="G149" i="7"/>
  <c r="K149" i="7"/>
  <c r="M149" i="7" a="1"/>
  <c r="M149" i="7" s="1"/>
  <c r="P149" i="7" s="1"/>
  <c r="C149" i="7"/>
  <c r="C222" i="8" s="1"/>
  <c r="B108" i="7"/>
  <c r="B39" i="8" s="1"/>
  <c r="G108" i="7"/>
  <c r="F108" i="7"/>
  <c r="D222" i="7"/>
  <c r="E222" i="7" s="1"/>
  <c r="K222" i="7"/>
  <c r="J222" i="7"/>
  <c r="F177" i="8" s="1"/>
  <c r="G152" i="7"/>
  <c r="J152" i="7"/>
  <c r="F29" i="8" s="1"/>
  <c r="K152" i="7"/>
  <c r="A29" i="8"/>
  <c r="F75" i="7"/>
  <c r="N75" i="7" a="1"/>
  <c r="N75" i="7" s="1"/>
  <c r="P75" i="7" s="1"/>
  <c r="K75" i="7"/>
  <c r="D129" i="7"/>
  <c r="E129" i="7" s="1"/>
  <c r="A28" i="8"/>
  <c r="O129" i="7"/>
  <c r="R129" i="7" s="1"/>
  <c r="B129" i="7"/>
  <c r="B28" i="8" s="1"/>
  <c r="AC86" i="6"/>
  <c r="F167" i="7"/>
  <c r="AC73" i="6"/>
  <c r="R6" i="7"/>
  <c r="P108" i="7"/>
  <c r="E51" i="7"/>
  <c r="C167" i="7"/>
  <c r="C232" i="8" s="1"/>
  <c r="X88" i="6"/>
  <c r="Y88" i="6" s="1"/>
  <c r="U242" i="6"/>
  <c r="AC231" i="6"/>
  <c r="AB231" i="6"/>
  <c r="AC155" i="6"/>
  <c r="AD155" i="6"/>
  <c r="W155" i="6" s="1"/>
  <c r="AJ155" i="6" s="1"/>
  <c r="Y137" i="6"/>
  <c r="J137" i="7"/>
  <c r="F129" i="8" s="1"/>
  <c r="AD7" i="6"/>
  <c r="O7" i="7"/>
  <c r="Q7" i="7" s="1"/>
  <c r="AD19" i="6"/>
  <c r="W19" i="6" s="1"/>
  <c r="O19" i="7"/>
  <c r="R19" i="7" s="1"/>
  <c r="B210" i="7"/>
  <c r="B243" i="8" s="1"/>
  <c r="A243" i="8"/>
  <c r="K210" i="7"/>
  <c r="G37" i="7"/>
  <c r="M37" i="7" a="1"/>
  <c r="M37" i="7" s="1"/>
  <c r="P37" i="7" s="1"/>
  <c r="C37" i="7"/>
  <c r="C106" i="8" s="1"/>
  <c r="S37" i="7"/>
  <c r="D109" i="7"/>
  <c r="E109" i="7" s="1"/>
  <c r="C109" i="7"/>
  <c r="C130" i="8" s="1"/>
  <c r="G109" i="7"/>
  <c r="N109" i="7" a="1"/>
  <c r="N109" i="7" s="1"/>
  <c r="M109" i="7" a="1"/>
  <c r="M109" i="7" s="1"/>
  <c r="Q109" i="7" s="1"/>
  <c r="D136" i="7"/>
  <c r="E136" i="7" s="1"/>
  <c r="K136" i="7"/>
  <c r="C136" i="7"/>
  <c r="C112" i="8" s="1"/>
  <c r="F136" i="7"/>
  <c r="AD40" i="6"/>
  <c r="AC40" i="6"/>
  <c r="G5" i="11" a="1"/>
  <c r="G5" i="11" s="1"/>
  <c r="F128" i="7"/>
  <c r="O33" i="7"/>
  <c r="R147" i="7"/>
  <c r="Q12" i="7"/>
  <c r="P12" i="7"/>
  <c r="AB185" i="6"/>
  <c r="AC238" i="6"/>
  <c r="J180" i="7"/>
  <c r="F199" i="8" s="1"/>
  <c r="W180" i="6"/>
  <c r="AJ180" i="6" s="1"/>
  <c r="AD141" i="6"/>
  <c r="K217" i="7"/>
  <c r="A190" i="8"/>
  <c r="B217" i="7"/>
  <c r="B190" i="8" s="1"/>
  <c r="E27" i="7"/>
  <c r="F168" i="7"/>
  <c r="F96" i="7"/>
  <c r="W36" i="6"/>
  <c r="AE36" i="6" s="1"/>
  <c r="X184" i="6"/>
  <c r="U59" i="6"/>
  <c r="U93" i="6"/>
  <c r="AD95" i="6"/>
  <c r="AC95" i="6"/>
  <c r="U97" i="6"/>
  <c r="K106" i="7"/>
  <c r="M106" i="7" a="1"/>
  <c r="M106" i="7" s="1"/>
  <c r="P106" i="7" s="1"/>
  <c r="B106" i="7"/>
  <c r="B7" i="8" s="1"/>
  <c r="G142" i="7"/>
  <c r="D142" i="7"/>
  <c r="C142" i="7"/>
  <c r="C11" i="8" s="1"/>
  <c r="K142" i="7"/>
  <c r="O142" i="7"/>
  <c r="K147" i="7"/>
  <c r="F147" i="7"/>
  <c r="N147" i="7" a="1"/>
  <c r="N147" i="7" s="1"/>
  <c r="P147" i="7" s="1"/>
  <c r="B147" i="7"/>
  <c r="B153" i="8" s="1"/>
  <c r="AC199" i="6"/>
  <c r="O199" i="7"/>
  <c r="R199" i="7" s="1"/>
  <c r="AD56" i="6"/>
  <c r="AC56" i="6"/>
  <c r="X32" i="6"/>
  <c r="Y32" i="6" s="1"/>
  <c r="F32" i="7"/>
  <c r="O48" i="7"/>
  <c r="R48" i="7" s="1"/>
  <c r="J167" i="7"/>
  <c r="F232" i="8" s="1"/>
  <c r="G167" i="7"/>
  <c r="F240" i="7"/>
  <c r="AG44" i="6"/>
  <c r="S44" i="7" s="1"/>
  <c r="AD98" i="6"/>
  <c r="O98" i="7"/>
  <c r="R98" i="7" s="1"/>
  <c r="C116" i="7"/>
  <c r="C56" i="8" s="1"/>
  <c r="D116" i="7"/>
  <c r="F116" i="7"/>
  <c r="A56" i="8"/>
  <c r="F183" i="7"/>
  <c r="M183" i="7" a="1"/>
  <c r="M183" i="7" s="1"/>
  <c r="P183" i="7" s="1"/>
  <c r="O183" i="7"/>
  <c r="B183" i="7"/>
  <c r="B32" i="8" s="1"/>
  <c r="G183" i="7"/>
  <c r="A110" i="8"/>
  <c r="N133" i="7" a="1"/>
  <c r="N133" i="7" s="1"/>
  <c r="P133" i="7" s="1"/>
  <c r="A247" i="8"/>
  <c r="J247" i="7"/>
  <c r="L247" i="7" s="1"/>
  <c r="N247" i="7" a="1"/>
  <c r="N247" i="7" s="1"/>
  <c r="P247" i="7" s="1"/>
  <c r="G247" i="7"/>
  <c r="F191" i="7"/>
  <c r="X159" i="6"/>
  <c r="Y159" i="6" s="1"/>
  <c r="F159" i="7"/>
  <c r="F127" i="7"/>
  <c r="X127" i="6"/>
  <c r="X95" i="6"/>
  <c r="F95" i="7"/>
  <c r="X71" i="6"/>
  <c r="F71" i="7"/>
  <c r="X39" i="6"/>
  <c r="F39" i="7"/>
  <c r="R209" i="7"/>
  <c r="P134" i="7"/>
  <c r="AD65" i="6"/>
  <c r="O65" i="7"/>
  <c r="Q65" i="7" s="1"/>
  <c r="AE89" i="6"/>
  <c r="AH89" i="6" s="1"/>
  <c r="W89" i="6"/>
  <c r="AJ89" i="6" s="1"/>
  <c r="X7" i="6"/>
  <c r="F7" i="7"/>
  <c r="X11" i="6"/>
  <c r="F11" i="7"/>
  <c r="F160" i="7"/>
  <c r="X160" i="6"/>
  <c r="W160" i="6" s="1"/>
  <c r="AE160" i="6" s="1"/>
  <c r="AH160" i="6" s="1"/>
  <c r="X144" i="6"/>
  <c r="F144" i="7"/>
  <c r="X64" i="6"/>
  <c r="F64" i="7"/>
  <c r="X24" i="6"/>
  <c r="F24" i="7"/>
  <c r="H24" i="7" s="1"/>
  <c r="E134" i="8" s="1"/>
  <c r="G134" i="8" s="1"/>
  <c r="W112" i="6"/>
  <c r="AD199" i="6"/>
  <c r="P78" i="7"/>
  <c r="AD52" i="6"/>
  <c r="W52" i="6" s="1"/>
  <c r="R102" i="7"/>
  <c r="Q180" i="7"/>
  <c r="J76" i="7"/>
  <c r="L76" i="7" s="1"/>
  <c r="N167" i="7" a="1"/>
  <c r="N167" i="7" s="1"/>
  <c r="P167" i="7" s="1"/>
  <c r="P146" i="7"/>
  <c r="P129" i="7"/>
  <c r="A32" i="8"/>
  <c r="F48" i="7"/>
  <c r="E208" i="7"/>
  <c r="E147" i="7"/>
  <c r="AD166" i="6"/>
  <c r="W166" i="6" s="1"/>
  <c r="AC166" i="6"/>
  <c r="W31" i="6"/>
  <c r="AJ31" i="6" s="1"/>
  <c r="J31" i="7"/>
  <c r="AE31" i="6"/>
  <c r="AF31" i="6" s="1"/>
  <c r="AD43" i="6"/>
  <c r="AC43" i="6"/>
  <c r="AE67" i="6"/>
  <c r="AG67" i="6" s="1"/>
  <c r="S67" i="7" s="1"/>
  <c r="J67" i="7"/>
  <c r="F145" i="8" s="1"/>
  <c r="AD72" i="6"/>
  <c r="AC72" i="6"/>
  <c r="AD85" i="6"/>
  <c r="AC85" i="6"/>
  <c r="W88" i="6"/>
  <c r="AJ88" i="6" s="1"/>
  <c r="J88" i="7"/>
  <c r="P121" i="7"/>
  <c r="AE39" i="6"/>
  <c r="AG39" i="6" s="1"/>
  <c r="S39" i="7" s="1"/>
  <c r="W39" i="6"/>
  <c r="AJ39" i="6" s="1"/>
  <c r="P203" i="7"/>
  <c r="M167" i="7" a="1"/>
  <c r="M167" i="7" s="1"/>
  <c r="E88" i="7"/>
  <c r="H88" i="7" s="1"/>
  <c r="E92" i="8" s="1"/>
  <c r="G92" i="8" s="1"/>
  <c r="AC204" i="6"/>
  <c r="O204" i="7"/>
  <c r="Q204" i="7" s="1"/>
  <c r="AD204" i="6"/>
  <c r="W204" i="6" s="1"/>
  <c r="O240" i="7"/>
  <c r="R240" i="7" s="1"/>
  <c r="AH240" i="6"/>
  <c r="AC158" i="6"/>
  <c r="AB158" i="6"/>
  <c r="AD8" i="6"/>
  <c r="W8" i="6" s="1"/>
  <c r="AC8" i="6"/>
  <c r="Y13" i="6"/>
  <c r="B189" i="7"/>
  <c r="B241" i="8" s="1"/>
  <c r="D189" i="7"/>
  <c r="E189" i="7" s="1"/>
  <c r="M189" i="7" a="1"/>
  <c r="M189" i="7" s="1"/>
  <c r="P189" i="7" s="1"/>
  <c r="M55" i="7" a="1"/>
  <c r="M55" i="7" s="1"/>
  <c r="K55" i="7"/>
  <c r="G55" i="7"/>
  <c r="B55" i="7"/>
  <c r="B93" i="8" s="1"/>
  <c r="K191" i="7"/>
  <c r="M191" i="7" a="1"/>
  <c r="M191" i="7" s="1"/>
  <c r="P191" i="7" s="1"/>
  <c r="A169" i="8"/>
  <c r="D81" i="7"/>
  <c r="F81" i="7"/>
  <c r="N81" i="7" a="1"/>
  <c r="N81" i="7" s="1"/>
  <c r="P81" i="7" s="1"/>
  <c r="A77" i="8"/>
  <c r="C81" i="7"/>
  <c r="C77" i="8" s="1"/>
  <c r="B81" i="7"/>
  <c r="B77" i="8" s="1"/>
  <c r="B8" i="7"/>
  <c r="B111" i="8" s="1"/>
  <c r="F8" i="7"/>
  <c r="M8" i="7" a="1"/>
  <c r="M8" i="7" s="1"/>
  <c r="P8" i="7" s="1"/>
  <c r="D8" i="7"/>
  <c r="K8" i="7"/>
  <c r="G81" i="7"/>
  <c r="Y186" i="6"/>
  <c r="Y18" i="6"/>
  <c r="E96" i="7"/>
  <c r="E72" i="7"/>
  <c r="Y205" i="6"/>
  <c r="F141" i="7"/>
  <c r="X141" i="6"/>
  <c r="Y141" i="6" s="1"/>
  <c r="Y53" i="6"/>
  <c r="O247" i="7"/>
  <c r="R247" i="7" s="1"/>
  <c r="O106" i="7"/>
  <c r="AB156" i="6"/>
  <c r="U159" i="6"/>
  <c r="AB153" i="6"/>
  <c r="AB134" i="6"/>
  <c r="AB119" i="6"/>
  <c r="AD120" i="6"/>
  <c r="W120" i="6" s="1"/>
  <c r="AE120" i="6" s="1"/>
  <c r="AB137" i="6"/>
  <c r="AB107" i="6"/>
  <c r="AB12" i="6"/>
  <c r="U17" i="6"/>
  <c r="U199" i="6"/>
  <c r="AC38" i="6"/>
  <c r="O59" i="7"/>
  <c r="U82" i="6"/>
  <c r="AD97" i="6"/>
  <c r="F193" i="7"/>
  <c r="H193" i="7" s="1"/>
  <c r="K193" i="7"/>
  <c r="D46" i="7"/>
  <c r="E46" i="7" s="1"/>
  <c r="B46" i="7"/>
  <c r="B104" i="8" s="1"/>
  <c r="D16" i="7"/>
  <c r="E16" i="7" s="1"/>
  <c r="A94" i="8"/>
  <c r="K16" i="7"/>
  <c r="D207" i="7"/>
  <c r="G207" i="7"/>
  <c r="B207" i="7"/>
  <c r="B171" i="8" s="1"/>
  <c r="D131" i="7"/>
  <c r="F131" i="7"/>
  <c r="A154" i="8"/>
  <c r="B148" i="7"/>
  <c r="B154" i="8" s="1"/>
  <c r="K148" i="7"/>
  <c r="C41" i="7"/>
  <c r="C136" i="8" s="1"/>
  <c r="D44" i="7"/>
  <c r="E44" i="7" s="1"/>
  <c r="E216" i="7"/>
  <c r="E247" i="7"/>
  <c r="E203" i="7"/>
  <c r="E19" i="7"/>
  <c r="AD212" i="6"/>
  <c r="W212" i="6" s="1"/>
  <c r="O212" i="7"/>
  <c r="AB193" i="6"/>
  <c r="AB151" i="6"/>
  <c r="AD156" i="6"/>
  <c r="W156" i="6" s="1"/>
  <c r="AE156" i="6" s="1"/>
  <c r="AC162" i="6"/>
  <c r="AD162" i="6"/>
  <c r="AD119" i="6"/>
  <c r="W119" i="6" s="1"/>
  <c r="O108" i="7"/>
  <c r="Q108" i="7" s="1"/>
  <c r="AC104" i="6"/>
  <c r="AH91" i="6"/>
  <c r="F164" i="7"/>
  <c r="B164" i="7"/>
  <c r="B229" i="8" s="1"/>
  <c r="C164" i="7"/>
  <c r="C229" i="8" s="1"/>
  <c r="G28" i="7"/>
  <c r="D60" i="7"/>
  <c r="E60" i="7" s="1"/>
  <c r="A59" i="8"/>
  <c r="A125" i="8"/>
  <c r="D112" i="7"/>
  <c r="C64" i="7"/>
  <c r="C114" i="8" s="1"/>
  <c r="G64" i="7"/>
  <c r="B64" i="7"/>
  <c r="B114" i="8" s="1"/>
  <c r="F231" i="7"/>
  <c r="H231" i="7" s="1"/>
  <c r="O208" i="7"/>
  <c r="R208" i="7" s="1"/>
  <c r="W122" i="6"/>
  <c r="AE122" i="6" s="1"/>
  <c r="AF122" i="6" s="1"/>
  <c r="Q173" i="7"/>
  <c r="P6" i="7"/>
  <c r="P161" i="7"/>
  <c r="J49" i="7"/>
  <c r="L49" i="7" s="1"/>
  <c r="E87" i="7"/>
  <c r="O93" i="7"/>
  <c r="AD16" i="6"/>
  <c r="W16" i="6" s="1"/>
  <c r="AE16" i="6" s="1"/>
  <c r="AG16" i="6" s="1"/>
  <c r="S16" i="7" s="1"/>
  <c r="AD206" i="6"/>
  <c r="W206" i="6" s="1"/>
  <c r="AE206" i="6" s="1"/>
  <c r="AD151" i="6"/>
  <c r="W151" i="6" s="1"/>
  <c r="AE151" i="6" s="1"/>
  <c r="U171" i="6"/>
  <c r="U134" i="6"/>
  <c r="U129" i="6"/>
  <c r="AD186" i="6"/>
  <c r="W186" i="6" s="1"/>
  <c r="AE186" i="6" s="1"/>
  <c r="U4" i="6"/>
  <c r="U8" i="6"/>
  <c r="U20" i="6"/>
  <c r="U32" i="6"/>
  <c r="AH37" i="6"/>
  <c r="U40" i="6"/>
  <c r="U48" i="6"/>
  <c r="U52" i="6"/>
  <c r="U77" i="6"/>
  <c r="U86" i="6"/>
  <c r="U99" i="6"/>
  <c r="G67" i="7"/>
  <c r="P240" i="7"/>
  <c r="P206" i="7"/>
  <c r="O162" i="7"/>
  <c r="R162" i="7" s="1"/>
  <c r="P219" i="7"/>
  <c r="J41" i="7"/>
  <c r="O222" i="7"/>
  <c r="R222" i="7" s="1"/>
  <c r="AC148" i="6"/>
  <c r="AC133" i="6"/>
  <c r="AC236" i="6"/>
  <c r="U7" i="6"/>
  <c r="U72" i="6"/>
  <c r="AH90" i="6"/>
  <c r="J99" i="7"/>
  <c r="F15" i="8" s="1"/>
  <c r="E120" i="7"/>
  <c r="W91" i="6"/>
  <c r="AJ91" i="6" s="1"/>
  <c r="AC195" i="6"/>
  <c r="J109" i="7"/>
  <c r="F130" i="8" s="1"/>
  <c r="AC140" i="6"/>
  <c r="G244" i="7"/>
  <c r="B18" i="7"/>
  <c r="B35" i="8" s="1"/>
  <c r="J18" i="7"/>
  <c r="L18" i="7" s="1"/>
  <c r="N141" i="7" a="1"/>
  <c r="N141" i="7" s="1"/>
  <c r="P141" i="7" s="1"/>
  <c r="J141" i="7"/>
  <c r="F10" i="8" s="1"/>
  <c r="F192" i="7"/>
  <c r="B13" i="7"/>
  <c r="B103" i="8" s="1"/>
  <c r="M13" i="7" a="1"/>
  <c r="M13" i="7" s="1"/>
  <c r="P13" i="7" s="1"/>
  <c r="D245" i="7"/>
  <c r="N245" i="7" a="1"/>
  <c r="N245" i="7" s="1"/>
  <c r="P245" i="7" s="1"/>
  <c r="G226" i="7"/>
  <c r="G170" i="7"/>
  <c r="E105" i="7"/>
  <c r="H105" i="7" s="1"/>
  <c r="G35" i="7"/>
  <c r="F40" i="7"/>
  <c r="F188" i="7"/>
  <c r="F15" i="7"/>
  <c r="G135" i="7"/>
  <c r="G172" i="7"/>
  <c r="F120" i="7"/>
  <c r="H120" i="7" s="1"/>
  <c r="P15" i="7"/>
  <c r="D98" i="7"/>
  <c r="F138" i="7"/>
  <c r="J127" i="7"/>
  <c r="F68" i="8" s="1"/>
  <c r="J205" i="7"/>
  <c r="F157" i="8" s="1"/>
  <c r="F51" i="7"/>
  <c r="E156" i="7"/>
  <c r="F114" i="7"/>
  <c r="L199" i="7"/>
  <c r="F212" i="8"/>
  <c r="H89" i="7"/>
  <c r="AC182" i="6"/>
  <c r="AD182" i="6"/>
  <c r="L86" i="7"/>
  <c r="F116" i="8"/>
  <c r="K23" i="7"/>
  <c r="AC168" i="6"/>
  <c r="AD168" i="6"/>
  <c r="W168" i="6" s="1"/>
  <c r="AJ168" i="6" s="1"/>
  <c r="AC197" i="6"/>
  <c r="O197" i="7"/>
  <c r="AD197" i="6"/>
  <c r="J207" i="7"/>
  <c r="F171" i="8" s="1"/>
  <c r="Y207" i="6"/>
  <c r="AC201" i="6"/>
  <c r="O201" i="7"/>
  <c r="R201" i="7" s="1"/>
  <c r="AC229" i="6"/>
  <c r="O229" i="7"/>
  <c r="AD229" i="6"/>
  <c r="W229" i="6" s="1"/>
  <c r="AE229" i="6" s="1"/>
  <c r="AH229" i="6" s="1"/>
  <c r="AC226" i="6"/>
  <c r="AD226" i="6"/>
  <c r="W226" i="6" s="1"/>
  <c r="P181" i="7"/>
  <c r="O143" i="7"/>
  <c r="Q143" i="7" s="1"/>
  <c r="O155" i="7"/>
  <c r="Q155" i="7" s="1"/>
  <c r="R177" i="7"/>
  <c r="P151" i="7"/>
  <c r="W53" i="6"/>
  <c r="AE53" i="6" s="1"/>
  <c r="AF53" i="6" s="1"/>
  <c r="AC143" i="6"/>
  <c r="AC167" i="6"/>
  <c r="F44" i="8"/>
  <c r="Q107" i="7"/>
  <c r="P187" i="7"/>
  <c r="U64" i="6"/>
  <c r="AB147" i="6"/>
  <c r="AD147" i="6"/>
  <c r="AC130" i="6"/>
  <c r="AB130" i="6"/>
  <c r="AC14" i="6"/>
  <c r="AD14" i="6"/>
  <c r="W14" i="6" s="1"/>
  <c r="AJ14" i="6" s="1"/>
  <c r="O14" i="7"/>
  <c r="AC26" i="6"/>
  <c r="O26" i="7"/>
  <c r="Q26" i="7" s="1"/>
  <c r="AD34" i="6"/>
  <c r="AC34" i="6"/>
  <c r="O34" i="7"/>
  <c r="R34" i="7" s="1"/>
  <c r="W199" i="6"/>
  <c r="AJ199" i="6" s="1"/>
  <c r="AE199" i="6"/>
  <c r="AF199" i="6" s="1"/>
  <c r="AC58" i="6"/>
  <c r="AD58" i="6"/>
  <c r="AD92" i="6"/>
  <c r="AC92" i="6"/>
  <c r="G182" i="7"/>
  <c r="O182" i="7"/>
  <c r="Q182" i="7" s="1"/>
  <c r="B182" i="7"/>
  <c r="B210" i="8" s="1"/>
  <c r="D227" i="7"/>
  <c r="E227" i="7" s="1"/>
  <c r="F224" i="7"/>
  <c r="D23" i="7"/>
  <c r="E23" i="7" s="1"/>
  <c r="G23" i="7"/>
  <c r="N23" i="7" a="1"/>
  <c r="N23" i="7" s="1"/>
  <c r="J23" i="7"/>
  <c r="F82" i="8" s="1"/>
  <c r="B23" i="7"/>
  <c r="B82" i="8" s="1"/>
  <c r="M23" i="7" a="1"/>
  <c r="M23" i="7" s="1"/>
  <c r="D178" i="7"/>
  <c r="E178" i="7" s="1"/>
  <c r="F178" i="7"/>
  <c r="N178" i="7" a="1"/>
  <c r="N178" i="7" s="1"/>
  <c r="P178" i="7" s="1"/>
  <c r="M178" i="7" a="1"/>
  <c r="M178" i="7" s="1"/>
  <c r="K178" i="7"/>
  <c r="J178" i="7"/>
  <c r="F156" i="8" s="1"/>
  <c r="B216" i="7"/>
  <c r="B186" i="8" s="1"/>
  <c r="N216" i="7" a="1"/>
  <c r="N216" i="7" s="1"/>
  <c r="P216" i="7" s="1"/>
  <c r="J145" i="7"/>
  <c r="F151" i="8" s="1"/>
  <c r="M145" i="7" a="1"/>
  <c r="M145" i="7" s="1"/>
  <c r="Q145" i="7" s="1"/>
  <c r="B145" i="7"/>
  <c r="B151" i="8" s="1"/>
  <c r="D145" i="7"/>
  <c r="C145" i="7"/>
  <c r="C151" i="8" s="1"/>
  <c r="F145" i="7"/>
  <c r="N145" i="7" a="1"/>
  <c r="N145" i="7" s="1"/>
  <c r="D230" i="7"/>
  <c r="E230" i="7" s="1"/>
  <c r="G230" i="7"/>
  <c r="B230" i="7"/>
  <c r="B202" i="8" s="1"/>
  <c r="C230" i="7"/>
  <c r="C202" i="8" s="1"/>
  <c r="N230" i="7" a="1"/>
  <c r="N230" i="7" s="1"/>
  <c r="M230" i="7" a="1"/>
  <c r="M230" i="7" s="1"/>
  <c r="R230" i="7" s="1"/>
  <c r="D113" i="7"/>
  <c r="N113" i="7" a="1"/>
  <c r="N113" i="7" s="1"/>
  <c r="O113" i="7"/>
  <c r="R113" i="7" s="1"/>
  <c r="B113" i="7"/>
  <c r="B121" i="8" s="1"/>
  <c r="F113" i="7"/>
  <c r="G145" i="7"/>
  <c r="G113" i="7"/>
  <c r="X229" i="6"/>
  <c r="Y229" i="6" s="1"/>
  <c r="F229" i="7"/>
  <c r="F213" i="7"/>
  <c r="H213" i="7" s="1"/>
  <c r="X213" i="6"/>
  <c r="X197" i="6"/>
  <c r="Y197" i="6" s="1"/>
  <c r="F197" i="7"/>
  <c r="X189" i="6"/>
  <c r="W189" i="6" s="1"/>
  <c r="AE189" i="6" s="1"/>
  <c r="F189" i="7"/>
  <c r="F181" i="7"/>
  <c r="X181" i="6"/>
  <c r="Y181" i="6" s="1"/>
  <c r="X173" i="6"/>
  <c r="Y173" i="6" s="1"/>
  <c r="F173" i="7"/>
  <c r="X165" i="6"/>
  <c r="Y165" i="6" s="1"/>
  <c r="F165" i="7"/>
  <c r="X133" i="6"/>
  <c r="W133" i="6" s="1"/>
  <c r="F133" i="7"/>
  <c r="F125" i="7"/>
  <c r="H125" i="7" s="1"/>
  <c r="I125" i="7" s="1"/>
  <c r="D123" i="8" s="1"/>
  <c r="X125" i="6"/>
  <c r="Y125" i="6" s="1"/>
  <c r="X101" i="6"/>
  <c r="Y101" i="6" s="1"/>
  <c r="F101" i="7"/>
  <c r="F85" i="7"/>
  <c r="X85" i="6"/>
  <c r="Y85" i="6" s="1"/>
  <c r="F77" i="7"/>
  <c r="X77" i="6"/>
  <c r="Y77" i="6" s="1"/>
  <c r="F29" i="7"/>
  <c r="X29" i="6"/>
  <c r="Y29" i="6" s="1"/>
  <c r="X21" i="6"/>
  <c r="F21" i="7"/>
  <c r="AB133" i="6"/>
  <c r="W22" i="6"/>
  <c r="AJ22" i="6" s="1"/>
  <c r="AC211" i="6"/>
  <c r="AB219" i="6"/>
  <c r="U176" i="6"/>
  <c r="AB207" i="6"/>
  <c r="AB191" i="6"/>
  <c r="AB78" i="6"/>
  <c r="D74" i="7"/>
  <c r="E74" i="7" s="1"/>
  <c r="F74" i="7"/>
  <c r="K74" i="7"/>
  <c r="D243" i="7"/>
  <c r="E243" i="7" s="1"/>
  <c r="F243" i="7"/>
  <c r="D17" i="7"/>
  <c r="B17" i="7"/>
  <c r="B42" i="8" s="1"/>
  <c r="R205" i="7"/>
  <c r="J84" i="7"/>
  <c r="F37" i="8" s="1"/>
  <c r="O11" i="7"/>
  <c r="R11" i="7" s="1"/>
  <c r="AC11" i="6"/>
  <c r="O117" i="7"/>
  <c r="Q117" i="7" s="1"/>
  <c r="W41" i="6"/>
  <c r="AJ41" i="6" s="1"/>
  <c r="Y79" i="6"/>
  <c r="Y240" i="6"/>
  <c r="AI240" i="6" s="1"/>
  <c r="AC233" i="6"/>
  <c r="AB209" i="6"/>
  <c r="AB234" i="6"/>
  <c r="AC191" i="6"/>
  <c r="U239" i="6"/>
  <c r="U181" i="6"/>
  <c r="U130" i="6"/>
  <c r="AC107" i="6"/>
  <c r="U13" i="6"/>
  <c r="U23" i="6"/>
  <c r="U39" i="6"/>
  <c r="AC82" i="6"/>
  <c r="U85" i="6"/>
  <c r="D151" i="7"/>
  <c r="E151" i="7" s="1"/>
  <c r="G151" i="7"/>
  <c r="F151" i="7"/>
  <c r="B137" i="7"/>
  <c r="B129" i="8" s="1"/>
  <c r="K137" i="7"/>
  <c r="P163" i="7"/>
  <c r="O163" i="7"/>
  <c r="R163" i="7" s="1"/>
  <c r="E182" i="7"/>
  <c r="AD202" i="6"/>
  <c r="W202" i="6" s="1"/>
  <c r="AC9" i="6"/>
  <c r="O126" i="7"/>
  <c r="Q126" i="7" s="1"/>
  <c r="AE18" i="6"/>
  <c r="AF18" i="6" s="1"/>
  <c r="J230" i="7"/>
  <c r="F202" i="8" s="1"/>
  <c r="Y121" i="6"/>
  <c r="AB155" i="6"/>
  <c r="AB127" i="6"/>
  <c r="AB201" i="6"/>
  <c r="AD32" i="6"/>
  <c r="AC32" i="6"/>
  <c r="AB36" i="6"/>
  <c r="U38" i="6"/>
  <c r="E215" i="7"/>
  <c r="D36" i="7"/>
  <c r="E36" i="7" s="1"/>
  <c r="J36" i="7"/>
  <c r="F38" i="8" s="1"/>
  <c r="D157" i="7"/>
  <c r="E157" i="7" s="1"/>
  <c r="F157" i="7"/>
  <c r="B220" i="7"/>
  <c r="B197" i="8" s="1"/>
  <c r="N220" i="7" a="1"/>
  <c r="N220" i="7" s="1"/>
  <c r="P220" i="7" s="1"/>
  <c r="B56" i="7"/>
  <c r="B4" i="8" s="1"/>
  <c r="G56" i="7"/>
  <c r="J56" i="7"/>
  <c r="F4" i="8" s="1"/>
  <c r="W191" i="6"/>
  <c r="AE191" i="6" s="1"/>
  <c r="AF191" i="6" s="1"/>
  <c r="R64" i="7"/>
  <c r="Q120" i="7"/>
  <c r="R128" i="7"/>
  <c r="R242" i="7"/>
  <c r="R134" i="7"/>
  <c r="Q170" i="7"/>
  <c r="R82" i="7"/>
  <c r="P234" i="7"/>
  <c r="P231" i="7"/>
  <c r="O89" i="7"/>
  <c r="Q89" i="7" s="1"/>
  <c r="AC89" i="6"/>
  <c r="AC42" i="6"/>
  <c r="F57" i="7"/>
  <c r="A129" i="8"/>
  <c r="AE76" i="6"/>
  <c r="AG76" i="6" s="1"/>
  <c r="S76" i="7" s="1"/>
  <c r="D239" i="7"/>
  <c r="M239" i="7" a="1"/>
  <c r="M239" i="7" s="1"/>
  <c r="P239" i="7" s="1"/>
  <c r="D121" i="7"/>
  <c r="F121" i="7"/>
  <c r="AD167" i="6"/>
  <c r="W167" i="6" s="1"/>
  <c r="AE167" i="6" s="1"/>
  <c r="AH167" i="6" s="1"/>
  <c r="AD188" i="6"/>
  <c r="W188" i="6" s="1"/>
  <c r="AE26" i="6"/>
  <c r="W26" i="6"/>
  <c r="AJ26" i="6" s="1"/>
  <c r="AD47" i="6"/>
  <c r="AC47" i="6"/>
  <c r="AD68" i="6"/>
  <c r="W68" i="6" s="1"/>
  <c r="AC68" i="6"/>
  <c r="C217" i="7"/>
  <c r="C190" i="8" s="1"/>
  <c r="F217" i="7"/>
  <c r="D217" i="7"/>
  <c r="M217" i="7" a="1"/>
  <c r="M217" i="7" s="1"/>
  <c r="R217" i="7" s="1"/>
  <c r="D177" i="7"/>
  <c r="E177" i="7" s="1"/>
  <c r="H177" i="7" s="1"/>
  <c r="B177" i="7"/>
  <c r="B183" i="8" s="1"/>
  <c r="D192" i="7"/>
  <c r="E192" i="7" s="1"/>
  <c r="K192" i="7"/>
  <c r="D50" i="7"/>
  <c r="E50" i="7" s="1"/>
  <c r="H50" i="7" s="1"/>
  <c r="C47" i="7"/>
  <c r="C46" i="8" s="1"/>
  <c r="F63" i="7"/>
  <c r="B119" i="7"/>
  <c r="B80" i="8" s="1"/>
  <c r="F119" i="7"/>
  <c r="C211" i="7"/>
  <c r="C201" i="8" s="1"/>
  <c r="F211" i="7"/>
  <c r="AH66" i="6"/>
  <c r="U117" i="6"/>
  <c r="U142" i="6"/>
  <c r="U21" i="6"/>
  <c r="A26" i="8"/>
  <c r="K91" i="7"/>
  <c r="J216" i="7"/>
  <c r="F186" i="8" s="1"/>
  <c r="U120" i="6"/>
  <c r="AD46" i="6"/>
  <c r="W46" i="6" s="1"/>
  <c r="AJ46" i="6" s="1"/>
  <c r="AC46" i="6"/>
  <c r="U65" i="6"/>
  <c r="U78" i="6"/>
  <c r="AE87" i="6"/>
  <c r="AF87" i="6" s="1"/>
  <c r="W87" i="6"/>
  <c r="AJ87" i="6" s="1"/>
  <c r="U90" i="6"/>
  <c r="D148" i="7"/>
  <c r="E148" i="7" s="1"/>
  <c r="F148" i="7"/>
  <c r="D164" i="7"/>
  <c r="E164" i="7" s="1"/>
  <c r="G175" i="7"/>
  <c r="D153" i="7"/>
  <c r="G96" i="7"/>
  <c r="D197" i="7"/>
  <c r="E197" i="7" s="1"/>
  <c r="A194" i="8"/>
  <c r="D32" i="7"/>
  <c r="E32" i="7" s="1"/>
  <c r="G32" i="7"/>
  <c r="B184" i="7"/>
  <c r="B214" i="8" s="1"/>
  <c r="D184" i="7"/>
  <c r="O146" i="7"/>
  <c r="R146" i="7" s="1"/>
  <c r="C152" i="7"/>
  <c r="C29" i="8" s="1"/>
  <c r="F152" i="7"/>
  <c r="D152" i="7"/>
  <c r="B59" i="7"/>
  <c r="B50" i="8" s="1"/>
  <c r="A50" i="8"/>
  <c r="B39" i="7"/>
  <c r="B107" i="8" s="1"/>
  <c r="G39" i="7"/>
  <c r="D42" i="7"/>
  <c r="E42" i="7" s="1"/>
  <c r="H42" i="7" s="1"/>
  <c r="G134" i="7"/>
  <c r="D79" i="7"/>
  <c r="E79" i="7" s="1"/>
  <c r="A146" i="8"/>
  <c r="F87" i="7"/>
  <c r="E194" i="7"/>
  <c r="O28" i="7"/>
  <c r="R28" i="7" s="1"/>
  <c r="E35" i="7"/>
  <c r="H35" i="7" s="1"/>
  <c r="D226" i="7"/>
  <c r="E226" i="7" s="1"/>
  <c r="M142" i="7" a="1"/>
  <c r="M142" i="7" s="1"/>
  <c r="P142" i="7" s="1"/>
  <c r="AC101" i="6"/>
  <c r="K242" i="7"/>
  <c r="D242" i="7"/>
  <c r="D223" i="7"/>
  <c r="G223" i="7"/>
  <c r="A204" i="8"/>
  <c r="D233" i="7"/>
  <c r="C187" i="7"/>
  <c r="C239" i="8" s="1"/>
  <c r="D187" i="7"/>
  <c r="E187" i="7" s="1"/>
  <c r="D55" i="7"/>
  <c r="E55" i="7" s="1"/>
  <c r="F55" i="7"/>
  <c r="G9" i="7"/>
  <c r="G180" i="7"/>
  <c r="H180" i="7" s="1"/>
  <c r="L180" i="7" s="1"/>
  <c r="G92" i="7"/>
  <c r="D106" i="7"/>
  <c r="E106" i="7" s="1"/>
  <c r="F106" i="7"/>
  <c r="C163" i="7"/>
  <c r="C228" i="8" s="1"/>
  <c r="F163" i="7"/>
  <c r="H163" i="7" s="1"/>
  <c r="I163" i="7" s="1"/>
  <c r="D228" i="8" s="1"/>
  <c r="D127" i="7"/>
  <c r="E127" i="7" s="1"/>
  <c r="G127" i="7"/>
  <c r="G202" i="7"/>
  <c r="G194" i="7"/>
  <c r="G186" i="7"/>
  <c r="G162" i="7"/>
  <c r="G138" i="7"/>
  <c r="G130" i="7"/>
  <c r="G114" i="7"/>
  <c r="G98" i="7"/>
  <c r="G90" i="7"/>
  <c r="G82" i="7"/>
  <c r="G74" i="7"/>
  <c r="G66" i="7"/>
  <c r="G58" i="7"/>
  <c r="H58" i="7" s="1"/>
  <c r="G34" i="7"/>
  <c r="G18" i="7"/>
  <c r="Y227" i="6"/>
  <c r="Y219" i="6"/>
  <c r="Y187" i="6"/>
  <c r="Y139" i="6"/>
  <c r="Y107" i="6"/>
  <c r="Y91" i="6"/>
  <c r="Y83" i="6"/>
  <c r="Y59" i="6"/>
  <c r="Y43" i="6"/>
  <c r="Y35" i="6"/>
  <c r="Y19" i="6"/>
  <c r="E142" i="7"/>
  <c r="E30" i="7"/>
  <c r="E137" i="7"/>
  <c r="H137" i="7" s="1"/>
  <c r="E65" i="7"/>
  <c r="H65" i="7" s="1"/>
  <c r="E57" i="7"/>
  <c r="F246" i="7"/>
  <c r="F142" i="7"/>
  <c r="Y86" i="6"/>
  <c r="Y89" i="6"/>
  <c r="O231" i="7"/>
  <c r="Q231" i="7" s="1"/>
  <c r="J204" i="7"/>
  <c r="F170" i="8" s="1"/>
  <c r="J202" i="7"/>
  <c r="F196" i="8" s="1"/>
  <c r="J234" i="7"/>
  <c r="F195" i="8" s="1"/>
  <c r="J163" i="7"/>
  <c r="F228" i="8" s="1"/>
  <c r="AD140" i="6"/>
  <c r="W140" i="6" s="1"/>
  <c r="U66" i="6"/>
  <c r="U79" i="6"/>
  <c r="AH80" i="6"/>
  <c r="AI80" i="6" s="1"/>
  <c r="AC157" i="6"/>
  <c r="O157" i="7"/>
  <c r="Q157" i="7" s="1"/>
  <c r="AD157" i="6"/>
  <c r="W157" i="6" s="1"/>
  <c r="AJ157" i="6" s="1"/>
  <c r="AD114" i="6"/>
  <c r="W114" i="6" s="1"/>
  <c r="AC114" i="6"/>
  <c r="W146" i="6"/>
  <c r="AE146" i="6" s="1"/>
  <c r="AG146" i="6" s="1"/>
  <c r="S146" i="7" s="1"/>
  <c r="J146" i="7"/>
  <c r="F152" i="8" s="1"/>
  <c r="AD87" i="6"/>
  <c r="AC87" i="6"/>
  <c r="O87" i="7"/>
  <c r="Q87" i="7" s="1"/>
  <c r="M238" i="7" a="1"/>
  <c r="M238" i="7" s="1"/>
  <c r="F166" i="7"/>
  <c r="B103" i="7"/>
  <c r="B72" i="8" s="1"/>
  <c r="N103" i="7" a="1"/>
  <c r="N103" i="7" s="1"/>
  <c r="P103" i="7" s="1"/>
  <c r="M103" i="7" a="1"/>
  <c r="M103" i="7" s="1"/>
  <c r="C103" i="7"/>
  <c r="C72" i="8" s="1"/>
  <c r="A72" i="8"/>
  <c r="J103" i="7"/>
  <c r="F72" i="8" s="1"/>
  <c r="K103" i="7"/>
  <c r="P148" i="7"/>
  <c r="AD69" i="6"/>
  <c r="AC69" i="6"/>
  <c r="G69" i="7"/>
  <c r="M69" i="7" a="1"/>
  <c r="M69" i="7" s="1"/>
  <c r="A20" i="8"/>
  <c r="B69" i="7"/>
  <c r="B20" i="8" s="1"/>
  <c r="C69" i="7"/>
  <c r="C20" i="8" s="1"/>
  <c r="N69" i="7" a="1"/>
  <c r="N69" i="7" s="1"/>
  <c r="P69" i="7" s="1"/>
  <c r="O69" i="7"/>
  <c r="J69" i="7"/>
  <c r="F20" i="8" s="1"/>
  <c r="P113" i="7"/>
  <c r="Q161" i="7"/>
  <c r="R220" i="7"/>
  <c r="R150" i="7"/>
  <c r="AD239" i="6"/>
  <c r="W239" i="6" s="1"/>
  <c r="AD31" i="6"/>
  <c r="O31" i="7"/>
  <c r="R31" i="7" s="1"/>
  <c r="AD51" i="6"/>
  <c r="AC51" i="6"/>
  <c r="J54" i="7"/>
  <c r="F19" i="8" s="1"/>
  <c r="AD55" i="6"/>
  <c r="W55" i="6" s="1"/>
  <c r="AC55" i="6"/>
  <c r="AD64" i="6"/>
  <c r="AC64" i="6"/>
  <c r="AB4" i="6"/>
  <c r="AD4" i="6"/>
  <c r="W4" i="6" s="1"/>
  <c r="D238" i="7"/>
  <c r="E238" i="7" s="1"/>
  <c r="J238" i="7"/>
  <c r="F187" i="8" s="1"/>
  <c r="K238" i="7"/>
  <c r="B238" i="7"/>
  <c r="B187" i="8" s="1"/>
  <c r="G238" i="7"/>
  <c r="F238" i="7"/>
  <c r="N238" i="7" a="1"/>
  <c r="N238" i="7" s="1"/>
  <c r="D104" i="7"/>
  <c r="E104" i="7" s="1"/>
  <c r="O104" i="7"/>
  <c r="F104" i="7"/>
  <c r="N104" i="7" a="1"/>
  <c r="N104" i="7" s="1"/>
  <c r="P104" i="7" s="1"/>
  <c r="J104" i="7"/>
  <c r="F137" i="8" s="1"/>
  <c r="K104" i="7"/>
  <c r="M104" i="7" a="1"/>
  <c r="M104" i="7" s="1"/>
  <c r="C104" i="7"/>
  <c r="C137" i="8" s="1"/>
  <c r="C124" i="7"/>
  <c r="C61" i="8" s="1"/>
  <c r="J124" i="7"/>
  <c r="F61" i="8" s="1"/>
  <c r="F124" i="7"/>
  <c r="M124" i="7" a="1"/>
  <c r="M124" i="7" s="1"/>
  <c r="B124" i="7"/>
  <c r="B61" i="8" s="1"/>
  <c r="N124" i="7" a="1"/>
  <c r="N124" i="7" s="1"/>
  <c r="P124" i="7" s="1"/>
  <c r="G124" i="7"/>
  <c r="K124" i="7"/>
  <c r="D124" i="7"/>
  <c r="G228" i="7"/>
  <c r="N228" i="7" a="1"/>
  <c r="N228" i="7" s="1"/>
  <c r="P228" i="7" s="1"/>
  <c r="K228" i="7"/>
  <c r="M228" i="7" a="1"/>
  <c r="M228" i="7" s="1"/>
  <c r="B228" i="7"/>
  <c r="B167" i="8" s="1"/>
  <c r="A167" i="8"/>
  <c r="B10" i="7"/>
  <c r="B98" i="8" s="1"/>
  <c r="N10" i="7" a="1"/>
  <c r="N10" i="7" s="1"/>
  <c r="P10" i="7" s="1"/>
  <c r="F10" i="7"/>
  <c r="D10" i="7"/>
  <c r="E10" i="7" s="1"/>
  <c r="M10" i="7" a="1"/>
  <c r="M10" i="7" s="1"/>
  <c r="K10" i="7"/>
  <c r="G20" i="7"/>
  <c r="N20" i="7" a="1"/>
  <c r="N20" i="7" s="1"/>
  <c r="P20" i="7" s="1"/>
  <c r="M20" i="7" a="1"/>
  <c r="M20" i="7" s="1"/>
  <c r="K20" i="7"/>
  <c r="B20" i="7"/>
  <c r="B17" i="8" s="1"/>
  <c r="D54" i="7"/>
  <c r="E54" i="7" s="1"/>
  <c r="G54" i="7"/>
  <c r="O54" i="7"/>
  <c r="R54" i="7" s="1"/>
  <c r="F54" i="7"/>
  <c r="N54" i="7" a="1"/>
  <c r="N54" i="7" s="1"/>
  <c r="P54" i="7" s="1"/>
  <c r="K54" i="7"/>
  <c r="B176" i="7"/>
  <c r="B155" i="8" s="1"/>
  <c r="D176" i="7"/>
  <c r="G176" i="7"/>
  <c r="C176" i="7"/>
  <c r="C155" i="8" s="1"/>
  <c r="F176" i="7"/>
  <c r="M176" i="7" a="1"/>
  <c r="M176" i="7" s="1"/>
  <c r="P176" i="7" s="1"/>
  <c r="K176" i="7"/>
  <c r="D40" i="7"/>
  <c r="O40" i="7"/>
  <c r="R40" i="7" s="1"/>
  <c r="C40" i="7"/>
  <c r="C70" i="8" s="1"/>
  <c r="G40" i="7"/>
  <c r="N40" i="7" a="1"/>
  <c r="N40" i="7" s="1"/>
  <c r="P40" i="7" s="1"/>
  <c r="M40" i="7" a="1"/>
  <c r="M40" i="7" s="1"/>
  <c r="J40" i="7"/>
  <c r="F70" i="8" s="1"/>
  <c r="K40" i="7"/>
  <c r="B40" i="7"/>
  <c r="B70" i="8" s="1"/>
  <c r="K190" i="7"/>
  <c r="B190" i="7"/>
  <c r="B242" i="8" s="1"/>
  <c r="N190" i="7" a="1"/>
  <c r="N190" i="7" s="1"/>
  <c r="P190" i="7" s="1"/>
  <c r="G190" i="7"/>
  <c r="M190" i="7" a="1"/>
  <c r="M190" i="7" s="1"/>
  <c r="X5" i="6"/>
  <c r="Y5" i="6" s="1"/>
  <c r="F5" i="7"/>
  <c r="F222" i="7"/>
  <c r="X222" i="6"/>
  <c r="Y222" i="6" s="1"/>
  <c r="F214" i="7"/>
  <c r="X214" i="6"/>
  <c r="Y214" i="6" s="1"/>
  <c r="X206" i="6"/>
  <c r="Y206" i="6" s="1"/>
  <c r="F206" i="7"/>
  <c r="F198" i="7"/>
  <c r="X198" i="6"/>
  <c r="Y198" i="6" s="1"/>
  <c r="X158" i="6"/>
  <c r="Y158" i="6" s="1"/>
  <c r="F158" i="7"/>
  <c r="X150" i="6"/>
  <c r="Y150" i="6" s="1"/>
  <c r="F150" i="7"/>
  <c r="F134" i="7"/>
  <c r="X134" i="6"/>
  <c r="Y134" i="6" s="1"/>
  <c r="F126" i="7"/>
  <c r="X126" i="6"/>
  <c r="Y126" i="6" s="1"/>
  <c r="X118" i="6"/>
  <c r="Y118" i="6" s="1"/>
  <c r="F118" i="7"/>
  <c r="X110" i="6"/>
  <c r="Y110" i="6" s="1"/>
  <c r="F110" i="7"/>
  <c r="X102" i="6"/>
  <c r="W102" i="6" s="1"/>
  <c r="AE102" i="6" s="1"/>
  <c r="F102" i="7"/>
  <c r="X94" i="6"/>
  <c r="Y94" i="6" s="1"/>
  <c r="F94" i="7"/>
  <c r="X78" i="6"/>
  <c r="Y78" i="6" s="1"/>
  <c r="F78" i="7"/>
  <c r="F70" i="7"/>
  <c r="X70" i="6"/>
  <c r="Y70" i="6" s="1"/>
  <c r="X62" i="6"/>
  <c r="W62" i="6" s="1"/>
  <c r="F62" i="7"/>
  <c r="Y54" i="6"/>
  <c r="X38" i="6"/>
  <c r="Y38" i="6" s="1"/>
  <c r="F38" i="7"/>
  <c r="X30" i="6"/>
  <c r="Y30" i="6" s="1"/>
  <c r="F30" i="7"/>
  <c r="X22" i="6"/>
  <c r="Y22" i="6" s="1"/>
  <c r="F22" i="7"/>
  <c r="H22" i="7" s="1"/>
  <c r="E138" i="8" s="1"/>
  <c r="G138" i="8" s="1"/>
  <c r="Q6" i="7"/>
  <c r="AE221" i="6"/>
  <c r="AF221" i="6" s="1"/>
  <c r="J221" i="7"/>
  <c r="L221" i="7" s="1"/>
  <c r="W169" i="6"/>
  <c r="AE169" i="6" s="1"/>
  <c r="AF169" i="6" s="1"/>
  <c r="J169" i="7"/>
  <c r="F218" i="8" s="1"/>
  <c r="J229" i="7"/>
  <c r="F168" i="8" s="1"/>
  <c r="AC138" i="6"/>
  <c r="AC29" i="6"/>
  <c r="A95" i="8"/>
  <c r="G141" i="7"/>
  <c r="G47" i="7"/>
  <c r="AC13" i="6"/>
  <c r="AD13" i="6"/>
  <c r="W13" i="6" s="1"/>
  <c r="AE13" i="6" s="1"/>
  <c r="AF13" i="6" s="1"/>
  <c r="AE29" i="6"/>
  <c r="AF29" i="6" s="1"/>
  <c r="W29" i="6"/>
  <c r="AJ29" i="6" s="1"/>
  <c r="AD90" i="6"/>
  <c r="AC90" i="6"/>
  <c r="C53" i="7"/>
  <c r="C63" i="8" s="1"/>
  <c r="F53" i="7"/>
  <c r="G53" i="7"/>
  <c r="A63" i="8"/>
  <c r="P58" i="7"/>
  <c r="O149" i="7"/>
  <c r="Q149" i="7" s="1"/>
  <c r="AD107" i="6"/>
  <c r="W107" i="6" s="1"/>
  <c r="AJ107" i="6" s="1"/>
  <c r="G13" i="7"/>
  <c r="G192" i="7"/>
  <c r="H192" i="7" s="1"/>
  <c r="F13" i="7"/>
  <c r="D122" i="7"/>
  <c r="E122" i="7" s="1"/>
  <c r="K122" i="7"/>
  <c r="J122" i="7"/>
  <c r="F122" i="8" s="1"/>
  <c r="C219" i="7"/>
  <c r="C203" i="8" s="1"/>
  <c r="D219" i="7"/>
  <c r="E219" i="7" s="1"/>
  <c r="B156" i="7"/>
  <c r="B217" i="8" s="1"/>
  <c r="F156" i="7"/>
  <c r="E228" i="7"/>
  <c r="R159" i="7"/>
  <c r="Y128" i="6"/>
  <c r="AB118" i="6"/>
  <c r="AC145" i="6"/>
  <c r="AD145" i="6"/>
  <c r="W145" i="6" s="1"/>
  <c r="F45" i="7"/>
  <c r="G45" i="7"/>
  <c r="A113" i="8"/>
  <c r="N45" i="7" a="1"/>
  <c r="N45" i="7" s="1"/>
  <c r="P45" i="7" s="1"/>
  <c r="C244" i="7"/>
  <c r="C244" i="8" s="1"/>
  <c r="D244" i="7"/>
  <c r="E244" i="7" s="1"/>
  <c r="G189" i="7"/>
  <c r="K189" i="7"/>
  <c r="E190" i="7"/>
  <c r="E38" i="7"/>
  <c r="R207" i="7"/>
  <c r="W28" i="6"/>
  <c r="AE28" i="6" s="1"/>
  <c r="AH28" i="6" s="1"/>
  <c r="AD219" i="6"/>
  <c r="W219" i="6" s="1"/>
  <c r="AC219" i="6"/>
  <c r="AD118" i="6"/>
  <c r="AE182" i="6"/>
  <c r="W182" i="6"/>
  <c r="AJ182" i="6" s="1"/>
  <c r="AD66" i="6"/>
  <c r="AC75" i="6"/>
  <c r="AD75" i="6"/>
  <c r="W92" i="6"/>
  <c r="AJ92" i="6" s="1"/>
  <c r="AE92" i="6"/>
  <c r="AF92" i="6" s="1"/>
  <c r="F232" i="7"/>
  <c r="D232" i="7"/>
  <c r="B170" i="7"/>
  <c r="B234" i="8" s="1"/>
  <c r="D170" i="7"/>
  <c r="D196" i="7"/>
  <c r="E196" i="7" s="1"/>
  <c r="F196" i="7"/>
  <c r="G196" i="7"/>
  <c r="D67" i="7"/>
  <c r="E67" i="7" s="1"/>
  <c r="F67" i="7"/>
  <c r="B135" i="7"/>
  <c r="B62" i="8" s="1"/>
  <c r="F135" i="7"/>
  <c r="D135" i="7"/>
  <c r="E135" i="7" s="1"/>
  <c r="F100" i="7"/>
  <c r="D100" i="7"/>
  <c r="E100" i="7" s="1"/>
  <c r="W69" i="6"/>
  <c r="AJ69" i="6" s="1"/>
  <c r="Y221" i="6"/>
  <c r="AC79" i="6"/>
  <c r="AD79" i="6"/>
  <c r="W79" i="6" s="1"/>
  <c r="AE79" i="6" s="1"/>
  <c r="G111" i="7"/>
  <c r="D111" i="7"/>
  <c r="E111" i="7" s="1"/>
  <c r="K111" i="7"/>
  <c r="C93" i="7"/>
  <c r="C86" i="8" s="1"/>
  <c r="F93" i="7"/>
  <c r="C169" i="7"/>
  <c r="C218" i="8" s="1"/>
  <c r="D169" i="7"/>
  <c r="E169" i="7" s="1"/>
  <c r="H169" i="7" s="1"/>
  <c r="C182" i="7"/>
  <c r="C210" i="8" s="1"/>
  <c r="F182" i="7"/>
  <c r="B6" i="7"/>
  <c r="B131" i="8" s="1"/>
  <c r="F6" i="7"/>
  <c r="D6" i="7"/>
  <c r="E6" i="7" s="1"/>
  <c r="F200" i="7"/>
  <c r="G200" i="7"/>
  <c r="B48" i="7"/>
  <c r="B143" i="8" s="1"/>
  <c r="J48" i="7"/>
  <c r="F143" i="8" s="1"/>
  <c r="B86" i="7"/>
  <c r="B116" i="8" s="1"/>
  <c r="F86" i="7"/>
  <c r="A236" i="8"/>
  <c r="F172" i="7"/>
  <c r="H172" i="7" s="1"/>
  <c r="K82" i="7"/>
  <c r="D82" i="7"/>
  <c r="E82" i="7" s="1"/>
  <c r="D130" i="7"/>
  <c r="E130" i="7" s="1"/>
  <c r="F130" i="7"/>
  <c r="Q101" i="7"/>
  <c r="AC84" i="6"/>
  <c r="AC119" i="6"/>
  <c r="F194" i="7"/>
  <c r="AE47" i="6"/>
  <c r="AE110" i="6"/>
  <c r="AF110" i="6" s="1"/>
  <c r="AD132" i="6"/>
  <c r="W132" i="6" s="1"/>
  <c r="AC132" i="6"/>
  <c r="AD115" i="6"/>
  <c r="W115" i="6" s="1"/>
  <c r="AC115" i="6"/>
  <c r="W190" i="6"/>
  <c r="AJ190" i="6" s="1"/>
  <c r="AE190" i="6"/>
  <c r="AF190" i="6" s="1"/>
  <c r="U133" i="6"/>
  <c r="U128" i="6"/>
  <c r="W162" i="6"/>
  <c r="AE162" i="6" s="1"/>
  <c r="AC136" i="6"/>
  <c r="U25" i="6"/>
  <c r="U34" i="6"/>
  <c r="AC36" i="6"/>
  <c r="O36" i="7"/>
  <c r="Q36" i="7" s="1"/>
  <c r="W38" i="6"/>
  <c r="AJ38" i="6" s="1"/>
  <c r="AE38" i="6"/>
  <c r="AG38" i="6" s="1"/>
  <c r="S38" i="7" s="1"/>
  <c r="AC60" i="6"/>
  <c r="AD60" i="6"/>
  <c r="W60" i="6" s="1"/>
  <c r="U67" i="6"/>
  <c r="AC74" i="6"/>
  <c r="AD74" i="6"/>
  <c r="W74" i="6" s="1"/>
  <c r="U76" i="6"/>
  <c r="AE95" i="6"/>
  <c r="J95" i="7"/>
  <c r="L95" i="7" s="1"/>
  <c r="W95" i="6"/>
  <c r="AJ95" i="6" s="1"/>
  <c r="C139" i="7"/>
  <c r="C147" i="8" s="1"/>
  <c r="F139" i="7"/>
  <c r="D139" i="7"/>
  <c r="E139" i="7" s="1"/>
  <c r="C235" i="7"/>
  <c r="C192" i="8" s="1"/>
  <c r="D235" i="7"/>
  <c r="E235" i="7" s="1"/>
  <c r="B138" i="7"/>
  <c r="B64" i="8" s="1"/>
  <c r="C138" i="7"/>
  <c r="C64" i="8" s="1"/>
  <c r="D224" i="7"/>
  <c r="E224" i="7" s="1"/>
  <c r="G224" i="7"/>
  <c r="O224" i="7"/>
  <c r="P123" i="7"/>
  <c r="P236" i="7"/>
  <c r="E86" i="7"/>
  <c r="AE246" i="6"/>
  <c r="AF246" i="6" s="1"/>
  <c r="W231" i="6"/>
  <c r="AE231" i="6" s="1"/>
  <c r="AH231" i="6" s="1"/>
  <c r="AC106" i="6"/>
  <c r="Y147" i="6"/>
  <c r="AD35" i="6"/>
  <c r="AC35" i="6"/>
  <c r="W58" i="6"/>
  <c r="AJ58" i="6" s="1"/>
  <c r="AE58" i="6"/>
  <c r="AG58" i="6" s="1"/>
  <c r="S58" i="7" s="1"/>
  <c r="AC59" i="6"/>
  <c r="AD59" i="6"/>
  <c r="AC100" i="6"/>
  <c r="AD100" i="6"/>
  <c r="W100" i="6" s="1"/>
  <c r="C63" i="7"/>
  <c r="C95" i="8" s="1"/>
  <c r="G63" i="7"/>
  <c r="D63" i="7"/>
  <c r="E63" i="7" s="1"/>
  <c r="C13" i="7"/>
  <c r="C103" i="8" s="1"/>
  <c r="A103" i="8"/>
  <c r="G241" i="7"/>
  <c r="H225" i="7"/>
  <c r="E158" i="8" s="1"/>
  <c r="G158" i="8" s="1"/>
  <c r="H209" i="7"/>
  <c r="I209" i="7" s="1"/>
  <c r="D181" i="8" s="1"/>
  <c r="Y178" i="6"/>
  <c r="Y82" i="6"/>
  <c r="Y74" i="6"/>
  <c r="Y58" i="6"/>
  <c r="Y42" i="6"/>
  <c r="E141" i="7"/>
  <c r="E232" i="7"/>
  <c r="E176" i="7"/>
  <c r="E152" i="7"/>
  <c r="H80" i="7"/>
  <c r="L80" i="7" s="1"/>
  <c r="H72" i="7"/>
  <c r="L72" i="7" s="1"/>
  <c r="E40" i="7"/>
  <c r="X16" i="6"/>
  <c r="Y16" i="6" s="1"/>
  <c r="F16" i="7"/>
  <c r="X117" i="6"/>
  <c r="Y117" i="6" s="1"/>
  <c r="F117" i="7"/>
  <c r="H117" i="7" s="1"/>
  <c r="F61" i="7"/>
  <c r="X61" i="6"/>
  <c r="W45" i="6"/>
  <c r="AE45" i="6" s="1"/>
  <c r="C33" i="7"/>
  <c r="C102" i="8" s="1"/>
  <c r="A102" i="8"/>
  <c r="B107" i="7"/>
  <c r="B89" i="8" s="1"/>
  <c r="D110" i="7"/>
  <c r="E110" i="7" s="1"/>
  <c r="G5" i="7"/>
  <c r="G104" i="7"/>
  <c r="E239" i="7"/>
  <c r="W108" i="6"/>
  <c r="AE108" i="6" s="1"/>
  <c r="Y64" i="6"/>
  <c r="Y152" i="6"/>
  <c r="Y49" i="6"/>
  <c r="J232" i="7"/>
  <c r="F206" i="8" s="1"/>
  <c r="J129" i="7"/>
  <c r="F28" i="8" s="1"/>
  <c r="Y8" i="6"/>
  <c r="U19" i="6"/>
  <c r="AH24" i="6"/>
  <c r="W57" i="6"/>
  <c r="AE57" i="6" s="1"/>
  <c r="AC70" i="6"/>
  <c r="U75" i="6"/>
  <c r="U80" i="6"/>
  <c r="AC91" i="6"/>
  <c r="AD91" i="6"/>
  <c r="G11" i="7"/>
  <c r="G246" i="7"/>
  <c r="G222" i="7"/>
  <c r="G174" i="7"/>
  <c r="G158" i="7"/>
  <c r="G78" i="7"/>
  <c r="G62" i="7"/>
  <c r="E162" i="7"/>
  <c r="H162" i="7" s="1"/>
  <c r="E114" i="7"/>
  <c r="E229" i="7"/>
  <c r="E75" i="7"/>
  <c r="Y14" i="6"/>
  <c r="Y217" i="6"/>
  <c r="W131" i="6"/>
  <c r="AJ131" i="6" s="1"/>
  <c r="J114" i="7"/>
  <c r="F101" i="8" s="1"/>
  <c r="Y143" i="6"/>
  <c r="W23" i="6"/>
  <c r="U44" i="6"/>
  <c r="U51" i="6"/>
  <c r="U55" i="6"/>
  <c r="G61" i="7"/>
  <c r="E93" i="7"/>
  <c r="H211" i="7"/>
  <c r="I211" i="7" s="1"/>
  <c r="D201" i="8" s="1"/>
  <c r="W124" i="6"/>
  <c r="AE124" i="6" s="1"/>
  <c r="AG124" i="6" s="1"/>
  <c r="S124" i="7" s="1"/>
  <c r="Y153" i="6"/>
  <c r="AB114" i="6"/>
  <c r="O122" i="7"/>
  <c r="Q122" i="7" s="1"/>
  <c r="AD164" i="6"/>
  <c r="W164" i="6" s="1"/>
  <c r="AJ164" i="6" s="1"/>
  <c r="AB23" i="6"/>
  <c r="U208" i="6"/>
  <c r="W70" i="6"/>
  <c r="AE70" i="6" s="1"/>
  <c r="G4" i="7"/>
  <c r="H4" i="7" s="1"/>
  <c r="I4" i="7" s="1"/>
  <c r="D149" i="8" s="1"/>
  <c r="G188" i="7"/>
  <c r="H188" i="7" s="1"/>
  <c r="L188" i="7" s="1"/>
  <c r="G164" i="7"/>
  <c r="H164" i="7" s="1"/>
  <c r="L164" i="7" s="1"/>
  <c r="G156" i="7"/>
  <c r="G132" i="7"/>
  <c r="G116" i="7"/>
  <c r="G60" i="7"/>
  <c r="H60" i="7" s="1"/>
  <c r="G36" i="7"/>
  <c r="E131" i="7"/>
  <c r="E11" i="7"/>
  <c r="Y192" i="6"/>
  <c r="Y72" i="6"/>
  <c r="Y48" i="6"/>
  <c r="F174" i="7"/>
  <c r="G235" i="7"/>
  <c r="G227" i="7"/>
  <c r="G219" i="7"/>
  <c r="H219" i="7" s="1"/>
  <c r="E203" i="8" s="1"/>
  <c r="G203" i="8" s="1"/>
  <c r="G187" i="7"/>
  <c r="H187" i="7" s="1"/>
  <c r="G179" i="7"/>
  <c r="H155" i="7"/>
  <c r="E221" i="8" s="1"/>
  <c r="G221" i="8" s="1"/>
  <c r="G147" i="7"/>
  <c r="G139" i="7"/>
  <c r="G131" i="7"/>
  <c r="G123" i="7"/>
  <c r="H123" i="7" s="1"/>
  <c r="I123" i="7" s="1"/>
  <c r="D87" i="8" s="1"/>
  <c r="G107" i="7"/>
  <c r="H107" i="7" s="1"/>
  <c r="I107" i="7" s="1"/>
  <c r="D89" i="8" s="1"/>
  <c r="G91" i="7"/>
  <c r="H91" i="7" s="1"/>
  <c r="G75" i="7"/>
  <c r="G59" i="7"/>
  <c r="G51" i="7"/>
  <c r="G27" i="7"/>
  <c r="H27" i="7" s="1"/>
  <c r="L27" i="7" s="1"/>
  <c r="G19" i="7"/>
  <c r="Y180" i="6"/>
  <c r="Y108" i="6"/>
  <c r="Y76" i="6"/>
  <c r="Y52" i="6"/>
  <c r="E223" i="7"/>
  <c r="E218" i="7"/>
  <c r="E202" i="7"/>
  <c r="H202" i="7" s="1"/>
  <c r="E186" i="7"/>
  <c r="H186" i="7" s="1"/>
  <c r="L186" i="7" s="1"/>
  <c r="E138" i="7"/>
  <c r="E66" i="7"/>
  <c r="H66" i="7" s="1"/>
  <c r="F247" i="7"/>
  <c r="F239" i="7"/>
  <c r="F223" i="7"/>
  <c r="X223" i="6"/>
  <c r="Y223" i="6" s="1"/>
  <c r="F215" i="7"/>
  <c r="Y183" i="6"/>
  <c r="F79" i="7"/>
  <c r="H79" i="7" s="1"/>
  <c r="Y71" i="6"/>
  <c r="X246" i="6"/>
  <c r="Y246" i="6" s="1"/>
  <c r="X236" i="6"/>
  <c r="Y236" i="6" s="1"/>
  <c r="J242" i="7"/>
  <c r="F159" i="8" s="1"/>
  <c r="O216" i="7"/>
  <c r="Q216" i="7" s="1"/>
  <c r="J237" i="7"/>
  <c r="F215" i="8" s="1"/>
  <c r="J106" i="7"/>
  <c r="F7" i="8" s="1"/>
  <c r="J184" i="7"/>
  <c r="F214" i="8" s="1"/>
  <c r="W241" i="6"/>
  <c r="AE241" i="6" s="1"/>
  <c r="AF241" i="6" s="1"/>
  <c r="S213" i="7"/>
  <c r="O234" i="7"/>
  <c r="Q234" i="7" s="1"/>
  <c r="J197" i="7"/>
  <c r="F194" i="8" s="1"/>
  <c r="J170" i="7"/>
  <c r="F234" i="8" s="1"/>
  <c r="AD158" i="6"/>
  <c r="J133" i="7"/>
  <c r="F110" i="8" s="1"/>
  <c r="AB128" i="6"/>
  <c r="J193" i="7"/>
  <c r="F160" i="8" s="1"/>
  <c r="J144" i="7"/>
  <c r="F65" i="8" s="1"/>
  <c r="J149" i="7"/>
  <c r="F222" i="8" s="1"/>
  <c r="J166" i="7"/>
  <c r="F231" i="8" s="1"/>
  <c r="AB162" i="6"/>
  <c r="J135" i="7"/>
  <c r="F62" i="8" s="1"/>
  <c r="AD137" i="6"/>
  <c r="W137" i="6" s="1"/>
  <c r="J142" i="7"/>
  <c r="F11" i="8" s="1"/>
  <c r="U102" i="6"/>
  <c r="AC6" i="6"/>
  <c r="J9" i="7"/>
  <c r="F24" i="8" s="1"/>
  <c r="J11" i="7"/>
  <c r="F88" i="8" s="1"/>
  <c r="U24" i="6"/>
  <c r="J65" i="7"/>
  <c r="F52" i="8" s="1"/>
  <c r="AH84" i="6"/>
  <c r="X233" i="6"/>
  <c r="W233" i="6" s="1"/>
  <c r="AE233" i="6" s="1"/>
  <c r="X230" i="6"/>
  <c r="Y230" i="6" s="1"/>
  <c r="Q159" i="7"/>
  <c r="R65" i="7"/>
  <c r="R92" i="7"/>
  <c r="Q205" i="7"/>
  <c r="Q31" i="7"/>
  <c r="Q8" i="7"/>
  <c r="Q43" i="7"/>
  <c r="R60" i="7"/>
  <c r="Q48" i="7"/>
  <c r="Q200" i="7"/>
  <c r="Q150" i="7"/>
  <c r="R74" i="7"/>
  <c r="Q74" i="7"/>
  <c r="Y99" i="6"/>
  <c r="E214" i="7"/>
  <c r="E161" i="7"/>
  <c r="H161" i="7" s="1"/>
  <c r="E227" i="8" s="1"/>
  <c r="G227" i="8" s="1"/>
  <c r="R127" i="7"/>
  <c r="Q127" i="7"/>
  <c r="AH42" i="6"/>
  <c r="AF42" i="6"/>
  <c r="H236" i="7"/>
  <c r="Q207" i="7"/>
  <c r="Q213" i="7"/>
  <c r="R51" i="7"/>
  <c r="Q5" i="7"/>
  <c r="AG42" i="6"/>
  <c r="S42" i="7" s="1"/>
  <c r="Y27" i="6"/>
  <c r="Y194" i="6"/>
  <c r="Y66" i="6"/>
  <c r="AG91" i="6"/>
  <c r="S91" i="7" s="1"/>
  <c r="Q27" i="7"/>
  <c r="H203" i="7"/>
  <c r="I203" i="7" s="1"/>
  <c r="D166" i="8" s="1"/>
  <c r="H226" i="7"/>
  <c r="L226" i="7" s="1"/>
  <c r="H122" i="7"/>
  <c r="Q164" i="7"/>
  <c r="R164" i="7"/>
  <c r="W153" i="6"/>
  <c r="AE153" i="6" s="1"/>
  <c r="X245" i="6"/>
  <c r="Y245" i="6" s="1"/>
  <c r="Q111" i="7"/>
  <c r="R111" i="7"/>
  <c r="E198" i="7"/>
  <c r="E166" i="7"/>
  <c r="AH39" i="6"/>
  <c r="Y124" i="6"/>
  <c r="Q124" i="7"/>
  <c r="E41" i="7"/>
  <c r="H41" i="7" s="1"/>
  <c r="I41" i="7" s="1"/>
  <c r="D136" i="8" s="1"/>
  <c r="H76" i="7"/>
  <c r="I76" i="7" s="1"/>
  <c r="D44" i="8" s="1"/>
  <c r="H34" i="7"/>
  <c r="I34" i="7" s="1"/>
  <c r="D41" i="8" s="1"/>
  <c r="R246" i="7"/>
  <c r="Y196" i="6"/>
  <c r="Y68" i="6"/>
  <c r="Y60" i="6"/>
  <c r="Y12" i="6"/>
  <c r="E126" i="7"/>
  <c r="E13" i="7"/>
  <c r="E112" i="7"/>
  <c r="H23" i="7"/>
  <c r="E82" i="8" s="1"/>
  <c r="G82" i="8" s="1"/>
  <c r="E134" i="7"/>
  <c r="E175" i="7"/>
  <c r="Y44" i="6"/>
  <c r="Q138" i="7"/>
  <c r="E48" i="7"/>
  <c r="Y226" i="6"/>
  <c r="W154" i="6"/>
  <c r="Y215" i="6"/>
  <c r="Y127" i="6"/>
  <c r="Y103" i="6"/>
  <c r="Y87" i="6"/>
  <c r="E199" i="7"/>
  <c r="E241" i="7"/>
  <c r="W173" i="6"/>
  <c r="AE173" i="6" s="1"/>
  <c r="E9" i="7"/>
  <c r="H9" i="7" s="1"/>
  <c r="E217" i="7"/>
  <c r="E119" i="7"/>
  <c r="H119" i="7" s="1"/>
  <c r="I119" i="7" s="1"/>
  <c r="D80" i="8" s="1"/>
  <c r="E145" i="7"/>
  <c r="Y122" i="6"/>
  <c r="W172" i="6"/>
  <c r="AJ172" i="6" s="1"/>
  <c r="W116" i="6"/>
  <c r="AE116" i="6" s="1"/>
  <c r="AF116" i="6" s="1"/>
  <c r="Y131" i="6"/>
  <c r="Y21" i="6"/>
  <c r="Y55" i="6"/>
  <c r="AJ185" i="6"/>
  <c r="E43" i="7"/>
  <c r="H43" i="7" s="1"/>
  <c r="I43" i="7" s="1"/>
  <c r="D55" i="8" s="1"/>
  <c r="E77" i="7"/>
  <c r="E49" i="7"/>
  <c r="H49" i="7" s="1"/>
  <c r="I49" i="7" s="1"/>
  <c r="D18" i="8" s="1"/>
  <c r="E37" i="7"/>
  <c r="E150" i="7"/>
  <c r="E128" i="7"/>
  <c r="E113" i="7"/>
  <c r="H113" i="7" s="1"/>
  <c r="I113" i="7" s="1"/>
  <c r="D121" i="8" s="1"/>
  <c r="E181" i="7"/>
  <c r="E118" i="7"/>
  <c r="E212" i="7"/>
  <c r="E149" i="7"/>
  <c r="Y136" i="6"/>
  <c r="Y33" i="6"/>
  <c r="E94" i="7"/>
  <c r="E90" i="7"/>
  <c r="H90" i="7" s="1"/>
  <c r="I90" i="7" s="1"/>
  <c r="D74" i="8" s="1"/>
  <c r="E18" i="7"/>
  <c r="H18" i="7" s="1"/>
  <c r="E233" i="7"/>
  <c r="H233" i="7" s="1"/>
  <c r="E204" i="8" s="1"/>
  <c r="G204" i="8" s="1"/>
  <c r="E103" i="7"/>
  <c r="H103" i="7" s="1"/>
  <c r="E72" i="8" s="1"/>
  <c r="G72" i="8" s="1"/>
  <c r="H143" i="7"/>
  <c r="E242" i="7"/>
  <c r="H242" i="7" s="1"/>
  <c r="E159" i="8" s="1"/>
  <c r="G159" i="8" s="1"/>
  <c r="E206" i="7"/>
  <c r="Y156" i="6"/>
  <c r="Y123" i="6"/>
  <c r="Y200" i="6"/>
  <c r="E160" i="7"/>
  <c r="F209" i="8"/>
  <c r="AF22" i="6"/>
  <c r="AH22" i="6"/>
  <c r="AG22" i="6"/>
  <c r="S22" i="7" s="1"/>
  <c r="R20" i="7"/>
  <c r="Q211" i="7"/>
  <c r="Q66" i="7"/>
  <c r="R107" i="7"/>
  <c r="F115" i="8"/>
  <c r="F74" i="8"/>
  <c r="Q177" i="7"/>
  <c r="F247" i="8"/>
  <c r="Q52" i="7"/>
  <c r="R119" i="7"/>
  <c r="Q41" i="7"/>
  <c r="R109" i="7"/>
  <c r="AE205" i="6"/>
  <c r="AG205" i="6" s="1"/>
  <c r="S205" i="7" s="1"/>
  <c r="AE123" i="6"/>
  <c r="AH123" i="6" s="1"/>
  <c r="F183" i="8"/>
  <c r="AG194" i="6"/>
  <c r="S194" i="7" s="1"/>
  <c r="AF194" i="6"/>
  <c r="AH194" i="6"/>
  <c r="AG84" i="6"/>
  <c r="S84" i="7" s="1"/>
  <c r="AH227" i="6"/>
  <c r="R154" i="7"/>
  <c r="Q242" i="7"/>
  <c r="Y116" i="6"/>
  <c r="Y51" i="6"/>
  <c r="W193" i="6"/>
  <c r="AJ193" i="6" s="1"/>
  <c r="J201" i="7"/>
  <c r="F165" i="8" s="1"/>
  <c r="J51" i="7"/>
  <c r="L84" i="7"/>
  <c r="AE21" i="6"/>
  <c r="AF21" i="6" s="1"/>
  <c r="F175" i="8"/>
  <c r="F207" i="8"/>
  <c r="R180" i="7"/>
  <c r="R71" i="7"/>
  <c r="Q209" i="7"/>
  <c r="R179" i="7"/>
  <c r="R100" i="7"/>
  <c r="Y170" i="6"/>
  <c r="Y149" i="6"/>
  <c r="Y171" i="6"/>
  <c r="AI35" i="6"/>
  <c r="Y133" i="6"/>
  <c r="W177" i="6"/>
  <c r="AE177" i="6" s="1"/>
  <c r="AG177" i="6" s="1"/>
  <c r="S177" i="7" s="1"/>
  <c r="J116" i="7"/>
  <c r="F56" i="8" s="1"/>
  <c r="J75" i="7"/>
  <c r="J160" i="7"/>
  <c r="F223" i="8" s="1"/>
  <c r="J21" i="7"/>
  <c r="J55" i="7"/>
  <c r="F93" i="8" s="1"/>
  <c r="AE75" i="6"/>
  <c r="AF75" i="6" s="1"/>
  <c r="AE51" i="6"/>
  <c r="AG51" i="6" s="1"/>
  <c r="S51" i="7" s="1"/>
  <c r="W42" i="6"/>
  <c r="AJ42" i="6" s="1"/>
  <c r="W213" i="6"/>
  <c r="AJ213" i="6" s="1"/>
  <c r="AF80" i="6"/>
  <c r="F142" i="8"/>
  <c r="AF167" i="6"/>
  <c r="Q22" i="7"/>
  <c r="R77" i="7"/>
  <c r="Y177" i="6"/>
  <c r="Y142" i="6"/>
  <c r="J231" i="7"/>
  <c r="F188" i="8" s="1"/>
  <c r="W183" i="6"/>
  <c r="J172" i="7"/>
  <c r="F236" i="8" s="1"/>
  <c r="J25" i="7"/>
  <c r="W194" i="6"/>
  <c r="AJ194" i="6" s="1"/>
  <c r="F73" i="8"/>
  <c r="W129" i="6"/>
  <c r="AE129" i="6" s="1"/>
  <c r="AE25" i="6"/>
  <c r="Q118" i="7"/>
  <c r="R53" i="7"/>
  <c r="W242" i="6"/>
  <c r="AJ242" i="6" s="1"/>
  <c r="AH16" i="6"/>
  <c r="AH213" i="6"/>
  <c r="R243" i="7"/>
  <c r="Q147" i="7"/>
  <c r="Y184" i="6"/>
  <c r="J50" i="7"/>
  <c r="L50" i="7" s="1"/>
  <c r="J34" i="7"/>
  <c r="W84" i="6"/>
  <c r="AJ84" i="6" s="1"/>
  <c r="AE34" i="6"/>
  <c r="W54" i="6"/>
  <c r="R156" i="7"/>
  <c r="Y75" i="6"/>
  <c r="Y34" i="6"/>
  <c r="Y209" i="6"/>
  <c r="J100" i="7"/>
  <c r="F79" i="8" s="1"/>
  <c r="J42" i="7"/>
  <c r="L42" i="7" s="1"/>
  <c r="F18" i="8"/>
  <c r="F46" i="8"/>
  <c r="F210" i="8"/>
  <c r="Q81" i="7"/>
  <c r="R244" i="7"/>
  <c r="R80" i="7"/>
  <c r="Y213" i="6"/>
  <c r="Y50" i="6"/>
  <c r="W201" i="6"/>
  <c r="AJ201" i="6" s="1"/>
  <c r="J158" i="7"/>
  <c r="F220" i="8" s="1"/>
  <c r="AE50" i="6"/>
  <c r="R223" i="7"/>
  <c r="Q223" i="7"/>
  <c r="Q125" i="7"/>
  <c r="R125" i="7"/>
  <c r="Q90" i="7"/>
  <c r="Y218" i="6"/>
  <c r="G17" i="11"/>
  <c r="W171" i="6"/>
  <c r="W209" i="6"/>
  <c r="AE209" i="6" s="1"/>
  <c r="AE216" i="6"/>
  <c r="AH216" i="6" s="1"/>
  <c r="Q123" i="7"/>
  <c r="R123" i="7"/>
  <c r="R105" i="7"/>
  <c r="Q105" i="7"/>
  <c r="Q144" i="7"/>
  <c r="R144" i="7"/>
  <c r="Q175" i="7"/>
  <c r="R175" i="7"/>
  <c r="R194" i="7"/>
  <c r="Q194" i="7"/>
  <c r="J125" i="7"/>
  <c r="F123" i="8" s="1"/>
  <c r="J157" i="7"/>
  <c r="F23" i="8" s="1"/>
  <c r="Q240" i="7"/>
  <c r="W243" i="6"/>
  <c r="AJ243" i="6" s="1"/>
  <c r="J243" i="7"/>
  <c r="Y164" i="6"/>
  <c r="Y145" i="6"/>
  <c r="J29" i="7"/>
  <c r="W37" i="6"/>
  <c r="AJ37" i="6" s="1"/>
  <c r="J37" i="7"/>
  <c r="AE43" i="6"/>
  <c r="J43" i="7"/>
  <c r="W59" i="6"/>
  <c r="AJ59" i="6" s="1"/>
  <c r="AE59" i="6"/>
  <c r="J59" i="7"/>
  <c r="W64" i="6"/>
  <c r="AJ64" i="6" s="1"/>
  <c r="J64" i="7"/>
  <c r="F114" i="8" s="1"/>
  <c r="J74" i="7"/>
  <c r="F12" i="8" s="1"/>
  <c r="W83" i="6"/>
  <c r="AE83" i="6" s="1"/>
  <c r="J83" i="7"/>
  <c r="F6" i="8" s="1"/>
  <c r="AE94" i="6"/>
  <c r="AF94" i="6" s="1"/>
  <c r="W94" i="6"/>
  <c r="AJ94" i="6" s="1"/>
  <c r="J94" i="7"/>
  <c r="AE198" i="6"/>
  <c r="W198" i="6"/>
  <c r="AJ198" i="6" s="1"/>
  <c r="W143" i="6"/>
  <c r="AJ143" i="6" s="1"/>
  <c r="J143" i="7"/>
  <c r="W147" i="6"/>
  <c r="AE147" i="6" s="1"/>
  <c r="J147" i="7"/>
  <c r="Y20" i="6"/>
  <c r="J20" i="7"/>
  <c r="F17" i="8" s="1"/>
  <c r="Q68" i="7"/>
  <c r="Y231" i="6"/>
  <c r="Y175" i="6"/>
  <c r="W245" i="6"/>
  <c r="AJ245" i="6" s="1"/>
  <c r="R132" i="7"/>
  <c r="Q132" i="7"/>
  <c r="J198" i="7"/>
  <c r="R120" i="7"/>
  <c r="AJ112" i="6"/>
  <c r="AE112" i="6"/>
  <c r="AF112" i="6" s="1"/>
  <c r="J4" i="7"/>
  <c r="F149" i="8" s="1"/>
  <c r="J9" i="11" a="1"/>
  <c r="J9" i="11" s="1"/>
  <c r="D5" i="11" a="1"/>
  <c r="D5" i="11" s="1"/>
  <c r="AF84" i="6"/>
  <c r="R237" i="7"/>
  <c r="Q237" i="7"/>
  <c r="J244" i="7"/>
  <c r="F244" i="8" s="1"/>
  <c r="J236" i="7"/>
  <c r="F193" i="8" s="1"/>
  <c r="W10" i="6"/>
  <c r="AJ10" i="6" s="1"/>
  <c r="J10" i="7"/>
  <c r="F98" i="8" s="1"/>
  <c r="Y10" i="6"/>
  <c r="F45" i="8"/>
  <c r="AG24" i="6"/>
  <c r="S24" i="7" s="1"/>
  <c r="Q19" i="7"/>
  <c r="R241" i="7"/>
  <c r="AE27" i="6"/>
  <c r="AG27" i="6" s="1"/>
  <c r="S27" i="7" s="1"/>
  <c r="W244" i="6"/>
  <c r="AE244" i="6" s="1"/>
  <c r="AG244" i="6" s="1"/>
  <c r="S244" i="7" s="1"/>
  <c r="F180" i="8"/>
  <c r="AF24" i="6"/>
  <c r="F66" i="8"/>
  <c r="AF37" i="6"/>
  <c r="Q174" i="7"/>
  <c r="Q232" i="7"/>
  <c r="R97" i="7"/>
  <c r="R131" i="7"/>
  <c r="Q203" i="7"/>
  <c r="Q37" i="7"/>
  <c r="R86" i="7"/>
  <c r="Q86" i="7"/>
  <c r="J33" i="7"/>
  <c r="F102" i="8" s="1"/>
  <c r="AE64" i="6"/>
  <c r="J189" i="7"/>
  <c r="F241" i="8" s="1"/>
  <c r="Y189" i="6"/>
  <c r="F107" i="8"/>
  <c r="F35" i="8"/>
  <c r="F138" i="8"/>
  <c r="F86" i="8"/>
  <c r="Q46" i="7"/>
  <c r="Q199" i="7"/>
  <c r="R171" i="7"/>
  <c r="R25" i="7"/>
  <c r="Y157" i="6"/>
  <c r="AE237" i="6"/>
  <c r="AG237" i="6" s="1"/>
  <c r="S237" i="7" s="1"/>
  <c r="Q162" i="7"/>
  <c r="J136" i="7"/>
  <c r="F112" i="8" s="1"/>
  <c r="R99" i="7"/>
  <c r="Q99" i="7"/>
  <c r="Q88" i="7"/>
  <c r="R88" i="7"/>
  <c r="Q38" i="7"/>
  <c r="R38" i="7"/>
  <c r="Q9" i="7"/>
  <c r="R9" i="7"/>
  <c r="J8" i="7"/>
  <c r="F111" i="8" s="1"/>
  <c r="W236" i="6"/>
  <c r="AE88" i="6"/>
  <c r="Y220" i="6"/>
  <c r="Y195" i="6"/>
  <c r="J24" i="7"/>
  <c r="F134" i="8" s="1"/>
  <c r="W227" i="6"/>
  <c r="AJ227" i="6" s="1"/>
  <c r="W20" i="6"/>
  <c r="J62" i="7"/>
  <c r="F117" i="8" s="1"/>
  <c r="J213" i="7"/>
  <c r="Y235" i="6"/>
  <c r="W200" i="6"/>
  <c r="AJ200" i="6" s="1"/>
  <c r="Y199" i="6"/>
  <c r="W218" i="6"/>
  <c r="AE218" i="6" s="1"/>
  <c r="AH218" i="6" s="1"/>
  <c r="W214" i="6"/>
  <c r="AE214" i="6" s="1"/>
  <c r="R96" i="7"/>
  <c r="Q103" i="7"/>
  <c r="W17" i="6"/>
  <c r="AE17" i="6" s="1"/>
  <c r="AG17" i="6" s="1"/>
  <c r="S17" i="7" s="1"/>
  <c r="J228" i="7"/>
  <c r="W24" i="6"/>
  <c r="AJ24" i="6" s="1"/>
  <c r="Y17" i="6"/>
  <c r="W238" i="6"/>
  <c r="AJ238" i="6" s="1"/>
  <c r="W192" i="6"/>
  <c r="M13" i="11"/>
  <c r="W195" i="6"/>
  <c r="AE195" i="6" s="1"/>
  <c r="AG195" i="6" s="1"/>
  <c r="S195" i="7" s="1"/>
  <c r="AE228" i="6"/>
  <c r="Y144" i="6"/>
  <c r="Y216" i="6"/>
  <c r="Y163" i="6"/>
  <c r="W178" i="6"/>
  <c r="Y45" i="6"/>
  <c r="R44" i="7"/>
  <c r="Q44" i="7"/>
  <c r="Q187" i="7"/>
  <c r="R187" i="7"/>
  <c r="R225" i="7"/>
  <c r="Q225" i="7"/>
  <c r="R218" i="7"/>
  <c r="Q218" i="7"/>
  <c r="Q233" i="7"/>
  <c r="Q50" i="7"/>
  <c r="R50" i="7"/>
  <c r="R116" i="7"/>
  <c r="AE210" i="6"/>
  <c r="AF210" i="6" s="1"/>
  <c r="AJ210" i="6"/>
  <c r="AI63" i="6"/>
  <c r="Q151" i="7"/>
  <c r="R151" i="7"/>
  <c r="L12" i="7"/>
  <c r="E97" i="8"/>
  <c r="G97" i="8" s="1"/>
  <c r="Q140" i="7"/>
  <c r="R140" i="7"/>
  <c r="Q136" i="7"/>
  <c r="R136" i="7"/>
  <c r="AI185" i="6"/>
  <c r="R14" i="7"/>
  <c r="Q14" i="7"/>
  <c r="R63" i="7"/>
  <c r="Q63" i="7"/>
  <c r="Q181" i="7"/>
  <c r="R181" i="7"/>
  <c r="AE207" i="6"/>
  <c r="AJ207" i="6"/>
  <c r="R45" i="7"/>
  <c r="Q45" i="7"/>
  <c r="AJ191" i="6"/>
  <c r="AF229" i="6"/>
  <c r="AF36" i="6"/>
  <c r="Q79" i="7"/>
  <c r="R228" i="7"/>
  <c r="R67" i="7"/>
  <c r="Q95" i="7"/>
  <c r="R12" i="7"/>
  <c r="R114" i="7"/>
  <c r="Q114" i="7"/>
  <c r="P150" i="7"/>
  <c r="R168" i="7"/>
  <c r="R17" i="7"/>
  <c r="AJ232" i="6"/>
  <c r="R21" i="7"/>
  <c r="Q21" i="7"/>
  <c r="AE222" i="6"/>
  <c r="AH222" i="6" s="1"/>
  <c r="AJ222" i="6"/>
  <c r="Q129" i="7"/>
  <c r="P128" i="7"/>
  <c r="Q196" i="7"/>
  <c r="Q128" i="7"/>
  <c r="Q166" i="7"/>
  <c r="Q102" i="7"/>
  <c r="R32" i="7"/>
  <c r="Q214" i="7"/>
  <c r="R178" i="7"/>
  <c r="Q178" i="7"/>
  <c r="H221" i="7"/>
  <c r="AG240" i="6"/>
  <c r="S240" i="7" s="1"/>
  <c r="AF240" i="6"/>
  <c r="Q206" i="7"/>
  <c r="R141" i="7"/>
  <c r="R236" i="7"/>
  <c r="AB136" i="6"/>
  <c r="H14" i="7"/>
  <c r="E58" i="8" s="1"/>
  <c r="G58" i="8" s="1"/>
  <c r="W90" i="6"/>
  <c r="AJ90" i="6" s="1"/>
  <c r="AE215" i="6"/>
  <c r="AG215" i="6" s="1"/>
  <c r="S215" i="7" s="1"/>
  <c r="W103" i="6"/>
  <c r="W98" i="6"/>
  <c r="AE98" i="6" s="1"/>
  <c r="AH98" i="6" s="1"/>
  <c r="AB163" i="6"/>
  <c r="AC185" i="6"/>
  <c r="AD71" i="6"/>
  <c r="AC71" i="6"/>
  <c r="J87" i="7"/>
  <c r="D115" i="7"/>
  <c r="E115" i="7" s="1"/>
  <c r="H115" i="7" s="1"/>
  <c r="O115" i="7"/>
  <c r="D171" i="7"/>
  <c r="E171" i="7" s="1"/>
  <c r="F171" i="7"/>
  <c r="A235" i="8"/>
  <c r="D205" i="7"/>
  <c r="E205" i="7" s="1"/>
  <c r="F205" i="7"/>
  <c r="B205" i="7"/>
  <c r="B157" i="8" s="1"/>
  <c r="D133" i="7"/>
  <c r="E133" i="7" s="1"/>
  <c r="G133" i="7"/>
  <c r="B133" i="7"/>
  <c r="B110" i="8" s="1"/>
  <c r="AD82" i="6"/>
  <c r="W82" i="6" s="1"/>
  <c r="AC178" i="6"/>
  <c r="O58" i="7"/>
  <c r="R58" i="7" s="1"/>
  <c r="O85" i="7"/>
  <c r="AC188" i="6"/>
  <c r="AC62" i="6"/>
  <c r="Y243" i="6"/>
  <c r="G129" i="7"/>
  <c r="AE86" i="6"/>
  <c r="AE77" i="6"/>
  <c r="AE243" i="6"/>
  <c r="W101" i="6"/>
  <c r="AE101" i="6" s="1"/>
  <c r="W174" i="6"/>
  <c r="AJ174" i="6" s="1"/>
  <c r="Y23" i="6"/>
  <c r="W152" i="6"/>
  <c r="AJ152" i="6" s="1"/>
  <c r="W163" i="6"/>
  <c r="AD148" i="6"/>
  <c r="W148" i="6" s="1"/>
  <c r="AD144" i="6"/>
  <c r="AC144" i="6"/>
  <c r="Y129" i="6"/>
  <c r="W142" i="6"/>
  <c r="B45" i="7"/>
  <c r="B113" i="8" s="1"/>
  <c r="D45" i="7"/>
  <c r="E45" i="7" s="1"/>
  <c r="D69" i="7"/>
  <c r="E69" i="7" s="1"/>
  <c r="F69" i="7"/>
  <c r="AC23" i="6"/>
  <c r="AC117" i="6"/>
  <c r="O160" i="7"/>
  <c r="AC19" i="6"/>
  <c r="W208" i="6"/>
  <c r="F112" i="7"/>
  <c r="AF85" i="6"/>
  <c r="AH85" i="6"/>
  <c r="AI85" i="6" s="1"/>
  <c r="W240" i="6"/>
  <c r="AJ240" i="6" s="1"/>
  <c r="W125" i="6"/>
  <c r="Y112" i="6"/>
  <c r="W99" i="6"/>
  <c r="D146" i="7"/>
  <c r="E146" i="7" s="1"/>
  <c r="G146" i="7"/>
  <c r="A152" i="8"/>
  <c r="A186" i="8"/>
  <c r="F216" i="7"/>
  <c r="O23" i="7"/>
  <c r="W159" i="6"/>
  <c r="O202" i="7"/>
  <c r="W184" i="6"/>
  <c r="AC181" i="6"/>
  <c r="AD181" i="6"/>
  <c r="W181" i="6" s="1"/>
  <c r="AC4" i="6"/>
  <c r="U22" i="6"/>
  <c r="AC50" i="6"/>
  <c r="AD50" i="6"/>
  <c r="F111" i="7"/>
  <c r="B21" i="7"/>
  <c r="B51" i="8" s="1"/>
  <c r="G21" i="7"/>
  <c r="D174" i="7"/>
  <c r="E174" i="7" s="1"/>
  <c r="C199" i="7"/>
  <c r="C212" i="8" s="1"/>
  <c r="F199" i="7"/>
  <c r="AC141" i="6"/>
  <c r="W56" i="6"/>
  <c r="W138" i="6"/>
  <c r="AE138" i="6" s="1"/>
  <c r="AD78" i="6"/>
  <c r="W78" i="6" s="1"/>
  <c r="AC78" i="6"/>
  <c r="O78" i="7"/>
  <c r="C31" i="7"/>
  <c r="C30" i="8" s="1"/>
  <c r="G31" i="7"/>
  <c r="H31" i="7" s="1"/>
  <c r="C71" i="7"/>
  <c r="C83" i="8" s="1"/>
  <c r="G71" i="7"/>
  <c r="B71" i="7"/>
  <c r="B83" i="8" s="1"/>
  <c r="B4" i="7"/>
  <c r="B149" i="8" s="1"/>
  <c r="C4" i="7"/>
  <c r="C149" i="8" s="1"/>
  <c r="C175" i="7"/>
  <c r="C49" i="8" s="1"/>
  <c r="F175" i="7"/>
  <c r="H175" i="7" s="1"/>
  <c r="I175" i="7" s="1"/>
  <c r="D49" i="8" s="1"/>
  <c r="Q130" i="7"/>
  <c r="H149" i="7"/>
  <c r="E222" i="8" s="1"/>
  <c r="G222" i="8" s="1"/>
  <c r="D158" i="7"/>
  <c r="E158" i="7" s="1"/>
  <c r="M158" i="7" a="1"/>
  <c r="M158" i="7" s="1"/>
  <c r="P158" i="7" s="1"/>
  <c r="D20" i="7"/>
  <c r="E20" i="7" s="1"/>
  <c r="F20" i="7"/>
  <c r="A198" i="8"/>
  <c r="C224" i="7"/>
  <c r="C198" i="8" s="1"/>
  <c r="B224" i="7"/>
  <c r="B198" i="8" s="1"/>
  <c r="F190" i="7"/>
  <c r="J190" i="7"/>
  <c r="Y132" i="6"/>
  <c r="Y28" i="6"/>
  <c r="X47" i="6"/>
  <c r="Y47" i="6" s="1"/>
  <c r="F47" i="7"/>
  <c r="H84" i="7"/>
  <c r="W67" i="6"/>
  <c r="AJ67" i="6" s="1"/>
  <c r="W81" i="6"/>
  <c r="F237" i="7"/>
  <c r="G237" i="7"/>
  <c r="A142" i="8"/>
  <c r="M95" i="7" a="1"/>
  <c r="M95" i="7" s="1"/>
  <c r="A45" i="8"/>
  <c r="G44" i="7"/>
  <c r="H44" i="7" s="1"/>
  <c r="D73" i="7"/>
  <c r="E73" i="7" s="1"/>
  <c r="F73" i="7"/>
  <c r="G73" i="7"/>
  <c r="D154" i="7"/>
  <c r="E154" i="7" s="1"/>
  <c r="K154" i="7"/>
  <c r="D97" i="7"/>
  <c r="E97" i="7" s="1"/>
  <c r="G97" i="7"/>
  <c r="C241" i="7"/>
  <c r="C173" i="8" s="1"/>
  <c r="F241" i="7"/>
  <c r="AC7" i="6"/>
  <c r="AC98" i="6"/>
  <c r="H168" i="7"/>
  <c r="Y90" i="6"/>
  <c r="Y67" i="6"/>
  <c r="W135" i="6"/>
  <c r="AJ135" i="6" s="1"/>
  <c r="W40" i="6"/>
  <c r="AE40" i="6" s="1"/>
  <c r="B28" i="7"/>
  <c r="B120" i="8" s="1"/>
  <c r="D28" i="7"/>
  <c r="E28" i="7" s="1"/>
  <c r="H28" i="7" s="1"/>
  <c r="D210" i="7"/>
  <c r="F210" i="7"/>
  <c r="O210" i="7"/>
  <c r="D68" i="7"/>
  <c r="E68" i="7" s="1"/>
  <c r="A36" i="8"/>
  <c r="C25" i="7"/>
  <c r="C124" i="8" s="1"/>
  <c r="F25" i="7"/>
  <c r="D101" i="7"/>
  <c r="E101" i="7" s="1"/>
  <c r="G101" i="7"/>
  <c r="D83" i="7"/>
  <c r="E83" i="7" s="1"/>
  <c r="H83" i="7" s="1"/>
  <c r="O83" i="7"/>
  <c r="C52" i="7"/>
  <c r="C47" i="8" s="1"/>
  <c r="F52" i="7"/>
  <c r="G52" i="7"/>
  <c r="B179" i="7"/>
  <c r="B191" i="8" s="1"/>
  <c r="F179" i="7"/>
  <c r="D179" i="7"/>
  <c r="E179" i="7" s="1"/>
  <c r="C183" i="7"/>
  <c r="C32" i="8" s="1"/>
  <c r="D183" i="7"/>
  <c r="E183" i="7" s="1"/>
  <c r="H183" i="7" s="1"/>
  <c r="J183" i="7"/>
  <c r="F32" i="8" s="1"/>
  <c r="G25" i="7"/>
  <c r="Y202" i="6"/>
  <c r="Y138" i="6"/>
  <c r="Y130" i="6"/>
  <c r="Y114" i="6"/>
  <c r="E200" i="7"/>
  <c r="E184" i="7"/>
  <c r="H184" i="7" s="1"/>
  <c r="E144" i="7"/>
  <c r="H144" i="7" s="1"/>
  <c r="E65" i="8" s="1"/>
  <c r="G65" i="8" s="1"/>
  <c r="E64" i="7"/>
  <c r="H64" i="7" s="1"/>
  <c r="E56" i="7"/>
  <c r="H56" i="7" s="1"/>
  <c r="L56" i="7" s="1"/>
  <c r="E8" i="7"/>
  <c r="H8" i="7" s="1"/>
  <c r="Y237" i="6"/>
  <c r="X109" i="6"/>
  <c r="Y109" i="6" s="1"/>
  <c r="F109" i="7"/>
  <c r="H109" i="7" s="1"/>
  <c r="E130" i="8" s="1"/>
  <c r="G130" i="8" s="1"/>
  <c r="X37" i="6"/>
  <c r="Y37" i="6" s="1"/>
  <c r="AI37" i="6" s="1"/>
  <c r="F37" i="7"/>
  <c r="H185" i="7"/>
  <c r="E191" i="7"/>
  <c r="H191" i="7" s="1"/>
  <c r="W33" i="6"/>
  <c r="W130" i="6"/>
  <c r="Y238" i="6"/>
  <c r="H36" i="11"/>
  <c r="E159" i="7"/>
  <c r="H159" i="7" s="1"/>
  <c r="I159" i="7" s="1"/>
  <c r="D225" i="8" s="1"/>
  <c r="Y24" i="6"/>
  <c r="W96" i="6"/>
  <c r="AE96" i="6" s="1"/>
  <c r="Y210" i="6"/>
  <c r="Y242" i="6"/>
  <c r="W161" i="6"/>
  <c r="AJ161" i="6" s="1"/>
  <c r="G212" i="7"/>
  <c r="H212" i="7" s="1"/>
  <c r="G148" i="7"/>
  <c r="G68" i="7"/>
  <c r="W7" i="6"/>
  <c r="Y11" i="6"/>
  <c r="W136" i="6"/>
  <c r="X247" i="6"/>
  <c r="Y247" i="6" s="1"/>
  <c r="AI247" i="6" s="1"/>
  <c r="G15" i="7"/>
  <c r="H15" i="7" s="1"/>
  <c r="L15" i="7" s="1"/>
  <c r="G234" i="7"/>
  <c r="H234" i="7" s="1"/>
  <c r="G210" i="7"/>
  <c r="G178" i="7"/>
  <c r="H178" i="7" s="1"/>
  <c r="I178" i="7" s="1"/>
  <c r="D156" i="8" s="1"/>
  <c r="G154" i="7"/>
  <c r="G106" i="7"/>
  <c r="Y211" i="6"/>
  <c r="Y155" i="6"/>
  <c r="E153" i="7"/>
  <c r="H153" i="7" s="1"/>
  <c r="E121" i="7"/>
  <c r="E17" i="7"/>
  <c r="H17" i="7" s="1"/>
  <c r="Y46" i="6"/>
  <c r="Y212" i="6"/>
  <c r="Y65" i="6"/>
  <c r="W113" i="6"/>
  <c r="AJ113" i="6" s="1"/>
  <c r="Y161" i="6"/>
  <c r="Y225" i="6"/>
  <c r="G216" i="7"/>
  <c r="G208" i="7"/>
  <c r="H208" i="7" s="1"/>
  <c r="G160" i="7"/>
  <c r="G136" i="7"/>
  <c r="H136" i="7" s="1"/>
  <c r="I136" i="7" s="1"/>
  <c r="D112" i="8" s="1"/>
  <c r="G128" i="7"/>
  <c r="H128" i="7" s="1"/>
  <c r="L128" i="7" s="1"/>
  <c r="G48" i="7"/>
  <c r="Y81" i="6"/>
  <c r="E204" i="7"/>
  <c r="H204" i="7" s="1"/>
  <c r="I204" i="7" s="1"/>
  <c r="D170" i="8" s="1"/>
  <c r="E132" i="7"/>
  <c r="E116" i="7"/>
  <c r="H116" i="7" s="1"/>
  <c r="E167" i="7"/>
  <c r="H167" i="7" s="1"/>
  <c r="E7" i="7"/>
  <c r="H7" i="7" s="1"/>
  <c r="G206" i="7"/>
  <c r="G198" i="7"/>
  <c r="G166" i="7"/>
  <c r="G150" i="7"/>
  <c r="G126" i="7"/>
  <c r="G118" i="7"/>
  <c r="G110" i="7"/>
  <c r="G102" i="7"/>
  <c r="G86" i="7"/>
  <c r="G70" i="7"/>
  <c r="G46" i="7"/>
  <c r="H46" i="7" s="1"/>
  <c r="G38" i="7"/>
  <c r="G30" i="7"/>
  <c r="Y167" i="6"/>
  <c r="Y135" i="6"/>
  <c r="Y95" i="6"/>
  <c r="Y39" i="6"/>
  <c r="E210" i="7"/>
  <c r="E245" i="7"/>
  <c r="E5" i="7"/>
  <c r="X241" i="6"/>
  <c r="Y241" i="6" s="1"/>
  <c r="G10" i="7"/>
  <c r="H10" i="7" s="1"/>
  <c r="G245" i="7"/>
  <c r="G229" i="7"/>
  <c r="H229" i="7" s="1"/>
  <c r="I229" i="7" s="1"/>
  <c r="D168" i="8" s="1"/>
  <c r="G205" i="7"/>
  <c r="G197" i="7"/>
  <c r="G181" i="7"/>
  <c r="G173" i="7"/>
  <c r="G165" i="7"/>
  <c r="H165" i="7" s="1"/>
  <c r="G85" i="7"/>
  <c r="Y182" i="6"/>
  <c r="E81" i="7"/>
  <c r="H81" i="7" s="1"/>
  <c r="E140" i="7"/>
  <c r="H140" i="7" s="1"/>
  <c r="E181" i="8"/>
  <c r="G181" i="8" s="1"/>
  <c r="Q75" i="7"/>
  <c r="R75" i="7"/>
  <c r="Y166" i="6"/>
  <c r="E129" i="8"/>
  <c r="G129" i="8" s="1"/>
  <c r="AG41" i="6"/>
  <c r="S41" i="7" s="1"/>
  <c r="AH41" i="6"/>
  <c r="AF41" i="6"/>
  <c r="R238" i="7"/>
  <c r="Q238" i="7"/>
  <c r="R153" i="7"/>
  <c r="Q153" i="7"/>
  <c r="Q142" i="7"/>
  <c r="R142" i="7"/>
  <c r="AG160" i="6"/>
  <c r="S160" i="7" s="1"/>
  <c r="AF160" i="6"/>
  <c r="H42" i="11"/>
  <c r="Q49" i="7"/>
  <c r="R49" i="7"/>
  <c r="R172" i="7"/>
  <c r="Q172" i="7"/>
  <c r="R10" i="7"/>
  <c r="Q10" i="7"/>
  <c r="R137" i="7"/>
  <c r="Q137" i="7"/>
  <c r="Q185" i="7"/>
  <c r="R185" i="7"/>
  <c r="Q34" i="7"/>
  <c r="I137" i="7"/>
  <c r="D129" i="8" s="1"/>
  <c r="E123" i="8"/>
  <c r="G123" i="8" s="1"/>
  <c r="Q82" i="7"/>
  <c r="Q18" i="7"/>
  <c r="Q184" i="7"/>
  <c r="R42" i="7"/>
  <c r="AG185" i="6"/>
  <c r="S185" i="7" s="1"/>
  <c r="AF185" i="6"/>
  <c r="R16" i="7"/>
  <c r="Q16" i="7"/>
  <c r="R192" i="7"/>
  <c r="Q192" i="7"/>
  <c r="R193" i="7"/>
  <c r="Q193" i="7"/>
  <c r="R94" i="7"/>
  <c r="Q94" i="7"/>
  <c r="R145" i="7"/>
  <c r="Q139" i="7"/>
  <c r="R139" i="7"/>
  <c r="Q84" i="7"/>
  <c r="R84" i="7"/>
  <c r="R24" i="7"/>
  <c r="Q24" i="7"/>
  <c r="R219" i="7"/>
  <c r="Q219" i="7"/>
  <c r="Q226" i="7"/>
  <c r="R226" i="7"/>
  <c r="Q61" i="7"/>
  <c r="R61" i="7"/>
  <c r="R4" i="7"/>
  <c r="Q4" i="7"/>
  <c r="Q39" i="7"/>
  <c r="AJ220" i="6"/>
  <c r="AE220" i="6"/>
  <c r="AH220" i="6" s="1"/>
  <c r="R235" i="7"/>
  <c r="Q235" i="7"/>
  <c r="Q110" i="7"/>
  <c r="R110" i="7"/>
  <c r="H220" i="7"/>
  <c r="H40" i="11"/>
  <c r="H34" i="11"/>
  <c r="I89" i="7"/>
  <c r="D109" i="8" s="1"/>
  <c r="E109" i="8"/>
  <c r="G109" i="8" s="1"/>
  <c r="R195" i="7"/>
  <c r="Q195" i="7"/>
  <c r="Q35" i="7"/>
  <c r="R35" i="7"/>
  <c r="R204" i="7"/>
  <c r="H44" i="11"/>
  <c r="AH53" i="6"/>
  <c r="AI53" i="6" s="1"/>
  <c r="R170" i="7"/>
  <c r="Q134" i="7"/>
  <c r="R72" i="7"/>
  <c r="Q72" i="7"/>
  <c r="Q169" i="7"/>
  <c r="R169" i="7"/>
  <c r="R106" i="7"/>
  <c r="H92" i="7"/>
  <c r="AH165" i="6"/>
  <c r="R76" i="7"/>
  <c r="Q33" i="7"/>
  <c r="R33" i="7"/>
  <c r="Q57" i="7"/>
  <c r="R57" i="7"/>
  <c r="R30" i="7"/>
  <c r="Q30" i="7"/>
  <c r="Q135" i="7"/>
  <c r="R135" i="7"/>
  <c r="Q93" i="7"/>
  <c r="R93" i="7"/>
  <c r="AF91" i="6"/>
  <c r="Q64" i="7"/>
  <c r="R101" i="7"/>
  <c r="R221" i="7"/>
  <c r="Q121" i="7"/>
  <c r="Q15" i="7"/>
  <c r="R173" i="7"/>
  <c r="Q29" i="7"/>
  <c r="H230" i="7"/>
  <c r="E202" i="8" s="1"/>
  <c r="G202" i="8" s="1"/>
  <c r="AG223" i="6"/>
  <c r="S223" i="7" s="1"/>
  <c r="AE12" i="6"/>
  <c r="W170" i="6"/>
  <c r="R227" i="7"/>
  <c r="Q227" i="7"/>
  <c r="Q186" i="7"/>
  <c r="R186" i="7"/>
  <c r="Q245" i="7"/>
  <c r="R245" i="7"/>
  <c r="AE204" i="6"/>
  <c r="AF204" i="6" s="1"/>
  <c r="AJ204" i="6"/>
  <c r="Q191" i="7"/>
  <c r="R206" i="7"/>
  <c r="R7" i="7"/>
  <c r="Q188" i="7"/>
  <c r="Q247" i="7"/>
  <c r="Q91" i="7"/>
  <c r="AH49" i="6"/>
  <c r="AF165" i="6"/>
  <c r="AJ165" i="6"/>
  <c r="W179" i="6"/>
  <c r="AE225" i="6"/>
  <c r="AG225" i="6" s="1"/>
  <c r="S225" i="7" s="1"/>
  <c r="AJ225" i="6"/>
  <c r="R229" i="7"/>
  <c r="Q229" i="7"/>
  <c r="AI232" i="6"/>
  <c r="Q148" i="7"/>
  <c r="R148" i="7"/>
  <c r="Y115" i="6"/>
  <c r="H35" i="11"/>
  <c r="H41" i="11"/>
  <c r="H45" i="11"/>
  <c r="H46" i="11"/>
  <c r="AJ48" i="6"/>
  <c r="R133" i="7"/>
  <c r="Q133" i="7"/>
  <c r="AJ206" i="6"/>
  <c r="Q104" i="7"/>
  <c r="Q70" i="7"/>
  <c r="H129" i="7"/>
  <c r="Y97" i="6"/>
  <c r="W97" i="6"/>
  <c r="AF213" i="6"/>
  <c r="Q236" i="7"/>
  <c r="H244" i="7"/>
  <c r="AJ140" i="6"/>
  <c r="AE140" i="6"/>
  <c r="W235" i="6"/>
  <c r="R198" i="7"/>
  <c r="Q198" i="7"/>
  <c r="Q197" i="7"/>
  <c r="R197" i="7"/>
  <c r="Y239" i="6"/>
  <c r="Y31" i="6"/>
  <c r="Y7" i="6"/>
  <c r="R47" i="7"/>
  <c r="Q47" i="7"/>
  <c r="R62" i="7"/>
  <c r="Q62" i="7"/>
  <c r="R130" i="7"/>
  <c r="H195" i="7"/>
  <c r="AE161" i="6"/>
  <c r="Y228" i="6"/>
  <c r="Y148" i="6"/>
  <c r="Y92" i="6"/>
  <c r="Y84" i="6"/>
  <c r="H38" i="11"/>
  <c r="H43" i="11"/>
  <c r="Y234" i="6"/>
  <c r="Y162" i="6"/>
  <c r="Y154" i="6"/>
  <c r="Y106" i="6"/>
  <c r="Y98" i="6"/>
  <c r="Y26" i="6"/>
  <c r="Y25" i="6"/>
  <c r="W106" i="6"/>
  <c r="W121" i="6"/>
  <c r="AJ121" i="6" s="1"/>
  <c r="E21" i="7"/>
  <c r="E95" i="7"/>
  <c r="H95" i="7" s="1"/>
  <c r="E207" i="7"/>
  <c r="H207" i="7" s="1"/>
  <c r="Y93" i="6"/>
  <c r="Y69" i="6"/>
  <c r="Y203" i="6"/>
  <c r="Y179" i="6"/>
  <c r="W128" i="6"/>
  <c r="E201" i="7"/>
  <c r="H201" i="7" s="1"/>
  <c r="E59" i="7"/>
  <c r="H59" i="7" s="1"/>
  <c r="E240" i="7"/>
  <c r="H240" i="7" s="1"/>
  <c r="E170" i="7"/>
  <c r="H170" i="7" s="1"/>
  <c r="E33" i="7"/>
  <c r="H33" i="7" s="1"/>
  <c r="Y172" i="6"/>
  <c r="Y41" i="6"/>
  <c r="W65" i="6"/>
  <c r="W72" i="6"/>
  <c r="W217" i="6"/>
  <c r="E85" i="7"/>
  <c r="E29" i="7"/>
  <c r="H29" i="7" s="1"/>
  <c r="E26" i="7"/>
  <c r="H26" i="7" s="1"/>
  <c r="E98" i="7"/>
  <c r="H98" i="7" s="1"/>
  <c r="E124" i="7"/>
  <c r="E99" i="7"/>
  <c r="H99" i="7" s="1"/>
  <c r="W9" i="6"/>
  <c r="W73" i="6"/>
  <c r="AH111" i="6"/>
  <c r="AI111" i="6" s="1"/>
  <c r="AG111" i="6"/>
  <c r="S111" i="7" s="1"/>
  <c r="AF111" i="6"/>
  <c r="R56" i="7"/>
  <c r="Q56" i="7"/>
  <c r="R112" i="7"/>
  <c r="AE180" i="6"/>
  <c r="AJ156" i="6"/>
  <c r="R55" i="7"/>
  <c r="Q55" i="7"/>
  <c r="AJ211" i="6"/>
  <c r="AE211" i="6"/>
  <c r="R189" i="7"/>
  <c r="Q189" i="7"/>
  <c r="AE203" i="6"/>
  <c r="AJ111" i="6"/>
  <c r="R165" i="7"/>
  <c r="Q165" i="7"/>
  <c r="R190" i="7"/>
  <c r="Q190" i="7"/>
  <c r="AE139" i="6"/>
  <c r="B55" i="11"/>
  <c r="B56" i="11"/>
  <c r="B54" i="11"/>
  <c r="B57" i="11"/>
  <c r="B59" i="11"/>
  <c r="B60" i="11"/>
  <c r="B52" i="11"/>
  <c r="B53" i="11"/>
  <c r="B61" i="11"/>
  <c r="H39" i="11"/>
  <c r="H37" i="11"/>
  <c r="W196" i="6"/>
  <c r="AE6" i="6" l="1"/>
  <c r="AJ6" i="6"/>
  <c r="AJ176" i="6"/>
  <c r="AE176" i="6"/>
  <c r="AH176" i="6" s="1"/>
  <c r="AI176" i="6" s="1"/>
  <c r="AF48" i="6"/>
  <c r="AG49" i="6"/>
  <c r="S49" i="7" s="1"/>
  <c r="AI90" i="6"/>
  <c r="AH93" i="6"/>
  <c r="AI93" i="6" s="1"/>
  <c r="AF39" i="6"/>
  <c r="H87" i="7"/>
  <c r="E128" i="8" s="1"/>
  <c r="G128" i="8" s="1"/>
  <c r="AJ223" i="6"/>
  <c r="AH48" i="6"/>
  <c r="AI48" i="6" s="1"/>
  <c r="R215" i="7"/>
  <c r="AJ120" i="6"/>
  <c r="AE104" i="6"/>
  <c r="R182" i="7"/>
  <c r="AH223" i="6"/>
  <c r="AF93" i="6"/>
  <c r="AJ186" i="6"/>
  <c r="AG87" i="6"/>
  <c r="S87" i="7" s="1"/>
  <c r="AG53" i="6"/>
  <c r="S53" i="7" s="1"/>
  <c r="AE168" i="6"/>
  <c r="AH168" i="6" s="1"/>
  <c r="AI168" i="6" s="1"/>
  <c r="Q152" i="7"/>
  <c r="Q11" i="7"/>
  <c r="AJ105" i="6"/>
  <c r="AE105" i="6"/>
  <c r="H228" i="7"/>
  <c r="I228" i="7" s="1"/>
  <c r="D167" i="8" s="1"/>
  <c r="R104" i="7"/>
  <c r="H151" i="7"/>
  <c r="E148" i="8" s="1"/>
  <c r="G148" i="8" s="1"/>
  <c r="H108" i="7"/>
  <c r="Q28" i="7"/>
  <c r="W126" i="6"/>
  <c r="AE126" i="6" s="1"/>
  <c r="H5" i="7"/>
  <c r="Q183" i="7"/>
  <c r="H145" i="7"/>
  <c r="I145" i="7" s="1"/>
  <c r="D151" i="8" s="1"/>
  <c r="H127" i="7"/>
  <c r="I127" i="7" s="1"/>
  <c r="D68" i="8" s="1"/>
  <c r="AH44" i="6"/>
  <c r="AI44" i="6" s="1"/>
  <c r="AG231" i="6"/>
  <c r="S231" i="7" s="1"/>
  <c r="W234" i="6"/>
  <c r="AE234" i="6" s="1"/>
  <c r="AG234" i="6" s="1"/>
  <c r="S234" i="7" s="1"/>
  <c r="Q167" i="7"/>
  <c r="H158" i="7"/>
  <c r="L155" i="7"/>
  <c r="E52" i="8"/>
  <c r="G52" i="8" s="1"/>
  <c r="I65" i="7"/>
  <c r="D52" i="8" s="1"/>
  <c r="H160" i="7"/>
  <c r="H16" i="7"/>
  <c r="L16" i="7" s="1"/>
  <c r="H63" i="7"/>
  <c r="E95" i="8" s="1"/>
  <c r="G95" i="8" s="1"/>
  <c r="H82" i="7"/>
  <c r="H78" i="7"/>
  <c r="H227" i="7"/>
  <c r="H96" i="7"/>
  <c r="H19" i="7"/>
  <c r="H132" i="7"/>
  <c r="H36" i="7"/>
  <c r="L36" i="7" s="1"/>
  <c r="AH122" i="6"/>
  <c r="AI122" i="6" s="1"/>
  <c r="L246" i="7"/>
  <c r="F246" i="8"/>
  <c r="R108" i="7"/>
  <c r="R73" i="7"/>
  <c r="R155" i="7"/>
  <c r="L137" i="7"/>
  <c r="L194" i="7"/>
  <c r="F179" i="8"/>
  <c r="AJ36" i="6"/>
  <c r="AH18" i="6"/>
  <c r="AI18" i="6" s="1"/>
  <c r="L193" i="7"/>
  <c r="AE224" i="6"/>
  <c r="AF224" i="6" s="1"/>
  <c r="AI89" i="6"/>
  <c r="H246" i="7"/>
  <c r="AH110" i="6"/>
  <c r="AI110" i="6" s="1"/>
  <c r="I155" i="7"/>
  <c r="D221" i="8" s="1"/>
  <c r="L203" i="7"/>
  <c r="AH146" i="6"/>
  <c r="AI146" i="6" s="1"/>
  <c r="Q163" i="7"/>
  <c r="AI28" i="6"/>
  <c r="H152" i="7"/>
  <c r="E29" i="8" s="1"/>
  <c r="G29" i="8" s="1"/>
  <c r="AG110" i="6"/>
  <c r="S110" i="7" s="1"/>
  <c r="R234" i="7"/>
  <c r="W32" i="6"/>
  <c r="AJ32" i="6" s="1"/>
  <c r="H114" i="7"/>
  <c r="R143" i="7"/>
  <c r="Q222" i="7"/>
  <c r="AF16" i="6"/>
  <c r="AE187" i="6"/>
  <c r="AF187" i="6" s="1"/>
  <c r="H218" i="7"/>
  <c r="W144" i="6"/>
  <c r="AJ144" i="6" s="1"/>
  <c r="W71" i="6"/>
  <c r="AE71" i="6" s="1"/>
  <c r="E71" i="8"/>
  <c r="G71" i="8" s="1"/>
  <c r="AF89" i="6"/>
  <c r="Q208" i="7"/>
  <c r="R167" i="7"/>
  <c r="W230" i="6"/>
  <c r="AE230" i="6" s="1"/>
  <c r="AJ233" i="6"/>
  <c r="AG89" i="6"/>
  <c r="S89" i="7" s="1"/>
  <c r="AF146" i="6"/>
  <c r="Q98" i="7"/>
  <c r="R26" i="7"/>
  <c r="AJ209" i="6"/>
  <c r="AJ122" i="6"/>
  <c r="AJ16" i="6"/>
  <c r="AF58" i="6"/>
  <c r="AH116" i="6"/>
  <c r="AI116" i="6" s="1"/>
  <c r="H121" i="7"/>
  <c r="AE69" i="6"/>
  <c r="AG69" i="6" s="1"/>
  <c r="S69" i="7" s="1"/>
  <c r="W141" i="6"/>
  <c r="AJ141" i="6" s="1"/>
  <c r="L119" i="7"/>
  <c r="R157" i="7"/>
  <c r="AJ57" i="6"/>
  <c r="AI66" i="6"/>
  <c r="H13" i="7"/>
  <c r="I13" i="7" s="1"/>
  <c r="D103" i="8" s="1"/>
  <c r="Q113" i="7"/>
  <c r="AH58" i="6"/>
  <c r="AI58" i="6" s="1"/>
  <c r="AF168" i="6"/>
  <c r="AJ173" i="6"/>
  <c r="AG116" i="6"/>
  <c r="S116" i="7" s="1"/>
  <c r="E44" i="8"/>
  <c r="G44" i="8" s="1"/>
  <c r="AJ96" i="6"/>
  <c r="AH199" i="6"/>
  <c r="AI199" i="6" s="1"/>
  <c r="I225" i="7"/>
  <c r="D158" i="8" s="1"/>
  <c r="L149" i="7"/>
  <c r="AI167" i="6"/>
  <c r="H148" i="7"/>
  <c r="L148" i="7" s="1"/>
  <c r="AJ108" i="6"/>
  <c r="Q13" i="7"/>
  <c r="R126" i="7"/>
  <c r="AI42" i="6"/>
  <c r="H51" i="7"/>
  <c r="I51" i="7" s="1"/>
  <c r="D33" i="8" s="1"/>
  <c r="H147" i="7"/>
  <c r="E153" i="8" s="1"/>
  <c r="G153" i="8" s="1"/>
  <c r="H141" i="7"/>
  <c r="H142" i="7"/>
  <c r="L142" i="7" s="1"/>
  <c r="H124" i="7"/>
  <c r="AG199" i="6"/>
  <c r="S199" i="7" s="1"/>
  <c r="I88" i="7"/>
  <c r="D92" i="8" s="1"/>
  <c r="Y102" i="6"/>
  <c r="AI165" i="6"/>
  <c r="E57" i="8"/>
  <c r="G57" i="8" s="1"/>
  <c r="AG229" i="6"/>
  <c r="S229" i="7" s="1"/>
  <c r="Q201" i="7"/>
  <c r="AH221" i="6"/>
  <c r="AI221" i="6" s="1"/>
  <c r="R231" i="7"/>
  <c r="AG167" i="6"/>
  <c r="S167" i="7" s="1"/>
  <c r="AJ167" i="6"/>
  <c r="AE14" i="6"/>
  <c r="AG28" i="6"/>
  <c r="S28" i="7" s="1"/>
  <c r="E201" i="8"/>
  <c r="G201" i="8" s="1"/>
  <c r="H173" i="7"/>
  <c r="E237" i="8" s="1"/>
  <c r="G237" i="8" s="1"/>
  <c r="H38" i="7"/>
  <c r="I38" i="7" s="1"/>
  <c r="D66" i="8" s="1"/>
  <c r="AF216" i="6"/>
  <c r="AF28" i="6"/>
  <c r="AJ146" i="6"/>
  <c r="Q106" i="7"/>
  <c r="L209" i="7"/>
  <c r="H71" i="7"/>
  <c r="AF205" i="6"/>
  <c r="H189" i="7"/>
  <c r="AG21" i="6"/>
  <c r="S21" i="7" s="1"/>
  <c r="AI223" i="6"/>
  <c r="L65" i="7"/>
  <c r="AF124" i="6"/>
  <c r="AG122" i="6"/>
  <c r="S122" i="7" s="1"/>
  <c r="I120" i="7"/>
  <c r="D16" i="8" s="1"/>
  <c r="E16" i="8"/>
  <c r="G16" i="8" s="1"/>
  <c r="L120" i="7"/>
  <c r="I78" i="7"/>
  <c r="D48" i="8" s="1"/>
  <c r="E48" i="8"/>
  <c r="G48" i="8" s="1"/>
  <c r="R149" i="7"/>
  <c r="R87" i="7"/>
  <c r="Q54" i="7"/>
  <c r="H21" i="7"/>
  <c r="I36" i="7"/>
  <c r="D38" i="8" s="1"/>
  <c r="I80" i="7"/>
  <c r="D140" i="8" s="1"/>
  <c r="AI220" i="6"/>
  <c r="AI222" i="6"/>
  <c r="H134" i="7"/>
  <c r="E69" i="8" s="1"/>
  <c r="G69" i="8" s="1"/>
  <c r="AI84" i="6"/>
  <c r="AE107" i="6"/>
  <c r="AH107" i="6" s="1"/>
  <c r="AI107" i="6" s="1"/>
  <c r="E38" i="8"/>
  <c r="G38" i="8" s="1"/>
  <c r="L211" i="7"/>
  <c r="E107" i="8"/>
  <c r="G107" i="8" s="1"/>
  <c r="E228" i="8"/>
  <c r="G228" i="8" s="1"/>
  <c r="AH177" i="6"/>
  <c r="AI177" i="6" s="1"/>
  <c r="H70" i="7"/>
  <c r="H182" i="7"/>
  <c r="E210" i="8" s="1"/>
  <c r="G210" i="8" s="1"/>
  <c r="W197" i="6"/>
  <c r="AJ197" i="6" s="1"/>
  <c r="AE193" i="6"/>
  <c r="AH193" i="6" s="1"/>
  <c r="AI193" i="6" s="1"/>
  <c r="H176" i="7"/>
  <c r="L176" i="7" s="1"/>
  <c r="L14" i="7"/>
  <c r="AJ244" i="6"/>
  <c r="Y62" i="6"/>
  <c r="L233" i="7"/>
  <c r="L107" i="7"/>
  <c r="L23" i="7"/>
  <c r="AI39" i="6"/>
  <c r="H206" i="7"/>
  <c r="I206" i="7" s="1"/>
  <c r="D200" i="8" s="1"/>
  <c r="E41" i="8"/>
  <c r="G41" i="8" s="1"/>
  <c r="AI216" i="6"/>
  <c r="AJ68" i="6"/>
  <c r="AE68" i="6"/>
  <c r="AG168" i="6"/>
  <c r="S168" i="7" s="1"/>
  <c r="R122" i="7"/>
  <c r="AG123" i="6"/>
  <c r="S123" i="7" s="1"/>
  <c r="AE201" i="6"/>
  <c r="AH201" i="6" s="1"/>
  <c r="AI201" i="6" s="1"/>
  <c r="AJ160" i="6"/>
  <c r="R89" i="7"/>
  <c r="AH21" i="6"/>
  <c r="AI21" i="6" s="1"/>
  <c r="AF177" i="6"/>
  <c r="AH87" i="6"/>
  <c r="AI87" i="6" s="1"/>
  <c r="AE131" i="6"/>
  <c r="I22" i="7"/>
  <c r="D138" i="8" s="1"/>
  <c r="AG94" i="6"/>
  <c r="S94" i="7" s="1"/>
  <c r="J13" i="11"/>
  <c r="AH29" i="6"/>
  <c r="AI29" i="6" s="1"/>
  <c r="AJ162" i="6"/>
  <c r="AG222" i="6"/>
  <c r="S222" i="7" s="1"/>
  <c r="AF231" i="6"/>
  <c r="AH38" i="6"/>
  <c r="AI38" i="6" s="1"/>
  <c r="AG29" i="6"/>
  <c r="S29" i="7" s="1"/>
  <c r="Q239" i="7"/>
  <c r="AJ11" i="6"/>
  <c r="AE11" i="6"/>
  <c r="AG11" i="6" s="1"/>
  <c r="S11" i="7" s="1"/>
  <c r="AF189" i="6"/>
  <c r="AG189" i="6"/>
  <c r="S189" i="7" s="1"/>
  <c r="AH189" i="6"/>
  <c r="AI189" i="6" s="1"/>
  <c r="AJ145" i="6"/>
  <c r="AE145" i="6"/>
  <c r="AF27" i="6"/>
  <c r="Q217" i="7"/>
  <c r="AJ138" i="6"/>
  <c r="AJ45" i="6"/>
  <c r="AJ153" i="6"/>
  <c r="E151" i="8"/>
  <c r="G151" i="8" s="1"/>
  <c r="AJ70" i="6"/>
  <c r="AI227" i="6"/>
  <c r="AH204" i="6"/>
  <c r="AI204" i="6" s="1"/>
  <c r="AG75" i="6"/>
  <c r="S75" i="7" s="1"/>
  <c r="AJ214" i="6"/>
  <c r="AE10" i="6"/>
  <c r="AF222" i="6"/>
  <c r="AE242" i="6"/>
  <c r="AG220" i="6"/>
  <c r="S220" i="7" s="1"/>
  <c r="L204" i="7"/>
  <c r="H86" i="7"/>
  <c r="H106" i="7"/>
  <c r="E87" i="8"/>
  <c r="G87" i="8" s="1"/>
  <c r="AJ13" i="6"/>
  <c r="AI218" i="6"/>
  <c r="AH76" i="6"/>
  <c r="AI76" i="6" s="1"/>
  <c r="AH17" i="6"/>
  <c r="AI17" i="6" s="1"/>
  <c r="AJ17" i="6"/>
  <c r="AE155" i="6"/>
  <c r="AF155" i="6" s="1"/>
  <c r="AG112" i="6"/>
  <c r="S112" i="7" s="1"/>
  <c r="E80" i="8"/>
  <c r="G80" i="8" s="1"/>
  <c r="AF220" i="6"/>
  <c r="AI49" i="6"/>
  <c r="L103" i="7"/>
  <c r="I152" i="7"/>
  <c r="D29" i="8" s="1"/>
  <c r="I87" i="7"/>
  <c r="D128" i="8" s="1"/>
  <c r="E149" i="8"/>
  <c r="G149" i="8" s="1"/>
  <c r="Q146" i="7"/>
  <c r="AJ169" i="6"/>
  <c r="R117" i="7"/>
  <c r="E68" i="8"/>
  <c r="G68" i="8" s="1"/>
  <c r="AF76" i="6"/>
  <c r="H156" i="7"/>
  <c r="L156" i="7" s="1"/>
  <c r="H55" i="7"/>
  <c r="I55" i="7" s="1"/>
  <c r="D93" i="8" s="1"/>
  <c r="H32" i="7"/>
  <c r="H74" i="7"/>
  <c r="E12" i="8" s="1"/>
  <c r="G12" i="8" s="1"/>
  <c r="R191" i="7"/>
  <c r="AJ53" i="6"/>
  <c r="H77" i="7"/>
  <c r="I77" i="7" s="1"/>
  <c r="D73" i="8" s="1"/>
  <c r="H214" i="7"/>
  <c r="E178" i="8" s="1"/>
  <c r="G178" i="8" s="1"/>
  <c r="H247" i="7"/>
  <c r="AI91" i="6"/>
  <c r="R13" i="7"/>
  <c r="AG216" i="6"/>
  <c r="S216" i="7" s="1"/>
  <c r="H30" i="7"/>
  <c r="E25" i="8" s="1"/>
  <c r="G25" i="8" s="1"/>
  <c r="H126" i="7"/>
  <c r="Q230" i="7"/>
  <c r="H138" i="7"/>
  <c r="L138" i="7" s="1"/>
  <c r="H40" i="7"/>
  <c r="I40" i="7" s="1"/>
  <c r="D70" i="8" s="1"/>
  <c r="H194" i="7"/>
  <c r="E179" i="8" s="1"/>
  <c r="G179" i="8" s="1"/>
  <c r="H130" i="7"/>
  <c r="L130" i="7" s="1"/>
  <c r="P200" i="7"/>
  <c r="AG241" i="6"/>
  <c r="S241" i="7" s="1"/>
  <c r="E166" i="8"/>
  <c r="G166" i="8" s="1"/>
  <c r="AH75" i="6"/>
  <c r="AI75" i="6" s="1"/>
  <c r="L163" i="7"/>
  <c r="I72" i="7"/>
  <c r="D71" i="8" s="1"/>
  <c r="H181" i="7"/>
  <c r="L181" i="7" s="1"/>
  <c r="H166" i="7"/>
  <c r="L166" i="7" s="1"/>
  <c r="H217" i="7"/>
  <c r="H135" i="7"/>
  <c r="I135" i="7" s="1"/>
  <c r="D62" i="8" s="1"/>
  <c r="W158" i="6"/>
  <c r="AJ158" i="6" s="1"/>
  <c r="H215" i="7"/>
  <c r="E172" i="8" s="1"/>
  <c r="G172" i="8" s="1"/>
  <c r="H139" i="7"/>
  <c r="L139" i="7" s="1"/>
  <c r="W118" i="6"/>
  <c r="AJ118" i="6" s="1"/>
  <c r="H243" i="7"/>
  <c r="I243" i="7" s="1"/>
  <c r="D162" i="8" s="1"/>
  <c r="P230" i="7"/>
  <c r="P109" i="7"/>
  <c r="AE15" i="6"/>
  <c r="AJ15" i="6"/>
  <c r="L105" i="7"/>
  <c r="E21" i="8"/>
  <c r="G21" i="8" s="1"/>
  <c r="I105" i="7"/>
  <c r="D21" i="8" s="1"/>
  <c r="E188" i="8"/>
  <c r="G188" i="8" s="1"/>
  <c r="L231" i="7"/>
  <c r="I231" i="7"/>
  <c r="D188" i="8" s="1"/>
  <c r="I142" i="7"/>
  <c r="D11" i="8" s="1"/>
  <c r="E140" i="8"/>
  <c r="G140" i="8" s="1"/>
  <c r="AJ129" i="6"/>
  <c r="I23" i="7"/>
  <c r="D82" i="8" s="1"/>
  <c r="E18" i="8"/>
  <c r="G18" i="8" s="1"/>
  <c r="H150" i="7"/>
  <c r="E226" i="8" s="1"/>
  <c r="G226" i="8" s="1"/>
  <c r="H97" i="7"/>
  <c r="L97" i="7" s="1"/>
  <c r="AJ241" i="6"/>
  <c r="L242" i="7"/>
  <c r="I161" i="7"/>
  <c r="D227" i="8" s="1"/>
  <c r="F127" i="8"/>
  <c r="L127" i="7"/>
  <c r="R36" i="7"/>
  <c r="AJ229" i="6"/>
  <c r="R183" i="7"/>
  <c r="W127" i="6"/>
  <c r="AE245" i="6"/>
  <c r="M9" i="11"/>
  <c r="AH241" i="6"/>
  <c r="AI241" i="6" s="1"/>
  <c r="AJ79" i="6"/>
  <c r="AE238" i="6"/>
  <c r="L145" i="7"/>
  <c r="AH94" i="6"/>
  <c r="AI94" i="6" s="1"/>
  <c r="L152" i="7"/>
  <c r="I149" i="7"/>
  <c r="D222" i="8" s="1"/>
  <c r="H198" i="7"/>
  <c r="I198" i="7" s="1"/>
  <c r="D211" i="8" s="1"/>
  <c r="H48" i="7"/>
  <c r="W117" i="6"/>
  <c r="AJ117" i="6" s="1"/>
  <c r="AH205" i="6"/>
  <c r="AI205" i="6" s="1"/>
  <c r="AF38" i="6"/>
  <c r="AG18" i="6"/>
  <c r="S18" i="7" s="1"/>
  <c r="AI22" i="6"/>
  <c r="H53" i="7"/>
  <c r="H222" i="7"/>
  <c r="I222" i="7" s="1"/>
  <c r="D177" i="8" s="1"/>
  <c r="Y160" i="6"/>
  <c r="AI160" i="6" s="1"/>
  <c r="AG36" i="6"/>
  <c r="S36" i="7" s="1"/>
  <c r="AH36" i="6"/>
  <c r="AI36" i="6" s="1"/>
  <c r="I144" i="7"/>
  <c r="D65" i="8" s="1"/>
  <c r="AF67" i="6"/>
  <c r="AH67" i="6"/>
  <c r="AI67" i="6" s="1"/>
  <c r="L91" i="7"/>
  <c r="F26" i="8"/>
  <c r="L144" i="7"/>
  <c r="AH190" i="6"/>
  <c r="AI190" i="6" s="1"/>
  <c r="H157" i="7"/>
  <c r="I157" i="7" s="1"/>
  <c r="D23" i="8" s="1"/>
  <c r="R212" i="7"/>
  <c r="Q212" i="7"/>
  <c r="L88" i="7"/>
  <c r="F92" i="8"/>
  <c r="L85" i="7"/>
  <c r="F132" i="8"/>
  <c r="L24" i="7"/>
  <c r="AJ147" i="6"/>
  <c r="E112" i="8"/>
  <c r="G112" i="8" s="1"/>
  <c r="H62" i="7"/>
  <c r="I62" i="7" s="1"/>
  <c r="D117" i="8" s="1"/>
  <c r="AI229" i="6"/>
  <c r="AH225" i="6"/>
  <c r="AI225" i="6" s="1"/>
  <c r="I14" i="7"/>
  <c r="D58" i="8" s="1"/>
  <c r="L113" i="7"/>
  <c r="AI194" i="6"/>
  <c r="AG221" i="6"/>
  <c r="S221" i="7" s="1"/>
  <c r="H224" i="7"/>
  <c r="E198" i="8" s="1"/>
  <c r="G198" i="8" s="1"/>
  <c r="H111" i="7"/>
  <c r="I111" i="7" s="1"/>
  <c r="D108" i="8" s="1"/>
  <c r="H100" i="7"/>
  <c r="E79" i="8" s="1"/>
  <c r="G79" i="8" s="1"/>
  <c r="R59" i="7"/>
  <c r="Q59" i="7"/>
  <c r="AG31" i="6"/>
  <c r="S31" i="7" s="1"/>
  <c r="AH31" i="6"/>
  <c r="AI31" i="6" s="1"/>
  <c r="L9" i="7"/>
  <c r="L41" i="7"/>
  <c r="F136" i="8"/>
  <c r="L31" i="7"/>
  <c r="F30" i="8"/>
  <c r="L115" i="7"/>
  <c r="I115" i="7"/>
  <c r="D27" i="8" s="1"/>
  <c r="E217" i="8"/>
  <c r="G217" i="8" s="1"/>
  <c r="I114" i="7"/>
  <c r="D101" i="8" s="1"/>
  <c r="E101" i="8"/>
  <c r="G101" i="8" s="1"/>
  <c r="E115" i="8"/>
  <c r="G115" i="8" s="1"/>
  <c r="I58" i="7"/>
  <c r="D115" i="8" s="1"/>
  <c r="L63" i="7"/>
  <c r="E241" i="8"/>
  <c r="G241" i="8" s="1"/>
  <c r="I189" i="7"/>
  <c r="D241" i="8" s="1"/>
  <c r="I213" i="7"/>
  <c r="D182" i="8" s="1"/>
  <c r="E182" i="8"/>
  <c r="G182" i="8" s="1"/>
  <c r="E183" i="8"/>
  <c r="G183" i="8" s="1"/>
  <c r="I177" i="7"/>
  <c r="D183" i="8" s="1"/>
  <c r="L177" i="7"/>
  <c r="E199" i="8"/>
  <c r="G199" i="8" s="1"/>
  <c r="I180" i="7"/>
  <c r="D199" i="8" s="1"/>
  <c r="AH112" i="6"/>
  <c r="AI112" i="6" s="1"/>
  <c r="A52" i="11" a="1"/>
  <c r="A52" i="11" s="1"/>
  <c r="I24" i="7"/>
  <c r="D134" i="8" s="1"/>
  <c r="L225" i="7"/>
  <c r="E170" i="8"/>
  <c r="G170" i="8" s="1"/>
  <c r="E238" i="8"/>
  <c r="G238" i="8" s="1"/>
  <c r="E156" i="8"/>
  <c r="G156" i="8" s="1"/>
  <c r="H102" i="7"/>
  <c r="L102" i="7" s="1"/>
  <c r="L136" i="7"/>
  <c r="AI24" i="6"/>
  <c r="E121" i="8"/>
  <c r="G121" i="8" s="1"/>
  <c r="E55" i="8"/>
  <c r="G55" i="8" s="1"/>
  <c r="R216" i="7"/>
  <c r="L219" i="7"/>
  <c r="AJ124" i="6"/>
  <c r="H57" i="7"/>
  <c r="R239" i="7"/>
  <c r="L189" i="7"/>
  <c r="AJ101" i="6"/>
  <c r="E136" i="8"/>
  <c r="G136" i="8" s="1"/>
  <c r="L214" i="7"/>
  <c r="I186" i="7"/>
  <c r="D238" i="8" s="1"/>
  <c r="E160" i="8"/>
  <c r="G160" i="8" s="1"/>
  <c r="AI123" i="6"/>
  <c r="W134" i="6"/>
  <c r="H93" i="7"/>
  <c r="I128" i="7"/>
  <c r="D57" i="8" s="1"/>
  <c r="AE152" i="6"/>
  <c r="AH152" i="6" s="1"/>
  <c r="AI152" i="6" s="1"/>
  <c r="AG204" i="6"/>
  <c r="S204" i="7" s="1"/>
  <c r="AE200" i="6"/>
  <c r="I151" i="7"/>
  <c r="D148" i="8" s="1"/>
  <c r="I214" i="7"/>
  <c r="D178" i="8" s="1"/>
  <c r="I193" i="7"/>
  <c r="D160" i="8" s="1"/>
  <c r="E89" i="8"/>
  <c r="G89" i="8" s="1"/>
  <c r="H118" i="7"/>
  <c r="L118" i="7" s="1"/>
  <c r="H37" i="7"/>
  <c r="I37" i="7" s="1"/>
  <c r="D106" i="8" s="1"/>
  <c r="H171" i="7"/>
  <c r="AJ28" i="6"/>
  <c r="H223" i="7"/>
  <c r="L223" i="7" s="1"/>
  <c r="Y233" i="6"/>
  <c r="AH26" i="6"/>
  <c r="AI26" i="6" s="1"/>
  <c r="AG26" i="6"/>
  <c r="S26" i="7" s="1"/>
  <c r="AF26" i="6"/>
  <c r="AJ116" i="6"/>
  <c r="AJ151" i="6"/>
  <c r="L151" i="7"/>
  <c r="L122" i="7"/>
  <c r="Q40" i="7"/>
  <c r="P145" i="7"/>
  <c r="I71" i="7"/>
  <c r="D83" i="8" s="1"/>
  <c r="I103" i="7"/>
  <c r="D72" i="8" s="1"/>
  <c r="H197" i="7"/>
  <c r="H200" i="7"/>
  <c r="AH124" i="6"/>
  <c r="AI124" i="6" s="1"/>
  <c r="AE172" i="6"/>
  <c r="AH172" i="6" s="1"/>
  <c r="AI172" i="6" s="1"/>
  <c r="F31" i="8"/>
  <c r="R176" i="7"/>
  <c r="H75" i="7"/>
  <c r="H6" i="7"/>
  <c r="E131" i="8" s="1"/>
  <c r="G131" i="8" s="1"/>
  <c r="H67" i="7"/>
  <c r="E145" i="8" s="1"/>
  <c r="G145" i="8" s="1"/>
  <c r="P238" i="7"/>
  <c r="P23" i="7"/>
  <c r="H199" i="7"/>
  <c r="E212" i="8" s="1"/>
  <c r="G212" i="8" s="1"/>
  <c r="H112" i="7"/>
  <c r="I112" i="7" s="1"/>
  <c r="D125" i="8" s="1"/>
  <c r="L141" i="7"/>
  <c r="AI16" i="6"/>
  <c r="H196" i="7"/>
  <c r="L196" i="7" s="1"/>
  <c r="E33" i="8"/>
  <c r="G33" i="8" s="1"/>
  <c r="AE74" i="6"/>
  <c r="AF74" i="6" s="1"/>
  <c r="AJ74" i="6"/>
  <c r="I82" i="7"/>
  <c r="D85" i="8" s="1"/>
  <c r="L82" i="7"/>
  <c r="E85" i="8"/>
  <c r="G85" i="8" s="1"/>
  <c r="L66" i="7"/>
  <c r="I66" i="7"/>
  <c r="D81" i="8" s="1"/>
  <c r="E81" i="8"/>
  <c r="G81" i="8" s="1"/>
  <c r="I172" i="7"/>
  <c r="D236" i="8" s="1"/>
  <c r="L172" i="7"/>
  <c r="E236" i="8"/>
  <c r="G236" i="8" s="1"/>
  <c r="L192" i="7"/>
  <c r="E180" i="8"/>
  <c r="G180" i="8" s="1"/>
  <c r="I192" i="7"/>
  <c r="D180" i="8" s="1"/>
  <c r="I79" i="7"/>
  <c r="D146" i="8" s="1"/>
  <c r="L79" i="7"/>
  <c r="E146" i="8"/>
  <c r="G146" i="8" s="1"/>
  <c r="L187" i="7"/>
  <c r="E239" i="8"/>
  <c r="G239" i="8" s="1"/>
  <c r="I187" i="7"/>
  <c r="D239" i="8" s="1"/>
  <c r="AJ100" i="6"/>
  <c r="AE100" i="6"/>
  <c r="AJ60" i="6"/>
  <c r="AE60" i="6"/>
  <c r="AF60" i="6" s="1"/>
  <c r="AE137" i="6"/>
  <c r="AF137" i="6" s="1"/>
  <c r="AJ137" i="6"/>
  <c r="E64" i="8"/>
  <c r="G64" i="8" s="1"/>
  <c r="I138" i="7"/>
  <c r="D64" i="8" s="1"/>
  <c r="I246" i="7"/>
  <c r="D246" i="8" s="1"/>
  <c r="E246" i="8"/>
  <c r="G246" i="8" s="1"/>
  <c r="L40" i="7"/>
  <c r="L202" i="7"/>
  <c r="E196" i="8"/>
  <c r="G196" i="8" s="1"/>
  <c r="I202" i="7"/>
  <c r="D196" i="8" s="1"/>
  <c r="L60" i="7"/>
  <c r="E59" i="8"/>
  <c r="G59" i="8" s="1"/>
  <c r="I60" i="7"/>
  <c r="D59" i="8" s="1"/>
  <c r="L162" i="7"/>
  <c r="E150" i="8"/>
  <c r="G150" i="8" s="1"/>
  <c r="I162" i="7"/>
  <c r="D150" i="8" s="1"/>
  <c r="I194" i="7"/>
  <c r="D179" i="8" s="1"/>
  <c r="H110" i="7"/>
  <c r="I110" i="7" s="1"/>
  <c r="D91" i="8" s="1"/>
  <c r="H52" i="7"/>
  <c r="L52" i="7" s="1"/>
  <c r="H237" i="7"/>
  <c r="L237" i="7" s="1"/>
  <c r="F174" i="8"/>
  <c r="H94" i="7"/>
  <c r="I147" i="7"/>
  <c r="D153" i="8" s="1"/>
  <c r="AH246" i="6"/>
  <c r="AI246" i="6" s="1"/>
  <c r="AG246" i="6"/>
  <c r="S246" i="7" s="1"/>
  <c r="AG162" i="6"/>
  <c r="S162" i="7" s="1"/>
  <c r="AF162" i="6"/>
  <c r="AH162" i="6"/>
  <c r="AI162" i="6" s="1"/>
  <c r="H54" i="7"/>
  <c r="W5" i="6"/>
  <c r="H239" i="7"/>
  <c r="Y61" i="6"/>
  <c r="W61" i="6"/>
  <c r="H238" i="7"/>
  <c r="H241" i="7"/>
  <c r="E173" i="8" s="1"/>
  <c r="G173" i="8" s="1"/>
  <c r="H47" i="7"/>
  <c r="I47" i="7" s="1"/>
  <c r="D46" i="8" s="1"/>
  <c r="I233" i="7"/>
  <c r="D204" i="8" s="1"/>
  <c r="I242" i="7"/>
  <c r="D159" i="8" s="1"/>
  <c r="L123" i="7"/>
  <c r="E74" i="8"/>
  <c r="G74" i="8" s="1"/>
  <c r="AJ231" i="6"/>
  <c r="AG190" i="6"/>
  <c r="S190" i="7" s="1"/>
  <c r="I219" i="7"/>
  <c r="D203" i="8" s="1"/>
  <c r="H61" i="7"/>
  <c r="H104" i="7"/>
  <c r="AF95" i="6"/>
  <c r="AG95" i="6"/>
  <c r="S95" i="7" s="1"/>
  <c r="AH95" i="6"/>
  <c r="AI95" i="6" s="1"/>
  <c r="AH47" i="6"/>
  <c r="AI47" i="6" s="1"/>
  <c r="AG47" i="6"/>
  <c r="S47" i="7" s="1"/>
  <c r="AF47" i="6"/>
  <c r="L114" i="7"/>
  <c r="L78" i="7"/>
  <c r="E27" i="8"/>
  <c r="G27" i="8" s="1"/>
  <c r="H20" i="7"/>
  <c r="E17" i="8" s="1"/>
  <c r="G17" i="8" s="1"/>
  <c r="H69" i="7"/>
  <c r="E20" i="8" s="1"/>
  <c r="G20" i="8" s="1"/>
  <c r="H190" i="7"/>
  <c r="I190" i="7" s="1"/>
  <c r="D242" i="8" s="1"/>
  <c r="H174" i="7"/>
  <c r="E163" i="8" s="1"/>
  <c r="G163" i="8" s="1"/>
  <c r="H45" i="7"/>
  <c r="L45" i="7" s="1"/>
  <c r="AF123" i="6"/>
  <c r="AG92" i="6"/>
  <c r="S92" i="7" s="1"/>
  <c r="AH92" i="6"/>
  <c r="AI92" i="6" s="1"/>
  <c r="H11" i="7"/>
  <c r="Q176" i="7"/>
  <c r="W30" i="6"/>
  <c r="E225" i="8"/>
  <c r="G225" i="8" s="1"/>
  <c r="Q158" i="7"/>
  <c r="L159" i="7"/>
  <c r="AJ177" i="6"/>
  <c r="AE23" i="6"/>
  <c r="AJ23" i="6"/>
  <c r="H232" i="7"/>
  <c r="AH182" i="6"/>
  <c r="AI182" i="6" s="1"/>
  <c r="AG182" i="6"/>
  <c r="S182" i="7" s="1"/>
  <c r="AF182" i="6"/>
  <c r="H131" i="7"/>
  <c r="H235" i="7"/>
  <c r="R224" i="7"/>
  <c r="Q224" i="7"/>
  <c r="W150" i="6"/>
  <c r="AE113" i="6"/>
  <c r="AG113" i="6" s="1"/>
  <c r="S113" i="7" s="1"/>
  <c r="Q69" i="7"/>
  <c r="R69" i="7"/>
  <c r="Q58" i="7"/>
  <c r="H25" i="7"/>
  <c r="I25" i="7" s="1"/>
  <c r="D124" i="8" s="1"/>
  <c r="H154" i="7"/>
  <c r="E219" i="8" s="1"/>
  <c r="G219" i="8" s="1"/>
  <c r="I182" i="7"/>
  <c r="D210" i="8" s="1"/>
  <c r="E94" i="8"/>
  <c r="G94" i="8" s="1"/>
  <c r="I16" i="7"/>
  <c r="D94" i="8" s="1"/>
  <c r="I18" i="7"/>
  <c r="D35" i="8" s="1"/>
  <c r="E35" i="8"/>
  <c r="G35" i="8" s="1"/>
  <c r="AJ188" i="6"/>
  <c r="AE188" i="6"/>
  <c r="E40" i="8"/>
  <c r="G40" i="8" s="1"/>
  <c r="I27" i="7"/>
  <c r="D40" i="8" s="1"/>
  <c r="L134" i="7"/>
  <c r="I134" i="7"/>
  <c r="D69" i="8" s="1"/>
  <c r="H73" i="7"/>
  <c r="I9" i="7"/>
  <c r="D24" i="8" s="1"/>
  <c r="E24" i="8"/>
  <c r="G24" i="8" s="1"/>
  <c r="AH57" i="6"/>
  <c r="AI57" i="6" s="1"/>
  <c r="AF57" i="6"/>
  <c r="AG57" i="6"/>
  <c r="S57" i="7" s="1"/>
  <c r="E122" i="8"/>
  <c r="G122" i="8" s="1"/>
  <c r="I122" i="7"/>
  <c r="D122" i="8" s="1"/>
  <c r="I188" i="7"/>
  <c r="D240" i="8" s="1"/>
  <c r="E240" i="8"/>
  <c r="G240" i="8" s="1"/>
  <c r="E60" i="8"/>
  <c r="G60" i="8" s="1"/>
  <c r="I117" i="7"/>
  <c r="D60" i="8" s="1"/>
  <c r="L117" i="7"/>
  <c r="AI213" i="6"/>
  <c r="I143" i="7"/>
  <c r="D22" i="8" s="1"/>
  <c r="E22" i="8"/>
  <c r="G22" i="8" s="1"/>
  <c r="I35" i="7"/>
  <c r="D133" i="8" s="1"/>
  <c r="E133" i="8"/>
  <c r="G133" i="8" s="1"/>
  <c r="E26" i="8"/>
  <c r="G26" i="8" s="1"/>
  <c r="I91" i="7"/>
  <c r="D26" i="8" s="1"/>
  <c r="E209" i="8"/>
  <c r="G209" i="8" s="1"/>
  <c r="I226" i="7"/>
  <c r="D209" i="8" s="1"/>
  <c r="E193" i="8"/>
  <c r="G193" i="8" s="1"/>
  <c r="I236" i="7"/>
  <c r="D193" i="8" s="1"/>
  <c r="H179" i="7"/>
  <c r="E191" i="8" s="1"/>
  <c r="G191" i="8" s="1"/>
  <c r="H101" i="7"/>
  <c r="I101" i="7" s="1"/>
  <c r="D75" i="8" s="1"/>
  <c r="I227" i="7"/>
  <c r="D207" i="8" s="1"/>
  <c r="E207" i="8"/>
  <c r="G207" i="8" s="1"/>
  <c r="AE154" i="6"/>
  <c r="AJ154" i="6"/>
  <c r="AH237" i="6"/>
  <c r="AI237" i="6" s="1"/>
  <c r="AJ189" i="6"/>
  <c r="AE143" i="6"/>
  <c r="AE121" i="6"/>
  <c r="AG121" i="6" s="1"/>
  <c r="S121" i="7" s="1"/>
  <c r="AJ83" i="6"/>
  <c r="AG218" i="6"/>
  <c r="S218" i="7" s="1"/>
  <c r="AG50" i="6"/>
  <c r="S50" i="7" s="1"/>
  <c r="AF50" i="6"/>
  <c r="AH50" i="6"/>
  <c r="AI50" i="6" s="1"/>
  <c r="AE55" i="6"/>
  <c r="AJ55" i="6"/>
  <c r="L51" i="7"/>
  <c r="F33" i="8"/>
  <c r="AH27" i="6"/>
  <c r="AI27" i="6" s="1"/>
  <c r="L236" i="7"/>
  <c r="AI98" i="6"/>
  <c r="AG98" i="6"/>
  <c r="S98" i="7" s="1"/>
  <c r="D17" i="11"/>
  <c r="AF218" i="6"/>
  <c r="AE54" i="6"/>
  <c r="AJ54" i="6"/>
  <c r="L55" i="7"/>
  <c r="L21" i="7"/>
  <c r="F51" i="8"/>
  <c r="AJ218" i="6"/>
  <c r="AJ40" i="6"/>
  <c r="AF98" i="6"/>
  <c r="AE174" i="6"/>
  <c r="AG174" i="6" s="1"/>
  <c r="S174" i="7" s="1"/>
  <c r="AH224" i="6"/>
  <c r="AI224" i="6" s="1"/>
  <c r="AF34" i="6"/>
  <c r="AH34" i="6"/>
  <c r="AI34" i="6" s="1"/>
  <c r="AG34" i="6"/>
  <c r="S34" i="7" s="1"/>
  <c r="L25" i="7"/>
  <c r="F124" i="8"/>
  <c r="AG224" i="6"/>
  <c r="S224" i="7" s="1"/>
  <c r="AH25" i="6"/>
  <c r="AI25" i="6" s="1"/>
  <c r="AF25" i="6"/>
  <c r="AG25" i="6"/>
  <c r="S25" i="7" s="1"/>
  <c r="L75" i="7"/>
  <c r="F5" i="8"/>
  <c r="AF195" i="6"/>
  <c r="L34" i="7"/>
  <c r="F41" i="8"/>
  <c r="AE133" i="6"/>
  <c r="AJ133" i="6"/>
  <c r="AE183" i="6"/>
  <c r="AJ183" i="6"/>
  <c r="AJ98" i="6"/>
  <c r="AH210" i="6"/>
  <c r="AI210" i="6" s="1"/>
  <c r="AG13" i="6"/>
  <c r="S13" i="7" s="1"/>
  <c r="AH195" i="6"/>
  <c r="AI195" i="6" s="1"/>
  <c r="AJ195" i="6"/>
  <c r="AE157" i="6"/>
  <c r="AH157" i="6" s="1"/>
  <c r="AI157" i="6" s="1"/>
  <c r="AH13" i="6"/>
  <c r="AI13" i="6" s="1"/>
  <c r="AJ102" i="6"/>
  <c r="AF237" i="6"/>
  <c r="AH51" i="6"/>
  <c r="AI51" i="6" s="1"/>
  <c r="AF51" i="6"/>
  <c r="AG102" i="6"/>
  <c r="S102" i="7" s="1"/>
  <c r="AF102" i="6"/>
  <c r="AH102" i="6"/>
  <c r="AI102" i="6" s="1"/>
  <c r="L125" i="7"/>
  <c r="AH169" i="6"/>
  <c r="AI169" i="6" s="1"/>
  <c r="AG169" i="6"/>
  <c r="S169" i="7" s="1"/>
  <c r="L147" i="7"/>
  <c r="F153" i="8"/>
  <c r="L37" i="7"/>
  <c r="F106" i="8"/>
  <c r="L243" i="7"/>
  <c r="F162" i="8"/>
  <c r="AE239" i="6"/>
  <c r="AJ239" i="6"/>
  <c r="AF17" i="6"/>
  <c r="AE32" i="6"/>
  <c r="AF32" i="6" s="1"/>
  <c r="E167" i="8"/>
  <c r="G167" i="8" s="1"/>
  <c r="AF228" i="6"/>
  <c r="AH228" i="6"/>
  <c r="AI228" i="6" s="1"/>
  <c r="AG228" i="6"/>
  <c r="S228" i="7" s="1"/>
  <c r="AE192" i="6"/>
  <c r="AJ192" i="6"/>
  <c r="L213" i="7"/>
  <c r="F182" i="8"/>
  <c r="L94" i="7"/>
  <c r="F78" i="8"/>
  <c r="AE202" i="6"/>
  <c r="AJ202" i="6"/>
  <c r="F22" i="8"/>
  <c r="L143" i="7"/>
  <c r="L29" i="7"/>
  <c r="F144" i="8"/>
  <c r="AG191" i="6"/>
  <c r="S191" i="7" s="1"/>
  <c r="AE46" i="6"/>
  <c r="AH46" i="6" s="1"/>
  <c r="AI46" i="6" s="1"/>
  <c r="A17" i="11"/>
  <c r="AE119" i="6"/>
  <c r="AJ119" i="6"/>
  <c r="AE149" i="6"/>
  <c r="AJ149" i="6"/>
  <c r="L59" i="7"/>
  <c r="F50" i="8"/>
  <c r="AH191" i="6"/>
  <c r="AI191" i="6" s="1"/>
  <c r="AI231" i="6"/>
  <c r="AE178" i="6"/>
  <c r="AJ178" i="6"/>
  <c r="AE20" i="6"/>
  <c r="AJ20" i="6"/>
  <c r="AG88" i="6"/>
  <c r="S88" i="7" s="1"/>
  <c r="AH88" i="6"/>
  <c r="AI88" i="6" s="1"/>
  <c r="AF88" i="6"/>
  <c r="AH69" i="6"/>
  <c r="AI69" i="6" s="1"/>
  <c r="L157" i="7"/>
  <c r="AG59" i="6"/>
  <c r="S59" i="7" s="1"/>
  <c r="AF59" i="6"/>
  <c r="AH59" i="6"/>
  <c r="AI59" i="6" s="1"/>
  <c r="AE171" i="6"/>
  <c r="AJ171" i="6"/>
  <c r="L4" i="7"/>
  <c r="AG210" i="6"/>
  <c r="S210" i="7" s="1"/>
  <c r="AE175" i="6"/>
  <c r="AJ175" i="6"/>
  <c r="AE8" i="6"/>
  <c r="AJ8" i="6"/>
  <c r="AJ236" i="6"/>
  <c r="AE236" i="6"/>
  <c r="AH64" i="6"/>
  <c r="AI64" i="6" s="1"/>
  <c r="AG64" i="6"/>
  <c r="S64" i="7" s="1"/>
  <c r="AF64" i="6"/>
  <c r="L198" i="7"/>
  <c r="F211" i="8"/>
  <c r="L228" i="7"/>
  <c r="F167" i="8"/>
  <c r="AG198" i="6"/>
  <c r="S198" i="7" s="1"/>
  <c r="AH198" i="6"/>
  <c r="AI198" i="6" s="1"/>
  <c r="AF198" i="6"/>
  <c r="L43" i="7"/>
  <c r="F55" i="8"/>
  <c r="AE164" i="6"/>
  <c r="AE19" i="6"/>
  <c r="AJ19" i="6"/>
  <c r="AF43" i="6"/>
  <c r="AG43" i="6"/>
  <c r="S43" i="7" s="1"/>
  <c r="AH43" i="6"/>
  <c r="AI43" i="6" s="1"/>
  <c r="I48" i="7"/>
  <c r="D143" i="8" s="1"/>
  <c r="E143" i="8"/>
  <c r="G143" i="8" s="1"/>
  <c r="L48" i="7"/>
  <c r="I184" i="7"/>
  <c r="D214" i="8" s="1"/>
  <c r="L184" i="7"/>
  <c r="E214" i="8"/>
  <c r="G214" i="8" s="1"/>
  <c r="L183" i="7"/>
  <c r="I183" i="7"/>
  <c r="D32" i="8" s="1"/>
  <c r="E32" i="8"/>
  <c r="G32" i="8" s="1"/>
  <c r="L7" i="7"/>
  <c r="E119" i="8"/>
  <c r="G119" i="8" s="1"/>
  <c r="I7" i="7"/>
  <c r="D119" i="8" s="1"/>
  <c r="E98" i="8"/>
  <c r="G98" i="8" s="1"/>
  <c r="I10" i="7"/>
  <c r="D98" i="8" s="1"/>
  <c r="L10" i="7"/>
  <c r="L160" i="7"/>
  <c r="E223" i="8"/>
  <c r="G223" i="8" s="1"/>
  <c r="I160" i="7"/>
  <c r="D223" i="8" s="1"/>
  <c r="I165" i="7"/>
  <c r="D230" i="8" s="1"/>
  <c r="L165" i="7"/>
  <c r="E230" i="8"/>
  <c r="G230" i="8" s="1"/>
  <c r="L17" i="7"/>
  <c r="I17" i="7"/>
  <c r="D42" i="8" s="1"/>
  <c r="E42" i="8"/>
  <c r="G42" i="8" s="1"/>
  <c r="I148" i="7"/>
  <c r="D154" i="8" s="1"/>
  <c r="E111" i="8"/>
  <c r="G111" i="8" s="1"/>
  <c r="L8" i="7"/>
  <c r="I8" i="7"/>
  <c r="D111" i="8" s="1"/>
  <c r="L30" i="7"/>
  <c r="L64" i="7"/>
  <c r="E114" i="8"/>
  <c r="G114" i="8" s="1"/>
  <c r="I64" i="7"/>
  <c r="D114" i="8" s="1"/>
  <c r="I237" i="7"/>
  <c r="D215" i="8" s="1"/>
  <c r="E30" i="8"/>
  <c r="G30" i="8" s="1"/>
  <c r="I31" i="7"/>
  <c r="D30" i="8" s="1"/>
  <c r="E232" i="8"/>
  <c r="G232" i="8" s="1"/>
  <c r="L167" i="7"/>
  <c r="I167" i="7"/>
  <c r="D232" i="8" s="1"/>
  <c r="L212" i="7"/>
  <c r="I212" i="7"/>
  <c r="D161" i="8" s="1"/>
  <c r="E161" i="8"/>
  <c r="G161" i="8" s="1"/>
  <c r="L126" i="7"/>
  <c r="I126" i="7"/>
  <c r="D67" i="8" s="1"/>
  <c r="E67" i="8"/>
  <c r="G67" i="8" s="1"/>
  <c r="E105" i="8"/>
  <c r="G105" i="8" s="1"/>
  <c r="L121" i="7"/>
  <c r="I121" i="7"/>
  <c r="D105" i="8" s="1"/>
  <c r="AF244" i="6"/>
  <c r="L5" i="7"/>
  <c r="E84" i="8"/>
  <c r="G84" i="8" s="1"/>
  <c r="L132" i="7"/>
  <c r="E53" i="8"/>
  <c r="G53" i="8" s="1"/>
  <c r="L234" i="7"/>
  <c r="E195" i="8"/>
  <c r="G195" i="8" s="1"/>
  <c r="I234" i="7"/>
  <c r="D195" i="8" s="1"/>
  <c r="AG201" i="6"/>
  <c r="S201" i="7" s="1"/>
  <c r="AH244" i="6"/>
  <c r="AI244" i="6" s="1"/>
  <c r="E49" i="8"/>
  <c r="G49" i="8" s="1"/>
  <c r="I15" i="7"/>
  <c r="D43" i="8" s="1"/>
  <c r="L178" i="7"/>
  <c r="E224" i="8"/>
  <c r="G224" i="8" s="1"/>
  <c r="I153" i="7"/>
  <c r="D224" i="8" s="1"/>
  <c r="L153" i="7"/>
  <c r="L53" i="7"/>
  <c r="E63" i="8"/>
  <c r="G63" i="8" s="1"/>
  <c r="I53" i="7"/>
  <c r="D63" i="8" s="1"/>
  <c r="R78" i="7"/>
  <c r="Q78" i="7"/>
  <c r="H146" i="7"/>
  <c r="R160" i="7"/>
  <c r="Q160" i="7"/>
  <c r="AE142" i="6"/>
  <c r="AJ142" i="6"/>
  <c r="H205" i="7"/>
  <c r="R158" i="7"/>
  <c r="E9" i="8"/>
  <c r="G9" i="8" s="1"/>
  <c r="L140" i="7"/>
  <c r="I140" i="7"/>
  <c r="D9" i="8" s="1"/>
  <c r="H245" i="7"/>
  <c r="I166" i="7"/>
  <c r="D231" i="8" s="1"/>
  <c r="H68" i="7"/>
  <c r="AE135" i="6"/>
  <c r="L218" i="7"/>
  <c r="E176" i="8"/>
  <c r="G176" i="8" s="1"/>
  <c r="I218" i="7"/>
  <c r="D176" i="8" s="1"/>
  <c r="R202" i="7"/>
  <c r="Q202" i="7"/>
  <c r="AJ4" i="6"/>
  <c r="AE4" i="6"/>
  <c r="AE226" i="6"/>
  <c r="AJ226" i="6"/>
  <c r="W109" i="6"/>
  <c r="E216" i="8"/>
  <c r="G216" i="8" s="1"/>
  <c r="L185" i="7"/>
  <c r="I185" i="7"/>
  <c r="D216" i="8" s="1"/>
  <c r="AG40" i="6"/>
  <c r="S40" i="7" s="1"/>
  <c r="AF40" i="6"/>
  <c r="AH40" i="6"/>
  <c r="AI40" i="6" s="1"/>
  <c r="I84" i="7"/>
  <c r="D37" i="8" s="1"/>
  <c r="E37" i="8"/>
  <c r="G37" i="8" s="1"/>
  <c r="E174" i="8"/>
  <c r="G174" i="8" s="1"/>
  <c r="I221" i="7"/>
  <c r="D174" i="8" s="1"/>
  <c r="AF108" i="6"/>
  <c r="AG108" i="6"/>
  <c r="S108" i="7" s="1"/>
  <c r="AH108" i="6"/>
  <c r="AI108" i="6" s="1"/>
  <c r="AH215" i="6"/>
  <c r="AI215" i="6" s="1"/>
  <c r="L175" i="7"/>
  <c r="E184" i="8"/>
  <c r="G184" i="8" s="1"/>
  <c r="L13" i="7"/>
  <c r="L229" i="7"/>
  <c r="I164" i="7"/>
  <c r="D229" i="8" s="1"/>
  <c r="L81" i="7"/>
  <c r="I81" i="7"/>
  <c r="D77" i="8" s="1"/>
  <c r="E77" i="8"/>
  <c r="G77" i="8" s="1"/>
  <c r="H210" i="7"/>
  <c r="L70" i="7"/>
  <c r="I70" i="7"/>
  <c r="D54" i="8" s="1"/>
  <c r="E54" i="8"/>
  <c r="G54" i="8" s="1"/>
  <c r="AJ136" i="6"/>
  <c r="AE136" i="6"/>
  <c r="AE130" i="6"/>
  <c r="AJ130" i="6"/>
  <c r="L109" i="7"/>
  <c r="I109" i="7"/>
  <c r="D130" i="8" s="1"/>
  <c r="R83" i="7"/>
  <c r="Q83" i="7"/>
  <c r="Q210" i="7"/>
  <c r="R210" i="7"/>
  <c r="AE81" i="6"/>
  <c r="AJ81" i="6"/>
  <c r="AJ78" i="6"/>
  <c r="AE78" i="6"/>
  <c r="I174" i="7"/>
  <c r="D163" i="8" s="1"/>
  <c r="AE181" i="6"/>
  <c r="AJ181" i="6"/>
  <c r="AE159" i="6"/>
  <c r="AJ159" i="6"/>
  <c r="AJ82" i="6"/>
  <c r="AE82" i="6"/>
  <c r="AF70" i="6"/>
  <c r="AH70" i="6"/>
  <c r="AI70" i="6" s="1"/>
  <c r="AG70" i="6"/>
  <c r="S70" i="7" s="1"/>
  <c r="AF215" i="6"/>
  <c r="AF225" i="6"/>
  <c r="E43" i="8"/>
  <c r="G43" i="8" s="1"/>
  <c r="H85" i="7"/>
  <c r="I85" i="7" s="1"/>
  <c r="D132" i="8" s="1"/>
  <c r="AJ71" i="6"/>
  <c r="I56" i="7"/>
  <c r="D4" i="8" s="1"/>
  <c r="E168" i="8"/>
  <c r="G168" i="8" s="1"/>
  <c r="E229" i="8"/>
  <c r="G229" i="8" s="1"/>
  <c r="L106" i="7"/>
  <c r="I106" i="7"/>
  <c r="D7" i="8" s="1"/>
  <c r="E7" i="8"/>
  <c r="G7" i="8" s="1"/>
  <c r="AJ33" i="6"/>
  <c r="AE33" i="6"/>
  <c r="E6" i="8"/>
  <c r="G6" i="8" s="1"/>
  <c r="L83" i="7"/>
  <c r="I83" i="7"/>
  <c r="D6" i="8" s="1"/>
  <c r="AE148" i="6"/>
  <c r="AJ148" i="6"/>
  <c r="Q23" i="7"/>
  <c r="R23" i="7"/>
  <c r="AE99" i="6"/>
  <c r="AJ99" i="6"/>
  <c r="E4" i="8"/>
  <c r="G4" i="8" s="1"/>
  <c r="I132" i="7"/>
  <c r="D53" i="8" s="1"/>
  <c r="AE7" i="6"/>
  <c r="AJ7" i="6"/>
  <c r="AE117" i="6"/>
  <c r="AE219" i="6"/>
  <c r="AJ219" i="6"/>
  <c r="AE184" i="6"/>
  <c r="AJ184" i="6"/>
  <c r="H216" i="7"/>
  <c r="AE114" i="6"/>
  <c r="AJ114" i="6"/>
  <c r="AH243" i="6"/>
  <c r="AI243" i="6" s="1"/>
  <c r="AG243" i="6"/>
  <c r="S243" i="7" s="1"/>
  <c r="AF243" i="6"/>
  <c r="R115" i="7"/>
  <c r="Q115" i="7"/>
  <c r="L28" i="7"/>
  <c r="I28" i="7"/>
  <c r="D120" i="8" s="1"/>
  <c r="E120" i="8"/>
  <c r="G120" i="8" s="1"/>
  <c r="L168" i="7"/>
  <c r="E233" i="8"/>
  <c r="G233" i="8" s="1"/>
  <c r="I168" i="7"/>
  <c r="D233" i="8" s="1"/>
  <c r="E147" i="8"/>
  <c r="G147" i="8" s="1"/>
  <c r="I139" i="7"/>
  <c r="D147" i="8" s="1"/>
  <c r="AE56" i="6"/>
  <c r="AJ56" i="6"/>
  <c r="AE163" i="6"/>
  <c r="AJ163" i="6"/>
  <c r="AH77" i="6"/>
  <c r="AI77" i="6" s="1"/>
  <c r="AG77" i="6"/>
  <c r="S77" i="7" s="1"/>
  <c r="AF77" i="6"/>
  <c r="H133" i="7"/>
  <c r="AE103" i="6"/>
  <c r="AJ103" i="6"/>
  <c r="AH207" i="6"/>
  <c r="AI207" i="6" s="1"/>
  <c r="AG207" i="6"/>
  <c r="S207" i="7" s="1"/>
  <c r="AF207" i="6"/>
  <c r="AH151" i="6"/>
  <c r="AI151" i="6" s="1"/>
  <c r="AF151" i="6"/>
  <c r="AG151" i="6"/>
  <c r="S151" i="7" s="1"/>
  <c r="I5" i="7"/>
  <c r="D84" i="8" s="1"/>
  <c r="L116" i="7"/>
  <c r="E56" i="8"/>
  <c r="G56" i="8" s="1"/>
  <c r="I116" i="7"/>
  <c r="D56" i="8" s="1"/>
  <c r="L208" i="7"/>
  <c r="I208" i="7"/>
  <c r="D208" i="8" s="1"/>
  <c r="E208" i="8"/>
  <c r="G208" i="8" s="1"/>
  <c r="E104" i="8"/>
  <c r="G104" i="8" s="1"/>
  <c r="I46" i="7"/>
  <c r="D104" i="8" s="1"/>
  <c r="L46" i="7"/>
  <c r="L190" i="7"/>
  <c r="F242" i="8"/>
  <c r="AE125" i="6"/>
  <c r="AJ125" i="6"/>
  <c r="AE208" i="6"/>
  <c r="AJ208" i="6"/>
  <c r="E113" i="8"/>
  <c r="G113" i="8" s="1"/>
  <c r="AG86" i="6"/>
  <c r="S86" i="7" s="1"/>
  <c r="AF86" i="6"/>
  <c r="AH86" i="6"/>
  <c r="AI86" i="6" s="1"/>
  <c r="R85" i="7"/>
  <c r="Q85" i="7"/>
  <c r="L87" i="7"/>
  <c r="F128" i="8"/>
  <c r="L26" i="7"/>
  <c r="E126" i="8"/>
  <c r="G126" i="8" s="1"/>
  <c r="I26" i="7"/>
  <c r="D126" i="8" s="1"/>
  <c r="AE166" i="6"/>
  <c r="AJ166" i="6"/>
  <c r="E144" i="8"/>
  <c r="G144" i="8" s="1"/>
  <c r="I29" i="7"/>
  <c r="D144" i="8" s="1"/>
  <c r="AJ128" i="6"/>
  <c r="AE128" i="6"/>
  <c r="AG96" i="6"/>
  <c r="S96" i="7" s="1"/>
  <c r="AH96" i="6"/>
  <c r="AI96" i="6" s="1"/>
  <c r="AF96" i="6"/>
  <c r="I96" i="7"/>
  <c r="D139" i="8" s="1"/>
  <c r="L96" i="7"/>
  <c r="E139" i="8"/>
  <c r="G139" i="8" s="1"/>
  <c r="I169" i="7"/>
  <c r="D218" i="8" s="1"/>
  <c r="L169" i="7"/>
  <c r="E218" i="8"/>
  <c r="G218" i="8" s="1"/>
  <c r="AE235" i="6"/>
  <c r="AJ235" i="6"/>
  <c r="AH153" i="6"/>
  <c r="AI153" i="6" s="1"/>
  <c r="AF153" i="6"/>
  <c r="AG153" i="6"/>
  <c r="S153" i="7" s="1"/>
  <c r="AH187" i="6"/>
  <c r="AI187" i="6" s="1"/>
  <c r="AH238" i="6"/>
  <c r="AI238" i="6" s="1"/>
  <c r="AF238" i="6"/>
  <c r="AG238" i="6"/>
  <c r="S238" i="7" s="1"/>
  <c r="AE52" i="6"/>
  <c r="AJ52" i="6"/>
  <c r="L244" i="7"/>
  <c r="I244" i="7"/>
  <c r="D244" i="8" s="1"/>
  <c r="E244" i="8"/>
  <c r="G244" i="8" s="1"/>
  <c r="AE97" i="6"/>
  <c r="AJ97" i="6"/>
  <c r="AG176" i="6"/>
  <c r="S176" i="7" s="1"/>
  <c r="I19" i="7"/>
  <c r="E90" i="8"/>
  <c r="G90" i="8" s="1"/>
  <c r="L19" i="7"/>
  <c r="AJ126" i="6"/>
  <c r="AE62" i="6"/>
  <c r="AJ62" i="6"/>
  <c r="AG83" i="6"/>
  <c r="S83" i="7" s="1"/>
  <c r="AH83" i="6"/>
  <c r="AI83" i="6" s="1"/>
  <c r="AF83" i="6"/>
  <c r="AH147" i="6"/>
  <c r="AI147" i="6" s="1"/>
  <c r="AG147" i="6"/>
  <c r="S147" i="7" s="1"/>
  <c r="AF147" i="6"/>
  <c r="AI41" i="6"/>
  <c r="AH233" i="6"/>
  <c r="AF233" i="6"/>
  <c r="AG233" i="6"/>
  <c r="S233" i="7" s="1"/>
  <c r="AE73" i="6"/>
  <c r="AJ73" i="6"/>
  <c r="AJ217" i="6"/>
  <c r="AE217" i="6"/>
  <c r="L33" i="7"/>
  <c r="I33" i="7"/>
  <c r="D102" i="8" s="1"/>
  <c r="E102" i="8"/>
  <c r="G102" i="8" s="1"/>
  <c r="AE106" i="6"/>
  <c r="AJ106" i="6"/>
  <c r="AF161" i="6"/>
  <c r="AH161" i="6"/>
  <c r="AI161" i="6" s="1"/>
  <c r="AG161" i="6"/>
  <c r="S161" i="7" s="1"/>
  <c r="AG138" i="6"/>
  <c r="S138" i="7" s="1"/>
  <c r="AH138" i="6"/>
  <c r="AI138" i="6" s="1"/>
  <c r="AF138" i="6"/>
  <c r="AG14" i="6"/>
  <c r="S14" i="7" s="1"/>
  <c r="AH14" i="6"/>
  <c r="AI14" i="6" s="1"/>
  <c r="AF14" i="6"/>
  <c r="AE9" i="6"/>
  <c r="AJ9" i="6"/>
  <c r="AJ230" i="6"/>
  <c r="E234" i="8"/>
  <c r="G234" i="8" s="1"/>
  <c r="L170" i="7"/>
  <c r="I170" i="7"/>
  <c r="D234" i="8" s="1"/>
  <c r="E171" i="8"/>
  <c r="G171" i="8" s="1"/>
  <c r="L207" i="7"/>
  <c r="I207" i="7"/>
  <c r="D171" i="8" s="1"/>
  <c r="AJ179" i="6"/>
  <c r="AE179" i="6"/>
  <c r="AG12" i="6"/>
  <c r="S12" i="7" s="1"/>
  <c r="AF12" i="6"/>
  <c r="AH12" i="6"/>
  <c r="AI12" i="6" s="1"/>
  <c r="AG245" i="6"/>
  <c r="S245" i="7" s="1"/>
  <c r="AF245" i="6"/>
  <c r="AH245" i="6"/>
  <c r="AI245" i="6" s="1"/>
  <c r="AF200" i="6"/>
  <c r="AH200" i="6"/>
  <c r="AI200" i="6" s="1"/>
  <c r="AG200" i="6"/>
  <c r="S200" i="7" s="1"/>
  <c r="I44" i="7"/>
  <c r="D45" i="8" s="1"/>
  <c r="E45" i="8"/>
  <c r="G45" i="8" s="1"/>
  <c r="E169" i="8"/>
  <c r="G169" i="8" s="1"/>
  <c r="L191" i="7"/>
  <c r="I191" i="7"/>
  <c r="D169" i="8" s="1"/>
  <c r="AH71" i="6"/>
  <c r="AI71" i="6" s="1"/>
  <c r="AF71" i="6"/>
  <c r="AG71" i="6"/>
  <c r="S71" i="7" s="1"/>
  <c r="L32" i="7"/>
  <c r="E135" i="8"/>
  <c r="G135" i="8" s="1"/>
  <c r="I32" i="7"/>
  <c r="D135" i="8" s="1"/>
  <c r="AF129" i="6"/>
  <c r="AH129" i="6"/>
  <c r="AI129" i="6" s="1"/>
  <c r="AG129" i="6"/>
  <c r="S129" i="7" s="1"/>
  <c r="I201" i="7"/>
  <c r="D165" i="8" s="1"/>
  <c r="E165" i="8"/>
  <c r="G165" i="8" s="1"/>
  <c r="L201" i="7"/>
  <c r="L99" i="7"/>
  <c r="I99" i="7"/>
  <c r="D15" i="8" s="1"/>
  <c r="E15" i="8"/>
  <c r="G15" i="8" s="1"/>
  <c r="AE72" i="6"/>
  <c r="AJ72" i="6"/>
  <c r="I240" i="7"/>
  <c r="D175" i="8" s="1"/>
  <c r="E175" i="8"/>
  <c r="G175" i="8" s="1"/>
  <c r="I50" i="7"/>
  <c r="D127" i="8" s="1"/>
  <c r="E127" i="8"/>
  <c r="G127" i="8" s="1"/>
  <c r="AG193" i="6"/>
  <c r="S193" i="7" s="1"/>
  <c r="AF193" i="6"/>
  <c r="AG140" i="6"/>
  <c r="S140" i="7" s="1"/>
  <c r="AH140" i="6"/>
  <c r="AI140" i="6" s="1"/>
  <c r="AF140" i="6"/>
  <c r="AF68" i="6"/>
  <c r="AH68" i="6"/>
  <c r="AI68" i="6" s="1"/>
  <c r="AG68" i="6"/>
  <c r="S68" i="7" s="1"/>
  <c r="L124" i="7"/>
  <c r="I124" i="7"/>
  <c r="D61" i="8" s="1"/>
  <c r="E61" i="8"/>
  <c r="G61" i="8" s="1"/>
  <c r="AE65" i="6"/>
  <c r="AJ65" i="6"/>
  <c r="I42" i="7"/>
  <c r="D31" i="8" s="1"/>
  <c r="E31" i="8"/>
  <c r="G31" i="8" s="1"/>
  <c r="E142" i="8"/>
  <c r="G142" i="8" s="1"/>
  <c r="I95" i="7"/>
  <c r="D142" i="8" s="1"/>
  <c r="L195" i="7"/>
  <c r="I195" i="7"/>
  <c r="D185" i="8" s="1"/>
  <c r="E185" i="8"/>
  <c r="G185" i="8" s="1"/>
  <c r="L129" i="7"/>
  <c r="I129" i="7"/>
  <c r="D28" i="8" s="1"/>
  <c r="E28" i="8"/>
  <c r="G28" i="8" s="1"/>
  <c r="E13" i="8"/>
  <c r="G13" i="8" s="1"/>
  <c r="I97" i="7"/>
  <c r="D13" i="8" s="1"/>
  <c r="L98" i="7"/>
  <c r="E14" i="8"/>
  <c r="G14" i="8" s="1"/>
  <c r="I98" i="7"/>
  <c r="D14" i="8" s="1"/>
  <c r="AE132" i="6"/>
  <c r="AJ132" i="6"/>
  <c r="I59" i="7"/>
  <c r="D50" i="8" s="1"/>
  <c r="E50" i="8"/>
  <c r="G50" i="8" s="1"/>
  <c r="I21" i="7"/>
  <c r="D51" i="8" s="1"/>
  <c r="E51" i="8"/>
  <c r="G51" i="8" s="1"/>
  <c r="AE170" i="6"/>
  <c r="AJ170" i="6"/>
  <c r="L158" i="7"/>
  <c r="E220" i="8"/>
  <c r="G220" i="8" s="1"/>
  <c r="I158" i="7"/>
  <c r="D220" i="8" s="1"/>
  <c r="AG145" i="6"/>
  <c r="S145" i="7" s="1"/>
  <c r="AF145" i="6"/>
  <c r="AH145" i="6"/>
  <c r="AI145" i="6" s="1"/>
  <c r="AF107" i="6"/>
  <c r="AG107" i="6"/>
  <c r="S107" i="7" s="1"/>
  <c r="AF206" i="6"/>
  <c r="AG206" i="6"/>
  <c r="S206" i="7" s="1"/>
  <c r="AH206" i="6"/>
  <c r="AI206" i="6" s="1"/>
  <c r="AJ115" i="6"/>
  <c r="AE115" i="6"/>
  <c r="AF45" i="6"/>
  <c r="AG45" i="6"/>
  <c r="S45" i="7" s="1"/>
  <c r="AH45" i="6"/>
  <c r="AI45" i="6" s="1"/>
  <c r="L230" i="7"/>
  <c r="I230" i="7"/>
  <c r="D202" i="8" s="1"/>
  <c r="E96" i="8"/>
  <c r="G96" i="8" s="1"/>
  <c r="I92" i="7"/>
  <c r="D96" i="8" s="1"/>
  <c r="L220" i="7"/>
  <c r="E197" i="8"/>
  <c r="G197" i="8" s="1"/>
  <c r="I220" i="7"/>
  <c r="D197" i="8" s="1"/>
  <c r="L111" i="7"/>
  <c r="E108" i="8"/>
  <c r="G108" i="8" s="1"/>
  <c r="AH242" i="6"/>
  <c r="AI242" i="6" s="1"/>
  <c r="AG242" i="6"/>
  <c r="S242" i="7" s="1"/>
  <c r="AF242" i="6"/>
  <c r="AE196" i="6"/>
  <c r="AF104" i="6"/>
  <c r="AG104" i="6"/>
  <c r="S104" i="7" s="1"/>
  <c r="AH104" i="6"/>
  <c r="AI104" i="6" s="1"/>
  <c r="AF105" i="6"/>
  <c r="AH105" i="6"/>
  <c r="AI105" i="6" s="1"/>
  <c r="AG105" i="6"/>
  <c r="S105" i="7" s="1"/>
  <c r="AG214" i="6"/>
  <c r="S214" i="7" s="1"/>
  <c r="AH214" i="6"/>
  <c r="AI214" i="6" s="1"/>
  <c r="AF214" i="6"/>
  <c r="AF180" i="6"/>
  <c r="AH180" i="6"/>
  <c r="AI180" i="6" s="1"/>
  <c r="AG180" i="6"/>
  <c r="S180" i="7" s="1"/>
  <c r="AF131" i="6"/>
  <c r="AG131" i="6"/>
  <c r="S131" i="7" s="1"/>
  <c r="AH131" i="6"/>
  <c r="AI131" i="6" s="1"/>
  <c r="AG10" i="6"/>
  <c r="S10" i="7" s="1"/>
  <c r="AF10" i="6"/>
  <c r="AH10" i="6"/>
  <c r="AI10" i="6" s="1"/>
  <c r="AG156" i="6"/>
  <c r="S156" i="7" s="1"/>
  <c r="AH156" i="6"/>
  <c r="AI156" i="6" s="1"/>
  <c r="AF156" i="6"/>
  <c r="AG120" i="6"/>
  <c r="S120" i="7" s="1"/>
  <c r="AH120" i="6"/>
  <c r="AI120" i="6" s="1"/>
  <c r="AF120" i="6"/>
  <c r="AF186" i="6"/>
  <c r="AH186" i="6"/>
  <c r="AI186" i="6" s="1"/>
  <c r="AG186" i="6"/>
  <c r="S186" i="7" s="1"/>
  <c r="AG79" i="6"/>
  <c r="S79" i="7" s="1"/>
  <c r="AF79" i="6"/>
  <c r="AH79" i="6"/>
  <c r="AI79" i="6" s="1"/>
  <c r="AE212" i="6"/>
  <c r="AJ212" i="6"/>
  <c r="AH211" i="6"/>
  <c r="AI211" i="6" s="1"/>
  <c r="AG211" i="6"/>
  <c r="S211" i="7" s="1"/>
  <c r="AF211" i="6"/>
  <c r="AJ196" i="6"/>
  <c r="AG209" i="6"/>
  <c r="S209" i="7" s="1"/>
  <c r="AH209" i="6"/>
  <c r="AI209" i="6" s="1"/>
  <c r="AF209" i="6"/>
  <c r="AF152" i="6"/>
  <c r="AG152" i="6"/>
  <c r="S152" i="7" s="1"/>
  <c r="AH139" i="6"/>
  <c r="AI139" i="6" s="1"/>
  <c r="AG139" i="6"/>
  <c r="S139" i="7" s="1"/>
  <c r="AF139" i="6"/>
  <c r="AH203" i="6"/>
  <c r="AI203" i="6" s="1"/>
  <c r="AF203" i="6"/>
  <c r="AG203" i="6"/>
  <c r="S203" i="7" s="1"/>
  <c r="AH155" i="6"/>
  <c r="AI155" i="6" s="1"/>
  <c r="AG155" i="6"/>
  <c r="S155" i="7" s="1"/>
  <c r="AG101" i="6"/>
  <c r="S101" i="7" s="1"/>
  <c r="AH101" i="6"/>
  <c r="AI101" i="6" s="1"/>
  <c r="AF101" i="6"/>
  <c r="AF173" i="6"/>
  <c r="AH173" i="6"/>
  <c r="AI173" i="6" s="1"/>
  <c r="AG173" i="6"/>
  <c r="S173" i="7" s="1"/>
  <c r="AF121" i="6"/>
  <c r="AF176" i="6" l="1"/>
  <c r="AF69" i="6"/>
  <c r="AG187" i="6"/>
  <c r="S187" i="7" s="1"/>
  <c r="E73" i="8"/>
  <c r="G73" i="8" s="1"/>
  <c r="AF201" i="6"/>
  <c r="E117" i="8"/>
  <c r="G117" i="8" s="1"/>
  <c r="AH6" i="6"/>
  <c r="AI6" i="6" s="1"/>
  <c r="AF6" i="6"/>
  <c r="AG6" i="6"/>
  <c r="S6" i="7" s="1"/>
  <c r="E39" i="8"/>
  <c r="G39" i="8" s="1"/>
  <c r="I108" i="7"/>
  <c r="D39" i="8" s="1"/>
  <c r="L108" i="7"/>
  <c r="I63" i="7"/>
  <c r="D95" i="8" s="1"/>
  <c r="AJ234" i="6"/>
  <c r="I156" i="7"/>
  <c r="D217" i="8" s="1"/>
  <c r="E91" i="8"/>
  <c r="G91" i="8" s="1"/>
  <c r="AE118" i="6"/>
  <c r="AG118" i="6" s="1"/>
  <c r="S118" i="7" s="1"/>
  <c r="AE141" i="6"/>
  <c r="AH141" i="6" s="1"/>
  <c r="AI141" i="6" s="1"/>
  <c r="L69" i="7"/>
  <c r="L112" i="7"/>
  <c r="E125" i="8"/>
  <c r="G125" i="8" s="1"/>
  <c r="AE197" i="6"/>
  <c r="I30" i="7"/>
  <c r="D25" i="8" s="1"/>
  <c r="I173" i="7"/>
  <c r="D237" i="8" s="1"/>
  <c r="AF11" i="6"/>
  <c r="L173" i="7"/>
  <c r="E75" i="8"/>
  <c r="G75" i="8" s="1"/>
  <c r="AH121" i="6"/>
  <c r="AI121" i="6" s="1"/>
  <c r="I199" i="7"/>
  <c r="D212" i="8" s="1"/>
  <c r="AG137" i="6"/>
  <c r="S137" i="7" s="1"/>
  <c r="E11" i="8"/>
  <c r="G11" i="8" s="1"/>
  <c r="E154" i="8"/>
  <c r="G154" i="8" s="1"/>
  <c r="AH137" i="6"/>
  <c r="AI137" i="6" s="1"/>
  <c r="AH11" i="6"/>
  <c r="AI11" i="6" s="1"/>
  <c r="L62" i="7"/>
  <c r="AF234" i="6"/>
  <c r="L135" i="7"/>
  <c r="L67" i="7"/>
  <c r="I45" i="7"/>
  <c r="D113" i="8" s="1"/>
  <c r="AG172" i="6"/>
  <c r="S172" i="7" s="1"/>
  <c r="E46" i="8"/>
  <c r="G46" i="8" s="1"/>
  <c r="AG60" i="6"/>
  <c r="S60" i="7" s="1"/>
  <c r="AH60" i="6"/>
  <c r="AI60" i="6" s="1"/>
  <c r="E66" i="8"/>
  <c r="G66" i="8" s="1"/>
  <c r="AE158" i="6"/>
  <c r="L154" i="7"/>
  <c r="AE144" i="6"/>
  <c r="E103" i="8"/>
  <c r="G103" i="8" s="1"/>
  <c r="I52" i="7"/>
  <c r="D47" i="8" s="1"/>
  <c r="AI233" i="6"/>
  <c r="E47" i="8"/>
  <c r="G47" i="8" s="1"/>
  <c r="I224" i="7"/>
  <c r="D198" i="8" s="1"/>
  <c r="L206" i="7"/>
  <c r="I215" i="7"/>
  <c r="D172" i="8" s="1"/>
  <c r="E200" i="8"/>
  <c r="G200" i="8" s="1"/>
  <c r="AG74" i="6"/>
  <c r="S74" i="7" s="1"/>
  <c r="AH74" i="6"/>
  <c r="AI74" i="6" s="1"/>
  <c r="L101" i="7"/>
  <c r="I154" i="7"/>
  <c r="D219" i="8" s="1"/>
  <c r="I223" i="7"/>
  <c r="D213" i="8" s="1"/>
  <c r="I150" i="7"/>
  <c r="D226" i="8" s="1"/>
  <c r="L150" i="7"/>
  <c r="E213" i="8"/>
  <c r="G213" i="8" s="1"/>
  <c r="L6" i="7"/>
  <c r="B39" i="11"/>
  <c r="E99" i="8"/>
  <c r="G99" i="8" s="1"/>
  <c r="E70" i="8"/>
  <c r="G70" i="8" s="1"/>
  <c r="E215" i="8"/>
  <c r="G215" i="8" s="1"/>
  <c r="AF172" i="6"/>
  <c r="E62" i="8"/>
  <c r="G62" i="8" s="1"/>
  <c r="E23" i="8"/>
  <c r="G23" i="8" s="1"/>
  <c r="AH234" i="6"/>
  <c r="AI234" i="6" s="1"/>
  <c r="AG158" i="6"/>
  <c r="S158" i="7" s="1"/>
  <c r="E93" i="8"/>
  <c r="G93" i="8" s="1"/>
  <c r="L71" i="7"/>
  <c r="E83" i="8"/>
  <c r="G83" i="8" s="1"/>
  <c r="E10" i="8"/>
  <c r="G10" i="8" s="1"/>
  <c r="I141" i="7"/>
  <c r="D10" i="8" s="1"/>
  <c r="A20" i="11"/>
  <c r="D9" i="11"/>
  <c r="E211" i="8"/>
  <c r="G211" i="8" s="1"/>
  <c r="L100" i="7"/>
  <c r="L222" i="7"/>
  <c r="E162" i="8"/>
  <c r="G162" i="8" s="1"/>
  <c r="I181" i="7"/>
  <c r="D184" i="8" s="1"/>
  <c r="E231" i="8"/>
  <c r="G231" i="8" s="1"/>
  <c r="I74" i="7"/>
  <c r="D12" i="8" s="1"/>
  <c r="I67" i="7"/>
  <c r="D145" i="8" s="1"/>
  <c r="E242" i="8"/>
  <c r="G242" i="8" s="1"/>
  <c r="L74" i="7"/>
  <c r="I130" i="7"/>
  <c r="D99" i="8" s="1"/>
  <c r="E155" i="8"/>
  <c r="G155" i="8" s="1"/>
  <c r="I176" i="7"/>
  <c r="D155" i="8" s="1"/>
  <c r="E106" i="8"/>
  <c r="G106" i="8" s="1"/>
  <c r="E177" i="8"/>
  <c r="G177" i="8" s="1"/>
  <c r="L174" i="7"/>
  <c r="I102" i="7"/>
  <c r="D118" i="8" s="1"/>
  <c r="AF46" i="6"/>
  <c r="E118" i="8"/>
  <c r="G118" i="8" s="1"/>
  <c r="I241" i="7"/>
  <c r="D173" i="8" s="1"/>
  <c r="E124" i="8"/>
  <c r="G124" i="8" s="1"/>
  <c r="L241" i="7"/>
  <c r="AH174" i="6"/>
  <c r="AI174" i="6" s="1"/>
  <c r="AF15" i="6"/>
  <c r="AH15" i="6"/>
  <c r="AI15" i="6" s="1"/>
  <c r="AG15" i="6"/>
  <c r="S15" i="7" s="1"/>
  <c r="E190" i="8"/>
  <c r="G190" i="8" s="1"/>
  <c r="L217" i="7"/>
  <c r="I217" i="7"/>
  <c r="D190" i="8" s="1"/>
  <c r="L179" i="7"/>
  <c r="E189" i="8"/>
  <c r="G189" i="8" s="1"/>
  <c r="I196" i="7"/>
  <c r="D189" i="8" s="1"/>
  <c r="I100" i="7"/>
  <c r="D79" i="8" s="1"/>
  <c r="E116" i="8"/>
  <c r="G116" i="8" s="1"/>
  <c r="I86" i="7"/>
  <c r="D116" i="8" s="1"/>
  <c r="E247" i="8"/>
  <c r="G247" i="8" s="1"/>
  <c r="I247" i="7"/>
  <c r="D247" i="8" s="1"/>
  <c r="L224" i="7"/>
  <c r="AG46" i="6"/>
  <c r="S46" i="7" s="1"/>
  <c r="B35" i="11"/>
  <c r="L20" i="7"/>
  <c r="AE127" i="6"/>
  <c r="AJ127" i="6"/>
  <c r="I20" i="7"/>
  <c r="D17" i="8" s="1"/>
  <c r="I6" i="7"/>
  <c r="D131" i="8" s="1"/>
  <c r="AG157" i="6"/>
  <c r="S157" i="7" s="1"/>
  <c r="AF157" i="6"/>
  <c r="A13" i="11"/>
  <c r="B62" i="11" s="1"/>
  <c r="I118" i="7"/>
  <c r="D8" i="8" s="1"/>
  <c r="E8" i="8"/>
  <c r="G8" i="8" s="1"/>
  <c r="B38" i="11"/>
  <c r="M5" i="11"/>
  <c r="E86" i="8"/>
  <c r="G86" i="8" s="1"/>
  <c r="I93" i="7"/>
  <c r="D86" i="8" s="1"/>
  <c r="G9" i="11" a="1"/>
  <c r="G9" i="11" s="1"/>
  <c r="L200" i="7"/>
  <c r="E164" i="8"/>
  <c r="G164" i="8" s="1"/>
  <c r="I200" i="7"/>
  <c r="D164" i="8" s="1"/>
  <c r="AE134" i="6"/>
  <c r="AJ134" i="6"/>
  <c r="B36" i="11"/>
  <c r="B37" i="11"/>
  <c r="L197" i="7"/>
  <c r="I197" i="7"/>
  <c r="D194" i="8" s="1"/>
  <c r="E194" i="8"/>
  <c r="G194" i="8" s="1"/>
  <c r="B40" i="11"/>
  <c r="B34" i="11"/>
  <c r="I69" i="7"/>
  <c r="D20" i="8" s="1"/>
  <c r="I171" i="7"/>
  <c r="D235" i="8" s="1"/>
  <c r="L171" i="7"/>
  <c r="E235" i="8"/>
  <c r="G235" i="8" s="1"/>
  <c r="J17" i="11"/>
  <c r="D13" i="11"/>
  <c r="I179" i="7"/>
  <c r="D191" i="8" s="1"/>
  <c r="E5" i="8"/>
  <c r="G5" i="8" s="1"/>
  <c r="I75" i="7"/>
  <c r="D5" i="8" s="1"/>
  <c r="I57" i="7"/>
  <c r="D141" i="8" s="1"/>
  <c r="E141" i="8"/>
  <c r="G141" i="8" s="1"/>
  <c r="L57" i="7"/>
  <c r="AJ30" i="6"/>
  <c r="AE30" i="6"/>
  <c r="L104" i="7"/>
  <c r="E137" i="8"/>
  <c r="G137" i="8" s="1"/>
  <c r="I104" i="7"/>
  <c r="D137" i="8" s="1"/>
  <c r="AH118" i="6"/>
  <c r="AI118" i="6" s="1"/>
  <c r="AF174" i="6"/>
  <c r="AG23" i="6"/>
  <c r="S23" i="7" s="1"/>
  <c r="AF23" i="6"/>
  <c r="AH23" i="6"/>
  <c r="AI23" i="6" s="1"/>
  <c r="E34" i="8"/>
  <c r="G34" i="8" s="1"/>
  <c r="L61" i="7"/>
  <c r="I61" i="7"/>
  <c r="D34" i="8" s="1"/>
  <c r="L239" i="7"/>
  <c r="E205" i="8"/>
  <c r="G205" i="8" s="1"/>
  <c r="I239" i="7"/>
  <c r="D205" i="8" s="1"/>
  <c r="E192" i="8"/>
  <c r="G192" i="8" s="1"/>
  <c r="I235" i="7"/>
  <c r="D192" i="8" s="1"/>
  <c r="L235" i="7"/>
  <c r="I11" i="7"/>
  <c r="D88" i="8" s="1"/>
  <c r="L11" i="7"/>
  <c r="E88" i="8"/>
  <c r="G88" i="8" s="1"/>
  <c r="AJ5" i="6"/>
  <c r="AE5" i="6"/>
  <c r="I131" i="7"/>
  <c r="D76" i="8" s="1"/>
  <c r="L131" i="7"/>
  <c r="E76" i="8"/>
  <c r="G76" i="8" s="1"/>
  <c r="I54" i="7"/>
  <c r="D19" i="8" s="1"/>
  <c r="E19" i="8"/>
  <c r="G19" i="8" s="1"/>
  <c r="L54" i="7"/>
  <c r="I94" i="7"/>
  <c r="D78" i="8" s="1"/>
  <c r="E78" i="8"/>
  <c r="G78" i="8" s="1"/>
  <c r="AH113" i="6"/>
  <c r="AI113" i="6" s="1"/>
  <c r="AF113" i="6"/>
  <c r="E187" i="8"/>
  <c r="G187" i="8" s="1"/>
  <c r="L238" i="7"/>
  <c r="I238" i="7"/>
  <c r="D187" i="8" s="1"/>
  <c r="AF100" i="6"/>
  <c r="AH100" i="6"/>
  <c r="AI100" i="6" s="1"/>
  <c r="AG100" i="6"/>
  <c r="S100" i="7" s="1"/>
  <c r="AE150" i="6"/>
  <c r="AJ150" i="6"/>
  <c r="I232" i="7"/>
  <c r="D206" i="8" s="1"/>
  <c r="E206" i="8"/>
  <c r="G206" i="8" s="1"/>
  <c r="L232" i="7"/>
  <c r="AE61" i="6"/>
  <c r="AJ61" i="6"/>
  <c r="AF154" i="6"/>
  <c r="AH154" i="6"/>
  <c r="AI154" i="6" s="1"/>
  <c r="AG154" i="6"/>
  <c r="S154" i="7" s="1"/>
  <c r="I73" i="7"/>
  <c r="D100" i="8" s="1"/>
  <c r="L73" i="7"/>
  <c r="E100" i="8"/>
  <c r="G100" i="8" s="1"/>
  <c r="AH188" i="6"/>
  <c r="AI188" i="6" s="1"/>
  <c r="AG188" i="6"/>
  <c r="S188" i="7" s="1"/>
  <c r="AF188" i="6"/>
  <c r="AH143" i="6"/>
  <c r="AI143" i="6" s="1"/>
  <c r="AF143" i="6"/>
  <c r="AG143" i="6"/>
  <c r="S143" i="7" s="1"/>
  <c r="AF183" i="6"/>
  <c r="AH183" i="6"/>
  <c r="AI183" i="6" s="1"/>
  <c r="AG183" i="6"/>
  <c r="S183" i="7" s="1"/>
  <c r="AG55" i="6"/>
  <c r="S55" i="7" s="1"/>
  <c r="AH55" i="6"/>
  <c r="AI55" i="6" s="1"/>
  <c r="AF55" i="6"/>
  <c r="AH133" i="6"/>
  <c r="AI133" i="6" s="1"/>
  <c r="AF133" i="6"/>
  <c r="AG133" i="6"/>
  <c r="S133" i="7" s="1"/>
  <c r="AG54" i="6"/>
  <c r="S54" i="7" s="1"/>
  <c r="AH54" i="6"/>
  <c r="AI54" i="6" s="1"/>
  <c r="AF54" i="6"/>
  <c r="AG8" i="6"/>
  <c r="S8" i="7" s="1"/>
  <c r="AF8" i="6"/>
  <c r="AH8" i="6"/>
  <c r="AI8" i="6" s="1"/>
  <c r="AG175" i="6"/>
  <c r="S175" i="7" s="1"/>
  <c r="AF175" i="6"/>
  <c r="AH175" i="6"/>
  <c r="AI175" i="6" s="1"/>
  <c r="AF20" i="6"/>
  <c r="AG20" i="6"/>
  <c r="S20" i="7" s="1"/>
  <c r="AH20" i="6"/>
  <c r="AI20" i="6" s="1"/>
  <c r="AH149" i="6"/>
  <c r="AI149" i="6" s="1"/>
  <c r="AG149" i="6"/>
  <c r="S149" i="7" s="1"/>
  <c r="AF149" i="6"/>
  <c r="AF239" i="6"/>
  <c r="AH239" i="6"/>
  <c r="AI239" i="6" s="1"/>
  <c r="AG239" i="6"/>
  <c r="S239" i="7" s="1"/>
  <c r="AG32" i="6"/>
  <c r="S32" i="7" s="1"/>
  <c r="AH178" i="6"/>
  <c r="AI178" i="6" s="1"/>
  <c r="AG178" i="6"/>
  <c r="S178" i="7" s="1"/>
  <c r="AF178" i="6"/>
  <c r="AH119" i="6"/>
  <c r="AI119" i="6" s="1"/>
  <c r="AG119" i="6"/>
  <c r="S119" i="7" s="1"/>
  <c r="AF119" i="6"/>
  <c r="AH32" i="6"/>
  <c r="AI32" i="6" s="1"/>
  <c r="AF236" i="6"/>
  <c r="AG236" i="6"/>
  <c r="S236" i="7" s="1"/>
  <c r="AH236" i="6"/>
  <c r="AI236" i="6" s="1"/>
  <c r="AH19" i="6"/>
  <c r="AI19" i="6" s="1"/>
  <c r="AF19" i="6"/>
  <c r="AG19" i="6"/>
  <c r="S19" i="7" s="1"/>
  <c r="AF171" i="6"/>
  <c r="AH171" i="6"/>
  <c r="AI171" i="6" s="1"/>
  <c r="AG171" i="6"/>
  <c r="S171" i="7" s="1"/>
  <c r="AH164" i="6"/>
  <c r="AI164" i="6" s="1"/>
  <c r="AG164" i="6"/>
  <c r="S164" i="7" s="1"/>
  <c r="AF164" i="6"/>
  <c r="AG202" i="6"/>
  <c r="S202" i="7" s="1"/>
  <c r="AF202" i="6"/>
  <c r="AH202" i="6"/>
  <c r="AI202" i="6" s="1"/>
  <c r="AF192" i="6"/>
  <c r="AG192" i="6"/>
  <c r="S192" i="7" s="1"/>
  <c r="AH192" i="6"/>
  <c r="AI192" i="6" s="1"/>
  <c r="AH125" i="6"/>
  <c r="AI125" i="6" s="1"/>
  <c r="AG125" i="6"/>
  <c r="S125" i="7" s="1"/>
  <c r="AF125" i="6"/>
  <c r="AH197" i="6"/>
  <c r="AI197" i="6" s="1"/>
  <c r="AF197" i="6"/>
  <c r="AG197" i="6"/>
  <c r="S197" i="7" s="1"/>
  <c r="AH103" i="6"/>
  <c r="AI103" i="6" s="1"/>
  <c r="AF103" i="6"/>
  <c r="AG103" i="6"/>
  <c r="S103" i="7" s="1"/>
  <c r="AG56" i="6"/>
  <c r="S56" i="7" s="1"/>
  <c r="AF56" i="6"/>
  <c r="AH56" i="6"/>
  <c r="AI56" i="6" s="1"/>
  <c r="AF184" i="6"/>
  <c r="AH184" i="6"/>
  <c r="AI184" i="6" s="1"/>
  <c r="AG184" i="6"/>
  <c r="S184" i="7" s="1"/>
  <c r="AH78" i="6"/>
  <c r="AI78" i="6" s="1"/>
  <c r="AF78" i="6"/>
  <c r="AG78" i="6"/>
  <c r="S78" i="7" s="1"/>
  <c r="AE109" i="6"/>
  <c r="AJ109" i="6"/>
  <c r="L245" i="7"/>
  <c r="E245" i="8"/>
  <c r="G245" i="8" s="1"/>
  <c r="I245" i="7"/>
  <c r="D245" i="8" s="1"/>
  <c r="AF142" i="6"/>
  <c r="AH142" i="6"/>
  <c r="AI142" i="6" s="1"/>
  <c r="AG142" i="6"/>
  <c r="S142" i="7" s="1"/>
  <c r="I133" i="7"/>
  <c r="D110" i="8" s="1"/>
  <c r="L133" i="7"/>
  <c r="E110" i="8"/>
  <c r="G110" i="8" s="1"/>
  <c r="AF99" i="6"/>
  <c r="AG99" i="6"/>
  <c r="S99" i="7" s="1"/>
  <c r="AH99" i="6"/>
  <c r="AI99" i="6" s="1"/>
  <c r="AH33" i="6"/>
  <c r="AI33" i="6" s="1"/>
  <c r="AF33" i="6"/>
  <c r="AG33" i="6"/>
  <c r="S33" i="7" s="1"/>
  <c r="L210" i="7"/>
  <c r="E243" i="8"/>
  <c r="G243" i="8" s="1"/>
  <c r="I210" i="7"/>
  <c r="D243" i="8" s="1"/>
  <c r="J5" i="11" a="1"/>
  <c r="J5" i="11" s="1"/>
  <c r="AH219" i="6"/>
  <c r="AI219" i="6" s="1"/>
  <c r="AF219" i="6"/>
  <c r="AG219" i="6"/>
  <c r="S219" i="7" s="1"/>
  <c r="AH159" i="6"/>
  <c r="AI159" i="6" s="1"/>
  <c r="AF159" i="6"/>
  <c r="AG159" i="6"/>
  <c r="S159" i="7" s="1"/>
  <c r="AH81" i="6"/>
  <c r="AI81" i="6" s="1"/>
  <c r="AF81" i="6"/>
  <c r="AG81" i="6"/>
  <c r="S81" i="7" s="1"/>
  <c r="AG226" i="6"/>
  <c r="S226" i="7" s="1"/>
  <c r="AF226" i="6"/>
  <c r="AH226" i="6"/>
  <c r="AI226" i="6" s="1"/>
  <c r="E132" i="8"/>
  <c r="G132" i="8" s="1"/>
  <c r="AH117" i="6"/>
  <c r="AI117" i="6" s="1"/>
  <c r="AF117" i="6"/>
  <c r="AG117" i="6"/>
  <c r="S117" i="7" s="1"/>
  <c r="AH82" i="6"/>
  <c r="AI82" i="6" s="1"/>
  <c r="AG82" i="6"/>
  <c r="S82" i="7" s="1"/>
  <c r="AF82" i="6"/>
  <c r="AH181" i="6"/>
  <c r="AI181" i="6" s="1"/>
  <c r="AG181" i="6"/>
  <c r="S181" i="7" s="1"/>
  <c r="AF181" i="6"/>
  <c r="AH136" i="6"/>
  <c r="AI136" i="6" s="1"/>
  <c r="AF136" i="6"/>
  <c r="AG136" i="6"/>
  <c r="S136" i="7" s="1"/>
  <c r="AH4" i="6"/>
  <c r="AI4" i="6" s="1"/>
  <c r="AG4" i="6"/>
  <c r="S4" i="7" s="1"/>
  <c r="AF4" i="6"/>
  <c r="I68" i="7"/>
  <c r="L68" i="7"/>
  <c r="E36" i="8"/>
  <c r="G36" i="8" s="1"/>
  <c r="AH130" i="6"/>
  <c r="AI130" i="6" s="1"/>
  <c r="AF130" i="6"/>
  <c r="AG130" i="6"/>
  <c r="S130" i="7" s="1"/>
  <c r="AG135" i="6"/>
  <c r="S135" i="7" s="1"/>
  <c r="AF135" i="6"/>
  <c r="AH135" i="6"/>
  <c r="AI135" i="6" s="1"/>
  <c r="E152" i="8"/>
  <c r="G152" i="8" s="1"/>
  <c r="L146" i="7"/>
  <c r="I146" i="7"/>
  <c r="D152" i="8" s="1"/>
  <c r="AH208" i="6"/>
  <c r="AI208" i="6" s="1"/>
  <c r="AF208" i="6"/>
  <c r="AG208" i="6"/>
  <c r="S208" i="7" s="1"/>
  <c r="AF114" i="6"/>
  <c r="AH114" i="6"/>
  <c r="AI114" i="6" s="1"/>
  <c r="AG114" i="6"/>
  <c r="S114" i="7" s="1"/>
  <c r="AF148" i="6"/>
  <c r="AG148" i="6"/>
  <c r="S148" i="7" s="1"/>
  <c r="AH148" i="6"/>
  <c r="AI148" i="6" s="1"/>
  <c r="AG163" i="6"/>
  <c r="S163" i="7" s="1"/>
  <c r="AH163" i="6"/>
  <c r="AI163" i="6" s="1"/>
  <c r="AF163" i="6"/>
  <c r="I216" i="7"/>
  <c r="D186" i="8" s="1"/>
  <c r="E186" i="8"/>
  <c r="G186" i="8" s="1"/>
  <c r="L216" i="7"/>
  <c r="AF7" i="6"/>
  <c r="AH7" i="6"/>
  <c r="AI7" i="6" s="1"/>
  <c r="AG7" i="6"/>
  <c r="S7" i="7" s="1"/>
  <c r="E157" i="8"/>
  <c r="G157" i="8" s="1"/>
  <c r="L205" i="7"/>
  <c r="I205" i="7"/>
  <c r="D157" i="8" s="1"/>
  <c r="D90" i="8"/>
  <c r="AH97" i="6"/>
  <c r="AI97" i="6" s="1"/>
  <c r="AG97" i="6"/>
  <c r="S97" i="7" s="1"/>
  <c r="AF97" i="6"/>
  <c r="AF235" i="6"/>
  <c r="AG235" i="6"/>
  <c r="S235" i="7" s="1"/>
  <c r="AH235" i="6"/>
  <c r="AI235" i="6" s="1"/>
  <c r="AG72" i="6"/>
  <c r="S72" i="7" s="1"/>
  <c r="AF72" i="6"/>
  <c r="AH72" i="6"/>
  <c r="AI72" i="6" s="1"/>
  <c r="AH9" i="6"/>
  <c r="AI9" i="6" s="1"/>
  <c r="AG9" i="6"/>
  <c r="S9" i="7" s="1"/>
  <c r="AF9" i="6"/>
  <c r="AG62" i="6"/>
  <c r="S62" i="7" s="1"/>
  <c r="AF62" i="6"/>
  <c r="AH62" i="6"/>
  <c r="AI62" i="6" s="1"/>
  <c r="AH217" i="6"/>
  <c r="AI217" i="6" s="1"/>
  <c r="AG217" i="6"/>
  <c r="S217" i="7" s="1"/>
  <c r="AF217" i="6"/>
  <c r="AF128" i="6"/>
  <c r="AH128" i="6"/>
  <c r="AI128" i="6" s="1"/>
  <c r="AG128" i="6"/>
  <c r="S128" i="7" s="1"/>
  <c r="AH166" i="6"/>
  <c r="AI166" i="6" s="1"/>
  <c r="AG166" i="6"/>
  <c r="S166" i="7" s="1"/>
  <c r="AF166" i="6"/>
  <c r="AH115" i="6"/>
  <c r="AI115" i="6" s="1"/>
  <c r="AF115" i="6"/>
  <c r="AG115" i="6"/>
  <c r="S115" i="7" s="1"/>
  <c r="AH170" i="6"/>
  <c r="AI170" i="6" s="1"/>
  <c r="AF170" i="6"/>
  <c r="AG170" i="6"/>
  <c r="S170" i="7" s="1"/>
  <c r="AH106" i="6"/>
  <c r="AI106" i="6" s="1"/>
  <c r="AF106" i="6"/>
  <c r="AG106" i="6"/>
  <c r="S106" i="7" s="1"/>
  <c r="AF126" i="6"/>
  <c r="AG126" i="6"/>
  <c r="S126" i="7" s="1"/>
  <c r="AH126" i="6"/>
  <c r="AI126" i="6" s="1"/>
  <c r="AG52" i="6"/>
  <c r="S52" i="7" s="1"/>
  <c r="AF52" i="6"/>
  <c r="AH52" i="6"/>
  <c r="AI52" i="6" s="1"/>
  <c r="AG132" i="6"/>
  <c r="S132" i="7" s="1"/>
  <c r="AF132" i="6"/>
  <c r="AH132" i="6"/>
  <c r="AI132" i="6" s="1"/>
  <c r="AH179" i="6"/>
  <c r="AI179" i="6" s="1"/>
  <c r="AG179" i="6"/>
  <c r="S179" i="7" s="1"/>
  <c r="AF179" i="6"/>
  <c r="AF230" i="6"/>
  <c r="AH230" i="6"/>
  <c r="AI230" i="6" s="1"/>
  <c r="AG230" i="6"/>
  <c r="S230" i="7" s="1"/>
  <c r="AG65" i="6"/>
  <c r="S65" i="7" s="1"/>
  <c r="AH65" i="6"/>
  <c r="AI65" i="6" s="1"/>
  <c r="AF65" i="6"/>
  <c r="AH73" i="6"/>
  <c r="AI73" i="6" s="1"/>
  <c r="AG73" i="6"/>
  <c r="S73" i="7" s="1"/>
  <c r="AF73" i="6"/>
  <c r="AF212" i="6"/>
  <c r="AG212" i="6"/>
  <c r="S212" i="7" s="1"/>
  <c r="AH212" i="6"/>
  <c r="AI212" i="6" s="1"/>
  <c r="AF196" i="6"/>
  <c r="AH196" i="6"/>
  <c r="AI196" i="6" s="1"/>
  <c r="AG196" i="6"/>
  <c r="S196" i="7" s="1"/>
  <c r="AF118" i="6" l="1"/>
  <c r="AF141" i="6"/>
  <c r="AG141" i="6"/>
  <c r="S141" i="7" s="1"/>
  <c r="AF158" i="6"/>
  <c r="AH158" i="6"/>
  <c r="AI158" i="6" s="1"/>
  <c r="AH144" i="6"/>
  <c r="AI144" i="6" s="1"/>
  <c r="AF144" i="6"/>
  <c r="AG144" i="6"/>
  <c r="S144" i="7" s="1"/>
  <c r="G13" i="11"/>
  <c r="A9" i="11"/>
  <c r="B58" i="11" s="1"/>
  <c r="AH127" i="6"/>
  <c r="AI127" i="6" s="1"/>
  <c r="AG127" i="6"/>
  <c r="S127" i="7" s="1"/>
  <c r="AF127" i="6"/>
  <c r="AH134" i="6"/>
  <c r="AI134" i="6" s="1"/>
  <c r="AF134" i="6"/>
  <c r="AG134" i="6"/>
  <c r="S134" i="7" s="1"/>
  <c r="AF61" i="6"/>
  <c r="AG61" i="6"/>
  <c r="S61" i="7" s="1"/>
  <c r="AH61" i="6"/>
  <c r="AI61" i="6" s="1"/>
  <c r="AH150" i="6"/>
  <c r="AI150" i="6" s="1"/>
  <c r="AF150" i="6"/>
  <c r="AG150" i="6"/>
  <c r="S150" i="7" s="1"/>
  <c r="AH30" i="6"/>
  <c r="AI30" i="6" s="1"/>
  <c r="AF30" i="6"/>
  <c r="AG30" i="6"/>
  <c r="S30" i="7" s="1"/>
  <c r="AF5" i="6"/>
  <c r="AH5" i="6"/>
  <c r="AI5" i="6" s="1"/>
  <c r="AG5" i="6"/>
  <c r="S5" i="7" s="1"/>
  <c r="D11" i="9"/>
  <c r="D4" i="9"/>
  <c r="D15" i="9"/>
  <c r="D7" i="9"/>
  <c r="AH109" i="6"/>
  <c r="AI109" i="6" s="1"/>
  <c r="AG109" i="6"/>
  <c r="S109" i="7" s="1"/>
  <c r="AF109" i="6"/>
  <c r="D10" i="9"/>
  <c r="D9" i="9"/>
  <c r="D36" i="8"/>
  <c r="C6" i="9" s="1"/>
  <c r="E36" i="11" s="1"/>
  <c r="D12" i="9"/>
  <c r="D5" i="9"/>
  <c r="D13" i="9"/>
  <c r="D16" i="9"/>
  <c r="D8" i="9"/>
  <c r="D6" i="9"/>
  <c r="D14" i="9"/>
  <c r="C16" i="9"/>
  <c r="E46" i="11" s="1"/>
  <c r="C9" i="9" l="1"/>
  <c r="E39" i="11" s="1"/>
  <c r="C13" i="9"/>
  <c r="E43" i="11" s="1"/>
  <c r="C5" i="9"/>
  <c r="E35" i="11" s="1"/>
  <c r="C10" i="9"/>
  <c r="E40" i="11" s="1"/>
  <c r="C15" i="9"/>
  <c r="E45" i="11" s="1"/>
  <c r="C4" i="9"/>
  <c r="E34" i="11" s="1"/>
  <c r="C12" i="9"/>
  <c r="E42" i="11" s="1"/>
  <c r="C7" i="9"/>
  <c r="E37" i="11" s="1"/>
  <c r="C11" i="9"/>
  <c r="E41" i="11" s="1"/>
  <c r="C14" i="9"/>
  <c r="E44" i="11" s="1"/>
  <c r="C8" i="9"/>
  <c r="E38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<sst xmlns="http://schemas.openxmlformats.org/spreadsheetml/2006/main" count="11515" uniqueCount="1203">
  <si>
    <t>EQUIPOS (EDITABLE)</t>
  </si>
  <si>
    <t>Codigo</t>
  </si>
  <si>
    <t>Tipo Equipo</t>
  </si>
  <si>
    <t>Marca</t>
  </si>
  <si>
    <t>Modelo</t>
  </si>
  <si>
    <t>Año</t>
  </si>
  <si>
    <t>Ubicacion</t>
  </si>
  <si>
    <t>Responsable</t>
  </si>
  <si>
    <t>Estado Base</t>
  </si>
  <si>
    <t>Control Base</t>
  </si>
  <si>
    <t>Frecuencia Base</t>
  </si>
  <si>
    <t>Promedio Diario</t>
  </si>
  <si>
    <t>CD-100</t>
  </si>
  <si>
    <t>Camión Slurry</t>
  </si>
  <si>
    <t>Volkswagen</t>
  </si>
  <si>
    <t>Q-459</t>
  </si>
  <si>
    <t>Juan Espinoza</t>
  </si>
  <si>
    <t>Operativo</t>
  </si>
  <si>
    <t>HORAS</t>
  </si>
  <si>
    <t>CD-102</t>
  </si>
  <si>
    <t>Camión Tolva</t>
  </si>
  <si>
    <t>Man</t>
  </si>
  <si>
    <t>TGS 50480</t>
  </si>
  <si>
    <t>RETIRO</t>
  </si>
  <si>
    <t>Nelson Garcia</t>
  </si>
  <si>
    <t>CD-103</t>
  </si>
  <si>
    <t>TALLER</t>
  </si>
  <si>
    <t>Felipe Figueroa</t>
  </si>
  <si>
    <t>Fuera de Servicio</t>
  </si>
  <si>
    <t>CD-104</t>
  </si>
  <si>
    <t>Curicó</t>
  </si>
  <si>
    <t>Nelson Omar Cancino Arellano</t>
  </si>
  <si>
    <t>CD-105</t>
  </si>
  <si>
    <t>Palmucho</t>
  </si>
  <si>
    <t>Eugenio Antonio Hormazabal Cornejo</t>
  </si>
  <si>
    <t>CD-106</t>
  </si>
  <si>
    <t>Taller</t>
  </si>
  <si>
    <t>Eugenio Hormazabal</t>
  </si>
  <si>
    <t>CD-107</t>
  </si>
  <si>
    <t>San Nicolas</t>
  </si>
  <si>
    <t>Cesar Vergara</t>
  </si>
  <si>
    <t>CD-108</t>
  </si>
  <si>
    <t>International</t>
  </si>
  <si>
    <t>Ivo Garrido</t>
  </si>
  <si>
    <t>CD-109</t>
  </si>
  <si>
    <t>Camión Plano</t>
  </si>
  <si>
    <t>Hino</t>
  </si>
  <si>
    <t>XZU 6.5 DCAB</t>
  </si>
  <si>
    <t>PALMUCHO</t>
  </si>
  <si>
    <t>Washinton Sanzana</t>
  </si>
  <si>
    <t>CD-110</t>
  </si>
  <si>
    <t>Jac</t>
  </si>
  <si>
    <t>Urban HFC1050K</t>
  </si>
  <si>
    <t>No identificado</t>
  </si>
  <si>
    <t>CD-111</t>
  </si>
  <si>
    <t>Mercedes Benz</t>
  </si>
  <si>
    <t>Atego 1315 48</t>
  </si>
  <si>
    <t>Sin asignar</t>
  </si>
  <si>
    <t>CD-112</t>
  </si>
  <si>
    <t>Camión Pintura</t>
  </si>
  <si>
    <t>No hay info</t>
  </si>
  <si>
    <t>CD-113</t>
  </si>
  <si>
    <t>Camión Imprimador</t>
  </si>
  <si>
    <t>17180M</t>
  </si>
  <si>
    <t>Nector Muñoz</t>
  </si>
  <si>
    <t>CD-114</t>
  </si>
  <si>
    <t>Freightliner</t>
  </si>
  <si>
    <t>M2 112</t>
  </si>
  <si>
    <t>CD-115</t>
  </si>
  <si>
    <t>Tracto Camión</t>
  </si>
  <si>
    <t>LS 1634 45</t>
  </si>
  <si>
    <t>Manuel Pacheco</t>
  </si>
  <si>
    <t>CD-116</t>
  </si>
  <si>
    <t>Wolkswagen</t>
  </si>
  <si>
    <t>9150E</t>
  </si>
  <si>
    <t>Villaseca</t>
  </si>
  <si>
    <t>Nicolas Antonio Rivera Astudillo</t>
  </si>
  <si>
    <t>CD-117</t>
  </si>
  <si>
    <t>CD-118</t>
  </si>
  <si>
    <t>M2 106</t>
  </si>
  <si>
    <t>Carlos Vasquez</t>
  </si>
  <si>
    <t>CD-119</t>
  </si>
  <si>
    <t>Camión Combustible</t>
  </si>
  <si>
    <t>GH8JMTA</t>
  </si>
  <si>
    <t>San Carlos</t>
  </si>
  <si>
    <t>Nector Aldo Muñoz Rivera</t>
  </si>
  <si>
    <t>CD-120</t>
  </si>
  <si>
    <t>TGS 40400 BB</t>
  </si>
  <si>
    <t>Pablo Torres</t>
  </si>
  <si>
    <t>CD-121</t>
  </si>
  <si>
    <t>Chandor Ruiz</t>
  </si>
  <si>
    <t>CD-122</t>
  </si>
  <si>
    <t>Renan Aguilera</t>
  </si>
  <si>
    <t>CD-123</t>
  </si>
  <si>
    <t>Ninhue</t>
  </si>
  <si>
    <t>Wilson Salazar</t>
  </si>
  <si>
    <t>CD-124</t>
  </si>
  <si>
    <t>CD-125</t>
  </si>
  <si>
    <t>Camión Maxus</t>
  </si>
  <si>
    <t>Maxus</t>
  </si>
  <si>
    <t>C35 2.0</t>
  </si>
  <si>
    <t>Oficina Central</t>
  </si>
  <si>
    <t>Patricio Alfredo Mora Mora</t>
  </si>
  <si>
    <t>CD-126</t>
  </si>
  <si>
    <t>QUEUCO</t>
  </si>
  <si>
    <t>Manuel Piñaleo</t>
  </si>
  <si>
    <t>CD-127</t>
  </si>
  <si>
    <t>Camión Pluma</t>
  </si>
  <si>
    <t>Osvaldo Andres Faundez Vasquez</t>
  </si>
  <si>
    <t>CD-128</t>
  </si>
  <si>
    <t>Camión slurry</t>
  </si>
  <si>
    <t>Mack</t>
  </si>
  <si>
    <t>GU 813</t>
  </si>
  <si>
    <t>Retiro</t>
  </si>
  <si>
    <t>Marco Calderara</t>
  </si>
  <si>
    <t>CD-129</t>
  </si>
  <si>
    <t>Camión Aljibe</t>
  </si>
  <si>
    <t>CD-130</t>
  </si>
  <si>
    <t>Renault</t>
  </si>
  <si>
    <t>K480</t>
  </si>
  <si>
    <t>CD-131</t>
  </si>
  <si>
    <t>CD-132</t>
  </si>
  <si>
    <t>Cesar Alonso Vergara Pezoa</t>
  </si>
  <si>
    <t>CD-133</t>
  </si>
  <si>
    <t>CD-134</t>
  </si>
  <si>
    <t>CD-135</t>
  </si>
  <si>
    <t>CD-136</t>
  </si>
  <si>
    <t>HZU</t>
  </si>
  <si>
    <t>CD-137</t>
  </si>
  <si>
    <t>Axor 1936</t>
  </si>
  <si>
    <t>CD-138</t>
  </si>
  <si>
    <t>Camion Imprimador</t>
  </si>
  <si>
    <t>Sterling</t>
  </si>
  <si>
    <t>L7500</t>
  </si>
  <si>
    <t>Duban Rio</t>
  </si>
  <si>
    <t>CD-139</t>
  </si>
  <si>
    <t>Camion Plano</t>
  </si>
  <si>
    <t>Atego 1015</t>
  </si>
  <si>
    <t>CD-140</t>
  </si>
  <si>
    <t>915 C 37</t>
  </si>
  <si>
    <t>CD-141</t>
  </si>
  <si>
    <t>Camion Mixer</t>
  </si>
  <si>
    <t>DM 690S</t>
  </si>
  <si>
    <t>CD-142</t>
  </si>
  <si>
    <t>FLD 112</t>
  </si>
  <si>
    <t>CD-51</t>
  </si>
  <si>
    <t>XZU 8.0</t>
  </si>
  <si>
    <t>Salvador Castillo</t>
  </si>
  <si>
    <t>CD-57</t>
  </si>
  <si>
    <t>XZUDCAB</t>
  </si>
  <si>
    <t>SANTIAGO</t>
  </si>
  <si>
    <t>No aplica</t>
  </si>
  <si>
    <t>CD-68</t>
  </si>
  <si>
    <t>RAUCO</t>
  </si>
  <si>
    <t>Jonatan Orellana</t>
  </si>
  <si>
    <t>CD-69</t>
  </si>
  <si>
    <t>Scania</t>
  </si>
  <si>
    <t>P400A</t>
  </si>
  <si>
    <t>Pedro Rojas</t>
  </si>
  <si>
    <t>CD-71</t>
  </si>
  <si>
    <t>Guido Saez</t>
  </si>
  <si>
    <t>CD-73</t>
  </si>
  <si>
    <t>CD-74</t>
  </si>
  <si>
    <t>Premium Lander</t>
  </si>
  <si>
    <t>CD-80</t>
  </si>
  <si>
    <t>CD-86</t>
  </si>
  <si>
    <t>Kenworth</t>
  </si>
  <si>
    <t>T800</t>
  </si>
  <si>
    <t>Nicolas Gutierrez</t>
  </si>
  <si>
    <t>CD-87</t>
  </si>
  <si>
    <t>Juan Aguilar</t>
  </si>
  <si>
    <t>CD-88</t>
  </si>
  <si>
    <t>Manuel Saavedra</t>
  </si>
  <si>
    <t>CD-89</t>
  </si>
  <si>
    <t>Gerardo Andres Beltran Soto</t>
  </si>
  <si>
    <t>CD-90</t>
  </si>
  <si>
    <t>Carlos Brenet</t>
  </si>
  <si>
    <t>CD-91</t>
  </si>
  <si>
    <t>CD-92</t>
  </si>
  <si>
    <t>XZU423L</t>
  </si>
  <si>
    <t>CD-93</t>
  </si>
  <si>
    <t>Jose Valenzuela</t>
  </si>
  <si>
    <t>CD-94</t>
  </si>
  <si>
    <t>TGS 33400</t>
  </si>
  <si>
    <t>Nelson Rodolfo Garcia Ceballos</t>
  </si>
  <si>
    <t>CD-96</t>
  </si>
  <si>
    <t>Carlos Pino</t>
  </si>
  <si>
    <t>CD-97</t>
  </si>
  <si>
    <t>TGS 33480</t>
  </si>
  <si>
    <t>Ramiro Solis</t>
  </si>
  <si>
    <t>CD-98</t>
  </si>
  <si>
    <t>Xzu 6.5</t>
  </si>
  <si>
    <t>Luis Flores</t>
  </si>
  <si>
    <t>CD-99</t>
  </si>
  <si>
    <t>Jaime Alonso Vargas Gangas</t>
  </si>
  <si>
    <t>ED-07</t>
  </si>
  <si>
    <t>Soldadora</t>
  </si>
  <si>
    <t>Indura</t>
  </si>
  <si>
    <t>ED-51</t>
  </si>
  <si>
    <t>Gravilladora</t>
  </si>
  <si>
    <t>Etnyre</t>
  </si>
  <si>
    <t>K-5180</t>
  </si>
  <si>
    <t>ED-52</t>
  </si>
  <si>
    <t>Barredora</t>
  </si>
  <si>
    <t>Rosco</t>
  </si>
  <si>
    <t>Rb-48</t>
  </si>
  <si>
    <t>Jordano Villa</t>
  </si>
  <si>
    <t>ED-61</t>
  </si>
  <si>
    <t>4wd</t>
  </si>
  <si>
    <t>Sebastian Nuñez</t>
  </si>
  <si>
    <t>ED-63</t>
  </si>
  <si>
    <t>Maximo Apablaza</t>
  </si>
  <si>
    <t>ED-64</t>
  </si>
  <si>
    <t>Perforadora Hidraulica</t>
  </si>
  <si>
    <t>Furukawua</t>
  </si>
  <si>
    <t>HCR1200-EDII</t>
  </si>
  <si>
    <t>ED-65</t>
  </si>
  <si>
    <t>Compresor</t>
  </si>
  <si>
    <t>Atlas Copco</t>
  </si>
  <si>
    <t>EHR-700</t>
  </si>
  <si>
    <t>ED-66</t>
  </si>
  <si>
    <t>Planta Micropavimento</t>
  </si>
  <si>
    <t>Romanelli</t>
  </si>
  <si>
    <t>UHR700H</t>
  </si>
  <si>
    <t>ED-67</t>
  </si>
  <si>
    <t>Imprimador</t>
  </si>
  <si>
    <t>Rayner</t>
  </si>
  <si>
    <t>ED-73</t>
  </si>
  <si>
    <t>SPRHH</t>
  </si>
  <si>
    <t>EQP-10</t>
  </si>
  <si>
    <t>Planta aridos</t>
  </si>
  <si>
    <t>Sandvik</t>
  </si>
  <si>
    <t>QS331</t>
  </si>
  <si>
    <t>Marcelo Quiroz</t>
  </si>
  <si>
    <t>EQP-11</t>
  </si>
  <si>
    <t>Planta Aridos seleccionadora</t>
  </si>
  <si>
    <t>Terex</t>
  </si>
  <si>
    <t>Rodrigo Fuentes</t>
  </si>
  <si>
    <t>EQP-13</t>
  </si>
  <si>
    <t>UH440I</t>
  </si>
  <si>
    <t>EQP-14</t>
  </si>
  <si>
    <t>Kleemann</t>
  </si>
  <si>
    <t>Mc 110R</t>
  </si>
  <si>
    <t>EQP-15</t>
  </si>
  <si>
    <t>Rubble Master</t>
  </si>
  <si>
    <t>HS 11000 M</t>
  </si>
  <si>
    <t>EQP-16</t>
  </si>
  <si>
    <t>EQP-17</t>
  </si>
  <si>
    <t>Maximuss</t>
  </si>
  <si>
    <t>EQP-18</t>
  </si>
  <si>
    <t>Mc 110Z</t>
  </si>
  <si>
    <t>EQP-19</t>
  </si>
  <si>
    <t>Iveco</t>
  </si>
  <si>
    <t>GeCursor 300ED</t>
  </si>
  <si>
    <t>EQP-7</t>
  </si>
  <si>
    <t>Carlos Leal</t>
  </si>
  <si>
    <t>EQP-9</t>
  </si>
  <si>
    <t>QJ341</t>
  </si>
  <si>
    <t>MD-100</t>
  </si>
  <si>
    <t>Excavadora</t>
  </si>
  <si>
    <t>Sany</t>
  </si>
  <si>
    <t>SY215CLC</t>
  </si>
  <si>
    <t>Sergio Gonzalez</t>
  </si>
  <si>
    <t>MD-101</t>
  </si>
  <si>
    <t>Motoniveladora</t>
  </si>
  <si>
    <t>Komatsu</t>
  </si>
  <si>
    <t>GD675 5</t>
  </si>
  <si>
    <t>Bernardo Escanilla</t>
  </si>
  <si>
    <t>MD-102</t>
  </si>
  <si>
    <t>Rodillo</t>
  </si>
  <si>
    <t>Bomag</t>
  </si>
  <si>
    <t>BW211 D40</t>
  </si>
  <si>
    <t>Cobquecura</t>
  </si>
  <si>
    <t>MD-103</t>
  </si>
  <si>
    <t>BW211 D5</t>
  </si>
  <si>
    <t>MD-104</t>
  </si>
  <si>
    <t>Pelluhue</t>
  </si>
  <si>
    <t>Rodolfo Benavides Flores</t>
  </si>
  <si>
    <t>MD-105</t>
  </si>
  <si>
    <t>Cargador Frontal</t>
  </si>
  <si>
    <t>Hyundai</t>
  </si>
  <si>
    <t>HL7709S</t>
  </si>
  <si>
    <t>SAN NICOLAS</t>
  </si>
  <si>
    <t>MD-106</t>
  </si>
  <si>
    <t>Maquina Industrial</t>
  </si>
  <si>
    <t>Dieci</t>
  </si>
  <si>
    <t xml:space="preserve">	L 3500</t>
  </si>
  <si>
    <t>No operativo</t>
  </si>
  <si>
    <t>MD-107</t>
  </si>
  <si>
    <t>SW978K1</t>
  </si>
  <si>
    <t>MD-108</t>
  </si>
  <si>
    <t>Rodillo de Neumaticos</t>
  </si>
  <si>
    <t>Hamm</t>
  </si>
  <si>
    <t xml:space="preserve">	GRW 15</t>
  </si>
  <si>
    <t>Isaias Hernan Arriagada Aravena</t>
  </si>
  <si>
    <t>MD-109</t>
  </si>
  <si>
    <t>Caterpillar</t>
  </si>
  <si>
    <t>12M</t>
  </si>
  <si>
    <t>Luis Alberto Cortes Espinoza</t>
  </si>
  <si>
    <t>MD-110</t>
  </si>
  <si>
    <t>Quirihue</t>
  </si>
  <si>
    <t>MD-25</t>
  </si>
  <si>
    <t>John Deere</t>
  </si>
  <si>
    <t>772 D</t>
  </si>
  <si>
    <t>Felipe Santiago Ortiz Bustos</t>
  </si>
  <si>
    <t>MD-26</t>
  </si>
  <si>
    <t>MD-28</t>
  </si>
  <si>
    <t>Doosan</t>
  </si>
  <si>
    <t>Dx225lca</t>
  </si>
  <si>
    <t>Rodrigo Contreras</t>
  </si>
  <si>
    <t>MD-33</t>
  </si>
  <si>
    <t>PC450 7E0</t>
  </si>
  <si>
    <t>TALLER CENTRAL</t>
  </si>
  <si>
    <t>Daniel Andrade</t>
  </si>
  <si>
    <t>MD-36</t>
  </si>
  <si>
    <t>966H</t>
  </si>
  <si>
    <t>MD-37</t>
  </si>
  <si>
    <t>Volvo</t>
  </si>
  <si>
    <t>l120F</t>
  </si>
  <si>
    <t>MD-38</t>
  </si>
  <si>
    <t>Tito Hernandez</t>
  </si>
  <si>
    <t>MD-39</t>
  </si>
  <si>
    <t>G940</t>
  </si>
  <si>
    <t>Javier Uval</t>
  </si>
  <si>
    <t>MD-41</t>
  </si>
  <si>
    <t>Tito Hernan Hernandez Campos</t>
  </si>
  <si>
    <t>MD-42</t>
  </si>
  <si>
    <t>L150G</t>
  </si>
  <si>
    <t>MD-43</t>
  </si>
  <si>
    <t>EC330BLC</t>
  </si>
  <si>
    <t>MD-45</t>
  </si>
  <si>
    <t>624K</t>
  </si>
  <si>
    <t>Carlos Alexis Espinoza Palomera</t>
  </si>
  <si>
    <t>MD-46</t>
  </si>
  <si>
    <t>TOTORALES</t>
  </si>
  <si>
    <t>Diego Marin</t>
  </si>
  <si>
    <t>MD-47</t>
  </si>
  <si>
    <t>350GLC</t>
  </si>
  <si>
    <t>Cesar Reyes</t>
  </si>
  <si>
    <t>MD-49</t>
  </si>
  <si>
    <t>Retroexcavadora</t>
  </si>
  <si>
    <t>New Holland</t>
  </si>
  <si>
    <t>B90B 4X4</t>
  </si>
  <si>
    <t>Matias Mancilla</t>
  </si>
  <si>
    <t>MD-50</t>
  </si>
  <si>
    <t>VENDIDA</t>
  </si>
  <si>
    <t>MD-51</t>
  </si>
  <si>
    <t>Dynapac</t>
  </si>
  <si>
    <t>CP 271</t>
  </si>
  <si>
    <t>Carlos Javier Gonzalez Gonzalez</t>
  </si>
  <si>
    <t>MD-52</t>
  </si>
  <si>
    <t>Rodillo Doble Tambor</t>
  </si>
  <si>
    <t>CC 422</t>
  </si>
  <si>
    <t>MD-53</t>
  </si>
  <si>
    <t>MD-55</t>
  </si>
  <si>
    <t>Isaias Arriagada</t>
  </si>
  <si>
    <t>MD-56</t>
  </si>
  <si>
    <t>772G</t>
  </si>
  <si>
    <t>Claudio Caceres</t>
  </si>
  <si>
    <t>MD-57</t>
  </si>
  <si>
    <t>Rodolfo Andres Benavides Flores</t>
  </si>
  <si>
    <t>MD-58</t>
  </si>
  <si>
    <t>MD-59</t>
  </si>
  <si>
    <t>724K</t>
  </si>
  <si>
    <t>MD-61</t>
  </si>
  <si>
    <t>MD-62</t>
  </si>
  <si>
    <t>Excavadora con Ruedas</t>
  </si>
  <si>
    <t>Daewoo</t>
  </si>
  <si>
    <t>S210W v</t>
  </si>
  <si>
    <t>Victor Enrique Sanchez Donoso</t>
  </si>
  <si>
    <t>MD-64</t>
  </si>
  <si>
    <t>Case</t>
  </si>
  <si>
    <t>580 M</t>
  </si>
  <si>
    <t>SAN CARLOS</t>
  </si>
  <si>
    <t>MD-65</t>
  </si>
  <si>
    <t>Jcb</t>
  </si>
  <si>
    <t>467 Zx</t>
  </si>
  <si>
    <t>Jorge Soto</t>
  </si>
  <si>
    <t>MD-67</t>
  </si>
  <si>
    <t>MD-68</t>
  </si>
  <si>
    <t>Bw212 D40</t>
  </si>
  <si>
    <t>Hector Mieres</t>
  </si>
  <si>
    <t>MD-70</t>
  </si>
  <si>
    <t>Cesar Reyes Villaseca</t>
  </si>
  <si>
    <t>MD-71</t>
  </si>
  <si>
    <t>580M</t>
  </si>
  <si>
    <t>MD-72</t>
  </si>
  <si>
    <t>MD-73</t>
  </si>
  <si>
    <t>G930</t>
  </si>
  <si>
    <t>Luis Jofre</t>
  </si>
  <si>
    <t>MD-74</t>
  </si>
  <si>
    <t>PC300LC</t>
  </si>
  <si>
    <t>Rodolfo Benavides</t>
  </si>
  <si>
    <t>MD-75</t>
  </si>
  <si>
    <t>416 E</t>
  </si>
  <si>
    <t>Rodrigo Canales</t>
  </si>
  <si>
    <t>MD-76</t>
  </si>
  <si>
    <t>3CX 4X4</t>
  </si>
  <si>
    <t>Jean Pierre Martinez Higuera</t>
  </si>
  <si>
    <t>MD-77</t>
  </si>
  <si>
    <t>770G</t>
  </si>
  <si>
    <t>MD-78</t>
  </si>
  <si>
    <t>Extendedora</t>
  </si>
  <si>
    <t>Abg</t>
  </si>
  <si>
    <t>Titan 323</t>
  </si>
  <si>
    <t>MD-79</t>
  </si>
  <si>
    <t>670G</t>
  </si>
  <si>
    <t>Felipe Ortiz</t>
  </si>
  <si>
    <t>MD-80</t>
  </si>
  <si>
    <t>Anibal Correa</t>
  </si>
  <si>
    <t>MD-81</t>
  </si>
  <si>
    <t>Pavimentadora de encofrado deslizante</t>
  </si>
  <si>
    <t>Gomaco</t>
  </si>
  <si>
    <t>GT-3600</t>
  </si>
  <si>
    <t>MD-82</t>
  </si>
  <si>
    <t>Dx340lca</t>
  </si>
  <si>
    <t>Rodrigo Jara</t>
  </si>
  <si>
    <t>MD-83</t>
  </si>
  <si>
    <t>Dx300lca</t>
  </si>
  <si>
    <t>Jose Rubilar</t>
  </si>
  <si>
    <t>MD-84</t>
  </si>
  <si>
    <t>Hitachi</t>
  </si>
  <si>
    <t>Zx210C</t>
  </si>
  <si>
    <t>Jonny Martinez</t>
  </si>
  <si>
    <t>MD-85</t>
  </si>
  <si>
    <t>160H</t>
  </si>
  <si>
    <t>Nehemias Riquelme</t>
  </si>
  <si>
    <t>MD-87</t>
  </si>
  <si>
    <t xml:space="preserve">210 Lc </t>
  </si>
  <si>
    <t>David Montecinos</t>
  </si>
  <si>
    <t>MD-88</t>
  </si>
  <si>
    <t>MD-89</t>
  </si>
  <si>
    <t>Luis Loyola</t>
  </si>
  <si>
    <t>MD-90</t>
  </si>
  <si>
    <t>330D</t>
  </si>
  <si>
    <t>Franco Vasquez</t>
  </si>
  <si>
    <t>MD-91</t>
  </si>
  <si>
    <t>MD-92</t>
  </si>
  <si>
    <t>554K</t>
  </si>
  <si>
    <t>Cristian Hernandez</t>
  </si>
  <si>
    <t>MD-93</t>
  </si>
  <si>
    <t>BHL75A</t>
  </si>
  <si>
    <t>Jose Villalobos</t>
  </si>
  <si>
    <t>MD-94</t>
  </si>
  <si>
    <t>H940C</t>
  </si>
  <si>
    <t>NIRIVILO</t>
  </si>
  <si>
    <t>Juan Pablo Riquelme</t>
  </si>
  <si>
    <t>MD-95</t>
  </si>
  <si>
    <t>Leonardo</t>
  </si>
  <si>
    <t>MD-96</t>
  </si>
  <si>
    <t>Jorge Oñate</t>
  </si>
  <si>
    <t>MD-97</t>
  </si>
  <si>
    <t>Rodillo Neumaticos</t>
  </si>
  <si>
    <t>GRW15</t>
  </si>
  <si>
    <t>Luis Perez</t>
  </si>
  <si>
    <t>MD-98</t>
  </si>
  <si>
    <t>MD-99</t>
  </si>
  <si>
    <t>Alejandro Bustamante</t>
  </si>
  <si>
    <t>VD-100</t>
  </si>
  <si>
    <t>Camioneta</t>
  </si>
  <si>
    <t>T60 DCAB 4X2 2.0</t>
  </si>
  <si>
    <t>Gaspar De La Cruz Garate Contreras</t>
  </si>
  <si>
    <t>KM</t>
  </si>
  <si>
    <t>VD-101</t>
  </si>
  <si>
    <t>Eduardo Rojas</t>
  </si>
  <si>
    <t>VD-102</t>
  </si>
  <si>
    <t>Mahindra</t>
  </si>
  <si>
    <t>4x2 6MT</t>
  </si>
  <si>
    <t>Mecanicos</t>
  </si>
  <si>
    <t>VD-103</t>
  </si>
  <si>
    <t>Marcos Ricardo Soto Mendoza</t>
  </si>
  <si>
    <t>VD-104</t>
  </si>
  <si>
    <t>Auto</t>
  </si>
  <si>
    <t>Suzuki</t>
  </si>
  <si>
    <t>Ciaz</t>
  </si>
  <si>
    <t>VD-105</t>
  </si>
  <si>
    <t>Citroen</t>
  </si>
  <si>
    <t>Berlingo C Electric</t>
  </si>
  <si>
    <t>Luis Cid</t>
  </si>
  <si>
    <t>VD-106</t>
  </si>
  <si>
    <t>9150 EOD</t>
  </si>
  <si>
    <t>VD-107</t>
  </si>
  <si>
    <t>Ssangyong</t>
  </si>
  <si>
    <t>Musso Grand 4x2</t>
  </si>
  <si>
    <t>Pedro Fuenzalida</t>
  </si>
  <si>
    <t>VD-108</t>
  </si>
  <si>
    <t>OFICINA</t>
  </si>
  <si>
    <t>Roberto Ventura</t>
  </si>
  <si>
    <t>VD-109</t>
  </si>
  <si>
    <t>Rolando Aravena</t>
  </si>
  <si>
    <t>VD-110</t>
  </si>
  <si>
    <t>Pik up CRDE 4X2 2.2</t>
  </si>
  <si>
    <t>Cristobal Martinez</t>
  </si>
  <si>
    <t>VD-111</t>
  </si>
  <si>
    <t>Fabian Jara</t>
  </si>
  <si>
    <t>VD-112</t>
  </si>
  <si>
    <t>VD-113</t>
  </si>
  <si>
    <t>Pik up CRDE DC 2.2</t>
  </si>
  <si>
    <t>Sergio Rios</t>
  </si>
  <si>
    <t>VD-114</t>
  </si>
  <si>
    <t>Hermann San Martin</t>
  </si>
  <si>
    <t>VD-115</t>
  </si>
  <si>
    <t>Furgon</t>
  </si>
  <si>
    <t>Peugeot</t>
  </si>
  <si>
    <t>Partner 1.5D L1</t>
  </si>
  <si>
    <t>Rogelio Escudero</t>
  </si>
  <si>
    <t>VD-116</t>
  </si>
  <si>
    <t>Luciano Olivos</t>
  </si>
  <si>
    <t>VD-117</t>
  </si>
  <si>
    <t>Cesar Suarez</t>
  </si>
  <si>
    <t>VD-118</t>
  </si>
  <si>
    <t>Genesis Belmar Imas</t>
  </si>
  <si>
    <t>VD-119</t>
  </si>
  <si>
    <t>Cristóbal Nibaldo Martínez Parra</t>
  </si>
  <si>
    <t>VD-120</t>
  </si>
  <si>
    <t>VD-121</t>
  </si>
  <si>
    <t>Enrique Cristian Estay Llanos</t>
  </si>
  <si>
    <t>VD-122</t>
  </si>
  <si>
    <t>VD-123</t>
  </si>
  <si>
    <t>Raul Enriquez Salazar Orellana</t>
  </si>
  <si>
    <t>VD-124</t>
  </si>
  <si>
    <t>QUIRIHUE</t>
  </si>
  <si>
    <t>Francisco Gonzalez</t>
  </si>
  <si>
    <t>VD-125</t>
  </si>
  <si>
    <t>T60 2.0 AT</t>
  </si>
  <si>
    <t>Guillermo Contreras Vergara</t>
  </si>
  <si>
    <t>VD-126</t>
  </si>
  <si>
    <t>Teofilo Rodrigo Yañez Sepulveda</t>
  </si>
  <si>
    <t>VD-127</t>
  </si>
  <si>
    <t>Juan Jose Roco Lazcano</t>
  </si>
  <si>
    <t>VD-128</t>
  </si>
  <si>
    <t>Colbun</t>
  </si>
  <si>
    <t>Humberto Vasquez</t>
  </si>
  <si>
    <t>VD-129</t>
  </si>
  <si>
    <t>Felipe Andrés Gonzalez Gaete</t>
  </si>
  <si>
    <t>VD-130</t>
  </si>
  <si>
    <t>Daniel Sebastián Jaña Herrera</t>
  </si>
  <si>
    <t>VD-131</t>
  </si>
  <si>
    <t>Gustavo Aravena</t>
  </si>
  <si>
    <t>VD-132</t>
  </si>
  <si>
    <t>VD-133</t>
  </si>
  <si>
    <t>Luis Gutierrez</t>
  </si>
  <si>
    <t>VD-134</t>
  </si>
  <si>
    <t>Fernando Salomon Sobarzo Iraira</t>
  </si>
  <si>
    <t>VD-135</t>
  </si>
  <si>
    <t>Changan</t>
  </si>
  <si>
    <t>HUNTER 1.9 MT 4X4 COMFORT</t>
  </si>
  <si>
    <t>VD-136</t>
  </si>
  <si>
    <t>VD-137</t>
  </si>
  <si>
    <t>VD-138</t>
  </si>
  <si>
    <t>Matias Felipe Valenzuela Espina</t>
  </si>
  <si>
    <t>VD-139</t>
  </si>
  <si>
    <t>VD-140</t>
  </si>
  <si>
    <t>Mauricio Esteban Arancibia Flores</t>
  </si>
  <si>
    <t>VD-141</t>
  </si>
  <si>
    <t>T90 DCAB 4X2 2.0</t>
  </si>
  <si>
    <t>VD-29</t>
  </si>
  <si>
    <t>Minibus</t>
  </si>
  <si>
    <t>SPRINTER 313 CDI</t>
  </si>
  <si>
    <t>VD-38</t>
  </si>
  <si>
    <t>SPRINTER 415 CDI</t>
  </si>
  <si>
    <t>Gonzalo Bonilla</t>
  </si>
  <si>
    <t>VD-45</t>
  </si>
  <si>
    <t>SPRINTER 415 CDI 2.1</t>
  </si>
  <si>
    <t>Francisco Cumplido</t>
  </si>
  <si>
    <t>VD-57</t>
  </si>
  <si>
    <t>T60 DCAB 2.8</t>
  </si>
  <si>
    <t>Vendida</t>
  </si>
  <si>
    <t>VD-58</t>
  </si>
  <si>
    <t xml:space="preserve">	T60 DCAB 2.8</t>
  </si>
  <si>
    <t>En venta</t>
  </si>
  <si>
    <t>VD-59</t>
  </si>
  <si>
    <t>VD-60</t>
  </si>
  <si>
    <t>VD-62</t>
  </si>
  <si>
    <t>VD-63</t>
  </si>
  <si>
    <t>VD-64</t>
  </si>
  <si>
    <t>VD-65</t>
  </si>
  <si>
    <t>VD-67</t>
  </si>
  <si>
    <t>Edver Jose Torres Quinto</t>
  </si>
  <si>
    <t>VD-68</t>
  </si>
  <si>
    <t>T60 DCAB 2.9</t>
  </si>
  <si>
    <t>VD-69</t>
  </si>
  <si>
    <t>VD-70</t>
  </si>
  <si>
    <t>Vito 11 CDI</t>
  </si>
  <si>
    <t>VD-71</t>
  </si>
  <si>
    <t>Vito Tourer 114 CDI</t>
  </si>
  <si>
    <t>VD-73</t>
  </si>
  <si>
    <t>VITO 113 CDI</t>
  </si>
  <si>
    <t>VD-74</t>
  </si>
  <si>
    <t>ZX Auto</t>
  </si>
  <si>
    <t>TERRALORD DCAB 2.5</t>
  </si>
  <si>
    <t>VD-75</t>
  </si>
  <si>
    <t>Hector Palma</t>
  </si>
  <si>
    <t>VD-76</t>
  </si>
  <si>
    <t>VD-77</t>
  </si>
  <si>
    <t>Gustavo Tapia</t>
  </si>
  <si>
    <t>VD-78</t>
  </si>
  <si>
    <t>Julio Zolorza</t>
  </si>
  <si>
    <t>VD-79</t>
  </si>
  <si>
    <t>VD-80</t>
  </si>
  <si>
    <t>EXPERT HDI 2.0</t>
  </si>
  <si>
    <t>VD-81</t>
  </si>
  <si>
    <t>BERLINGO B9 C HDI 1.6</t>
  </si>
  <si>
    <t>VD-82</t>
  </si>
  <si>
    <t xml:space="preserve">Volkswagen </t>
  </si>
  <si>
    <t>SAVEIRO CABINA SIMPLE 1.6 MT POWER PLUS</t>
  </si>
  <si>
    <t>VD-83</t>
  </si>
  <si>
    <t>DOKKER III 1.5</t>
  </si>
  <si>
    <t>VD-84</t>
  </si>
  <si>
    <t>KANGOO 1.5</t>
  </si>
  <si>
    <t>Marcelino Antonio Silva Naranjo</t>
  </si>
  <si>
    <t>VD-85</t>
  </si>
  <si>
    <t>Luis Rios</t>
  </si>
  <si>
    <t>VD-86</t>
  </si>
  <si>
    <t>VD-87</t>
  </si>
  <si>
    <t>Ricardo Alfonso Vivanco Reyes</t>
  </si>
  <si>
    <t>VD-88</t>
  </si>
  <si>
    <t>Jorge Rebolledo</t>
  </si>
  <si>
    <t>VD-89</t>
  </si>
  <si>
    <t>Ivan Donoso</t>
  </si>
  <si>
    <t>VD-90</t>
  </si>
  <si>
    <t>Juan Medina</t>
  </si>
  <si>
    <t>VD-91</t>
  </si>
  <si>
    <t>Luis Suazo</t>
  </si>
  <si>
    <t>VD-92</t>
  </si>
  <si>
    <t>Rodrigo Rojo</t>
  </si>
  <si>
    <t>VD-93</t>
  </si>
  <si>
    <t>Matias Valenzuela</t>
  </si>
  <si>
    <t>VD-94</t>
  </si>
  <si>
    <t>Carlos Verdugo</t>
  </si>
  <si>
    <t>VD-95</t>
  </si>
  <si>
    <t>Alex Moreno</t>
  </si>
  <si>
    <t>VD-96</t>
  </si>
  <si>
    <t>Edver Torres</t>
  </si>
  <si>
    <t>VD-97</t>
  </si>
  <si>
    <t>Eduardo Jesus Rojas Rojas</t>
  </si>
  <si>
    <t>VD-98</t>
  </si>
  <si>
    <t>VD-99</t>
  </si>
  <si>
    <t>TALCA</t>
  </si>
  <si>
    <t>Bladimir Mendoza</t>
  </si>
  <si>
    <t>WED-05</t>
  </si>
  <si>
    <t>Semiremolque</t>
  </si>
  <si>
    <t>Netzer</t>
  </si>
  <si>
    <t>NS173</t>
  </si>
  <si>
    <t>WED-06</t>
  </si>
  <si>
    <t>Cozad</t>
  </si>
  <si>
    <t>Lowboy</t>
  </si>
  <si>
    <t>WED-07</t>
  </si>
  <si>
    <t>Eager Beaver</t>
  </si>
  <si>
    <t>50 GSL 3</t>
  </si>
  <si>
    <t>WED-08</t>
  </si>
  <si>
    <t>Leciena</t>
  </si>
  <si>
    <t>Ser 3ED</t>
  </si>
  <si>
    <t>VD-142</t>
  </si>
  <si>
    <t>T60 4x4</t>
  </si>
  <si>
    <t>LECTURAS (EDITABLE)</t>
  </si>
  <si>
    <t>Fecha</t>
  </si>
  <si>
    <t>Horometro</t>
  </si>
  <si>
    <t>Kilometraje</t>
  </si>
  <si>
    <t>Obra / Ubicacion</t>
  </si>
  <si>
    <t>Observacion</t>
  </si>
  <si>
    <t>CD-78</t>
  </si>
  <si>
    <t>ED-26</t>
  </si>
  <si>
    <t>Q-61</t>
  </si>
  <si>
    <t>Falto Filtro de Aire</t>
  </si>
  <si>
    <t>EQP-07</t>
  </si>
  <si>
    <t>Curico</t>
  </si>
  <si>
    <t>Villa Seca</t>
  </si>
  <si>
    <t>Elvis</t>
  </si>
  <si>
    <t>Sin report</t>
  </si>
  <si>
    <t>Carga combustible importada 2026-04-01</t>
  </si>
  <si>
    <t>Luis Miguel Sepulveda Uribe</t>
  </si>
  <si>
    <t>Felipe Medel Valdebenito</t>
  </si>
  <si>
    <t>Wladimir Gonzalo Mendoza Sepulveda</t>
  </si>
  <si>
    <t>Julio Solorza</t>
  </si>
  <si>
    <t>Juan Jose Miguel Aguilar Valdez</t>
  </si>
  <si>
    <t>Patricio Mena</t>
  </si>
  <si>
    <t>Patricio Arturo Rubilar Pereira</t>
  </si>
  <si>
    <t>Diego Andres Colihuinca Salas</t>
  </si>
  <si>
    <t>Hector Alejandro Morales Gonzalez</t>
  </si>
  <si>
    <t>Yonhy Octavio Castillo Esparza</t>
  </si>
  <si>
    <t>Fabian Andres Jara Gonzalez</t>
  </si>
  <si>
    <t>Miguel Angel Villar Mendez</t>
  </si>
  <si>
    <t>Cesar Antonio Reyes Villaseca</t>
  </si>
  <si>
    <t>Juan Carlos Contreras Herrera</t>
  </si>
  <si>
    <t>Bernardo Miguel Salinas Espinoza</t>
  </si>
  <si>
    <t>Gustavo Aravena Solis</t>
  </si>
  <si>
    <t>Pedro Alfonso Fuenzalida Yañez</t>
  </si>
  <si>
    <t>MANTENCIONES (EDITABLE)</t>
  </si>
  <si>
    <t>Tipo Mantencion</t>
  </si>
  <si>
    <t>Lectura</t>
  </si>
  <si>
    <t>EsPM</t>
  </si>
  <si>
    <t>Folio</t>
  </si>
  <si>
    <t>Lugar</t>
  </si>
  <si>
    <t>Proveedor</t>
  </si>
  <si>
    <t>Costo Mantencion CLP</t>
  </si>
  <si>
    <t>Estado</t>
  </si>
  <si>
    <t>Mantencion 250Hrs</t>
  </si>
  <si>
    <t>Sí</t>
  </si>
  <si>
    <t>Finalizada</t>
  </si>
  <si>
    <t>Tensar Correa Aire</t>
  </si>
  <si>
    <t>No</t>
  </si>
  <si>
    <t>C. Deslizaderas Balde</t>
  </si>
  <si>
    <t>Mantencion 300Hr</t>
  </si>
  <si>
    <t>R. Aceite 2.5Lt.</t>
  </si>
  <si>
    <t>C. Aceite Hidr. 20Lt</t>
  </si>
  <si>
    <t>Engrace Completo</t>
  </si>
  <si>
    <t>C. Balde Reforzado</t>
  </si>
  <si>
    <t>Mantencion 10mil</t>
  </si>
  <si>
    <t>SN</t>
  </si>
  <si>
    <t>Mantencion *</t>
  </si>
  <si>
    <t xml:space="preserve">R. Aceite Hidr. </t>
  </si>
  <si>
    <t>Bateria</t>
  </si>
  <si>
    <t>Mantencion 15000</t>
  </si>
  <si>
    <t>R. Aceite Hidr. 10Lt</t>
  </si>
  <si>
    <t>C. Past. Freno</t>
  </si>
  <si>
    <t>Mantencion</t>
  </si>
  <si>
    <t>AdBlue 30LT.</t>
  </si>
  <si>
    <t>AdBlue 40LT.</t>
  </si>
  <si>
    <t>C. Bateria 100A 12V</t>
  </si>
  <si>
    <t>Mantencion de 10000KM</t>
  </si>
  <si>
    <t>Ext</t>
  </si>
  <si>
    <t>R. Aceite Hidraulico</t>
  </si>
  <si>
    <t>nn</t>
  </si>
  <si>
    <t>Mantencion 10000Km</t>
  </si>
  <si>
    <t>Mantencion 15000Km</t>
  </si>
  <si>
    <t>Rosselot</t>
  </si>
  <si>
    <t>COM. PUENTES DE MAULE LTDA.</t>
  </si>
  <si>
    <t>SOCIEDAD COMERCIAL SOCOFIL LIMITADA</t>
  </si>
  <si>
    <t>H.V.O. COMERCIAL Y TRANSPORTES SPA</t>
  </si>
  <si>
    <t>HD HYUNDAI INFRACORE CHILE S.A</t>
  </si>
  <si>
    <t>UNIÓN TÉCNICA AUTOMOTRIZ LTDA.</t>
  </si>
  <si>
    <t>Mantencion 500Hrs</t>
  </si>
  <si>
    <t>Kaufmann</t>
  </si>
  <si>
    <t>KAUFMANN S A VEHICULOS MOTORIZADOS</t>
  </si>
  <si>
    <t>AUTOMOTORA ALAMEDA SPA</t>
  </si>
  <si>
    <t>Mantencion 10000</t>
  </si>
  <si>
    <t>Mantencion 15000KM</t>
  </si>
  <si>
    <t>Mantencion 10000KM</t>
  </si>
  <si>
    <t>COMPRAS PM (EDITABLE)</t>
  </si>
  <si>
    <t>OC</t>
  </si>
  <si>
    <t>Descripcion</t>
  </si>
  <si>
    <t>Costo PM CLP</t>
  </si>
  <si>
    <t>Regla</t>
  </si>
  <si>
    <t>Estado OC</t>
  </si>
  <si>
    <t>DEMO-02-7629</t>
  </si>
  <si>
    <t>FILTRO COMBUSTIBLE CD-69</t>
  </si>
  <si>
    <t>DISTRIBUIDORA SOS FILTROS SpA</t>
  </si>
  <si>
    <t>Directo Equipo</t>
  </si>
  <si>
    <t>OC Cancelada</t>
  </si>
  <si>
    <t>DEMO-02-7633</t>
  </si>
  <si>
    <t>SC-2-6076 KIT FILTROS PEUGEOT</t>
  </si>
  <si>
    <t>Preventivo sin equipo</t>
  </si>
  <si>
    <t>OC Aprobada</t>
  </si>
  <si>
    <t>DEMO-02-7642</t>
  </si>
  <si>
    <t>SC-02-6084 KIT DE FILTROS MANTENCIO</t>
  </si>
  <si>
    <t>Prorrateo MAN</t>
  </si>
  <si>
    <t>DEMO-02-7643</t>
  </si>
  <si>
    <t>SC-02-6085 KIT DE FILTROS MANTENCIO</t>
  </si>
  <si>
    <t>DEMO-02-7652</t>
  </si>
  <si>
    <t>SC-02 KIT DE FILTROS SCANIA CD-69</t>
  </si>
  <si>
    <t>DEMO-02-7664</t>
  </si>
  <si>
    <t>CD-45</t>
  </si>
  <si>
    <t>SC-02-FILTROS CD-45</t>
  </si>
  <si>
    <t>DEMO-02-7663</t>
  </si>
  <si>
    <t>SALINAS Y FABRES</t>
  </si>
  <si>
    <t>OC Enviada a Proveedor</t>
  </si>
  <si>
    <t>DEMO-02-7668</t>
  </si>
  <si>
    <t>SC-02-6089 KIT DE FILTROS CD-119</t>
  </si>
  <si>
    <t>DEMO-02-7672</t>
  </si>
  <si>
    <t>SC-02-6090 FILTROS CD-88</t>
  </si>
  <si>
    <t>DEMO-02-7676</t>
  </si>
  <si>
    <t>SC-02-6093 KIT FILTROS MD-84</t>
  </si>
  <si>
    <t>DEMO-02-7682</t>
  </si>
  <si>
    <t>SC-02-FILTROS CAMIONES MAN (STOCK T</t>
  </si>
  <si>
    <t>DEMO-02-7686</t>
  </si>
  <si>
    <t>SC-02-6095 KIR FILTROS VD-29</t>
  </si>
  <si>
    <t>DEMO-02-7688</t>
  </si>
  <si>
    <t>FILTROS BOTELLA MAN</t>
  </si>
  <si>
    <t>FORTI SPA</t>
  </si>
  <si>
    <t>DEMO-02-7690</t>
  </si>
  <si>
    <t>MANTENCION VD-125</t>
  </si>
  <si>
    <t>DEMO-02-7692</t>
  </si>
  <si>
    <t>SC-02-6096 KIT FILTROS CD-110</t>
  </si>
  <si>
    <t>DEMO-02-7696</t>
  </si>
  <si>
    <t>SC-02-6097 KIT FILTROS CD-98</t>
  </si>
  <si>
    <t>DEMO-02-7699</t>
  </si>
  <si>
    <t>SC-02 FILTRO AIRE PRIM Y SEC. CD-69</t>
  </si>
  <si>
    <t>DEMO-02-7706</t>
  </si>
  <si>
    <t>SC-02-KIT FILTROS CD-86</t>
  </si>
  <si>
    <t>DEMO-02-7707</t>
  </si>
  <si>
    <t>SC-02-6119 REG. MANTENCION VD-108 O</t>
  </si>
  <si>
    <t>ROSSELOT Y FIGUEROA LIMITADA</t>
  </si>
  <si>
    <t>DEMO-02-7715</t>
  </si>
  <si>
    <t>SC-02-6103 KIT DE FILTROS MD-96</t>
  </si>
  <si>
    <t>DEMO-02-7720</t>
  </si>
  <si>
    <t>SC-02 MANTENCION INYECTORES CD-107</t>
  </si>
  <si>
    <t>SERVICIOS Y REPUESTOS FRANCO ALVAREZ E.I.R.L.</t>
  </si>
  <si>
    <t>DEMO-02-7732</t>
  </si>
  <si>
    <t>SC-02-6105 KIT FILTROS CD-116</t>
  </si>
  <si>
    <t>DEMO-02-7736</t>
  </si>
  <si>
    <t>SC-02-6101 FILTROS MD-75</t>
  </si>
  <si>
    <t>DEMO-02-7737</t>
  </si>
  <si>
    <t>DEMO-02-7738</t>
  </si>
  <si>
    <t>SC-02-6104 FILTROS MANTENCION CD-71</t>
  </si>
  <si>
    <t>DEMO-02-7745</t>
  </si>
  <si>
    <t>SC-02-KIT FILTROS CD-93</t>
  </si>
  <si>
    <t>DEMO-02-7746</t>
  </si>
  <si>
    <t>SC-02- KIT DE FILTROS CD-51</t>
  </si>
  <si>
    <t>DEMO-02-7748</t>
  </si>
  <si>
    <t>SC-02 KIT DE FILTROS CD-96</t>
  </si>
  <si>
    <t>DEMO-02-7758</t>
  </si>
  <si>
    <t>SC-02-6108 KIT FILTROS MD-79</t>
  </si>
  <si>
    <t>DEMO-02-7759</t>
  </si>
  <si>
    <t>SC-02-6107 KIT FILTROS CD-113</t>
  </si>
  <si>
    <t>DEMO-02-7769</t>
  </si>
  <si>
    <t>SC-02-6109 KIT FILTROS MD-25</t>
  </si>
  <si>
    <t>DEMO-02-7782</t>
  </si>
  <si>
    <t>SC-02-6110 KIT FILTROS MD-103</t>
  </si>
  <si>
    <t>DEMO-02-7785</t>
  </si>
  <si>
    <t>SC-02- MANTENCION INYECTORES MD-56</t>
  </si>
  <si>
    <t>VENTA Y SERVICIOS DE MANTENIMIENTO DE MAQUINARIAS LIMITADA</t>
  </si>
  <si>
    <t>DEMO-02-7786</t>
  </si>
  <si>
    <t>SC-02-6111 FILTROS MD-39</t>
  </si>
  <si>
    <t>DEMO-02-7788</t>
  </si>
  <si>
    <t>SC-02-6112 FILTROS CD-123/122/91</t>
  </si>
  <si>
    <t>DEMO-02-7789</t>
  </si>
  <si>
    <t>SC-02-FILTRO HIDRAULICO CD-122/123/</t>
  </si>
  <si>
    <t>DEMO-02-7790</t>
  </si>
  <si>
    <t>SC-02-6118 FILTROS CD-94</t>
  </si>
  <si>
    <t>DEMO-02-7792</t>
  </si>
  <si>
    <t>SC-02 MANTENCION VD-89</t>
  </si>
  <si>
    <t>DEMO-02-7801</t>
  </si>
  <si>
    <t>SC-02-6113 FILTROS MD-89</t>
  </si>
  <si>
    <t>DEMO-02-7802</t>
  </si>
  <si>
    <t>SC-02-6150 FILTROS MD-61 MD-28</t>
  </si>
  <si>
    <t>DEMO-02-7803</t>
  </si>
  <si>
    <t>CD-14</t>
  </si>
  <si>
    <t>SC-02-6114 FILTROS MANTENCION CD-14</t>
  </si>
  <si>
    <t>DEMO-02-7804</t>
  </si>
  <si>
    <t>SC-02-6116 FILTROS MANTENCION MD-49</t>
  </si>
  <si>
    <t>DEMO-02-7809</t>
  </si>
  <si>
    <t>SC-02-6137 FILTROS MD-107</t>
  </si>
  <si>
    <t>DEMO-02-7811</t>
  </si>
  <si>
    <t>SC-02-6151 KIT FILTROS MD-87</t>
  </si>
  <si>
    <t>DEMO-02-7817</t>
  </si>
  <si>
    <t>SC-02-6121 FILTROS MD-26</t>
  </si>
  <si>
    <t>DEMO-02-7818</t>
  </si>
  <si>
    <t>SC-02-6117 FILTROS MD-73</t>
  </si>
  <si>
    <t>DEMO-02-7819</t>
  </si>
  <si>
    <t>SC-02-6124 FILTROS CD-100</t>
  </si>
  <si>
    <t>DEMO-02-7820</t>
  </si>
  <si>
    <t>SC-02-6127 FILTROS MD-100</t>
  </si>
  <si>
    <t>DEMO-02-7825</t>
  </si>
  <si>
    <t>SC-02-6122 FILTROS  ZXAUTOS</t>
  </si>
  <si>
    <t>DEMO-02-7826</t>
  </si>
  <si>
    <t>SC-02 FILTRO  MD-25  MD-107</t>
  </si>
  <si>
    <t>DEMO-02-7830</t>
  </si>
  <si>
    <t>SC-02 MANTENCION  EXTERNA VD-138</t>
  </si>
  <si>
    <t>DEMO-02-7833</t>
  </si>
  <si>
    <t>SC-02-6115 FILTROS VD-38</t>
  </si>
  <si>
    <t>DEMO-02-7835</t>
  </si>
  <si>
    <t>SC-02-6138 FILTROS MD-82</t>
  </si>
  <si>
    <t>DEMO-02-7836</t>
  </si>
  <si>
    <t>SC-02-6135 FILTROS MD-105</t>
  </si>
  <si>
    <t>DEMO-02-7837</t>
  </si>
  <si>
    <t>SC-02-6136 FILTROS MD-76</t>
  </si>
  <si>
    <t>DEMO-02-7838</t>
  </si>
  <si>
    <t>SC-02-6140 FILTROS CD-127</t>
  </si>
  <si>
    <t>DEMO-02-7839</t>
  </si>
  <si>
    <t>SC-02-6132 FILTROS MD-95</t>
  </si>
  <si>
    <t>DEMO-02-7841</t>
  </si>
  <si>
    <t>SC-02-6123 FILTROS MD-85</t>
  </si>
  <si>
    <t>DEMO-02-7847</t>
  </si>
  <si>
    <t>VD-1</t>
  </si>
  <si>
    <t>SC-02-6163 MANTENCION EXTERNA  VD-1</t>
  </si>
  <si>
    <t>DEMO-02-7866</t>
  </si>
  <si>
    <t>SC-02-6157 FILTROS EQP-7</t>
  </si>
  <si>
    <t>DEMO-02-7873</t>
  </si>
  <si>
    <t>SC-02-6171 FILTROS ED-61</t>
  </si>
  <si>
    <t>DEMO-02-7877</t>
  </si>
  <si>
    <t xml:space="preserve">SC-02 RETIRO DE FILTROS VACIOS </t>
  </si>
  <si>
    <t>VIA LIMPIA SPA</t>
  </si>
  <si>
    <t>DEMO-02-7891</t>
  </si>
  <si>
    <t>SC-02-6156 FILTROS EQP-7</t>
  </si>
  <si>
    <t>DEMO-02-7897</t>
  </si>
  <si>
    <t>SC-02-6178 KIT FILTROS CD-119</t>
  </si>
  <si>
    <t>DEMO-02-7900</t>
  </si>
  <si>
    <t>SC-02-6177 FILTROS HID. MAN</t>
  </si>
  <si>
    <t>DEMO-02-7901</t>
  </si>
  <si>
    <t>SC FILTROS ACEITE SEGUNDARIOS MAN</t>
  </si>
  <si>
    <t>DEMO-02-7902</t>
  </si>
  <si>
    <t>VD-13</t>
  </si>
  <si>
    <t>SC-02 6160 MANTENCION EXTERNA VD-13</t>
  </si>
  <si>
    <t>DEMO-02-7903</t>
  </si>
  <si>
    <t>SC-02-6176 FILTROS STOCK TALLER</t>
  </si>
  <si>
    <t>DEMO-02-7904</t>
  </si>
  <si>
    <t>SC-02-6154 FILTROS CD-109</t>
  </si>
  <si>
    <t>DEMO-02-7905</t>
  </si>
  <si>
    <t>SC-02 FILTRO HIDRAULICO EQP-7</t>
  </si>
  <si>
    <t>DEMO-02-7906</t>
  </si>
  <si>
    <t>SC-02-6147 FILTROS MD-104</t>
  </si>
  <si>
    <t>DEMO-02-7907</t>
  </si>
  <si>
    <t>SC-02 FILTROS MD-99</t>
  </si>
  <si>
    <t>DEMO-02-7908</t>
  </si>
  <si>
    <t>SC-02 KIT FILTROS CD-92</t>
  </si>
  <si>
    <t>DEMO-02-7910</t>
  </si>
  <si>
    <t>SC-02-6184 KIT FILTROS EQP-18</t>
  </si>
  <si>
    <t>DEMO-02-7911</t>
  </si>
  <si>
    <t>SC-02-6179 FILTROS EQP-16</t>
  </si>
  <si>
    <t>DEMO-02-7916</t>
  </si>
  <si>
    <t>SC-02-6173 FILTRO MD-70</t>
  </si>
  <si>
    <t>OC En Aprobación</t>
  </si>
  <si>
    <t>DEMO-02-7971</t>
  </si>
  <si>
    <t>SC-02 FILTROS MD-49</t>
  </si>
  <si>
    <t>DEMO-02-7969</t>
  </si>
  <si>
    <t>ED-74</t>
  </si>
  <si>
    <t>SC-FILTROS ED-74</t>
  </si>
  <si>
    <t>DEMO-02-7968</t>
  </si>
  <si>
    <t>SC-02 FILTRO AIRE SEC. MANN</t>
  </si>
  <si>
    <t>DEMO-02-7967</t>
  </si>
  <si>
    <t>SC-02 FILTRO SEPARADOR MD-57</t>
  </si>
  <si>
    <t>DEMO-02-7966</t>
  </si>
  <si>
    <t>SC-02 FILTROS ED-52</t>
  </si>
  <si>
    <t>DEMO-02-7965</t>
  </si>
  <si>
    <t>SC-02 FILTROS MD-46</t>
  </si>
  <si>
    <t>DEMO-02-7964</t>
  </si>
  <si>
    <t>SC-02 FILTROS CD-115</t>
  </si>
  <si>
    <t>DEMO-02-7961</t>
  </si>
  <si>
    <t>SC-02-FILTROS MD-83</t>
  </si>
  <si>
    <t>DEMO-02-7960</t>
  </si>
  <si>
    <t>SC-02 MANTENCION VD-97</t>
  </si>
  <si>
    <t>DEMO-02-7959</t>
  </si>
  <si>
    <t>SC-02 MANTENCION VD-140</t>
  </si>
  <si>
    <t>DEMO-02-7958</t>
  </si>
  <si>
    <t>SC-02 MANTENCION VD-130</t>
  </si>
  <si>
    <t>DEMO-02-7947</t>
  </si>
  <si>
    <t>SC-02-6185 FILTROS MD-83</t>
  </si>
  <si>
    <t>DEMO-02-7937</t>
  </si>
  <si>
    <t>SC-02-FILTROS CD-125</t>
  </si>
  <si>
    <t>DEMO-02-7936</t>
  </si>
  <si>
    <t>SC-02 FILTROS AIRE EQP-7</t>
  </si>
  <si>
    <t>DEMO-02-7935</t>
  </si>
  <si>
    <t>SC-02 FILTROS MD-100</t>
  </si>
  <si>
    <t>OC Cancelada por Solicitante</t>
  </si>
  <si>
    <t>DEMO-02-7930</t>
  </si>
  <si>
    <t>SC-02 FILTROS MD-5 CD-140 MD-26</t>
  </si>
  <si>
    <t>DEMO-02-8022</t>
  </si>
  <si>
    <t>SC-02 FILTROS ED-63</t>
  </si>
  <si>
    <t>DEMO-02-8021</t>
  </si>
  <si>
    <t>SC-02 FILTROS MD-57</t>
  </si>
  <si>
    <t>DEMO-02-8020</t>
  </si>
  <si>
    <t>SC-02 MANTENCION EXTERNA VD-128</t>
  </si>
  <si>
    <t>DEMO-02-7993</t>
  </si>
  <si>
    <t>SC-02 FILTROS CD-138</t>
  </si>
  <si>
    <t>DEMO-02-7992</t>
  </si>
  <si>
    <t>SC-02-FILTROS EQP-7  EQP-16</t>
  </si>
  <si>
    <t>DEMO-02-7988</t>
  </si>
  <si>
    <t>SC-02 FILTROS CD-68</t>
  </si>
  <si>
    <t>DEMO-02-7983</t>
  </si>
  <si>
    <t>SC-02 FILTROS MD-85</t>
  </si>
  <si>
    <t>FINNING CHILE</t>
  </si>
  <si>
    <t>OC En Proceso</t>
  </si>
  <si>
    <t>DEMO-02-7980</t>
  </si>
  <si>
    <t>SC-02 FILTRO DECANTADOPR MD-76</t>
  </si>
  <si>
    <t>DEMO-02-7979</t>
  </si>
  <si>
    <t>SC-02 FILTROS VD-84</t>
  </si>
  <si>
    <t>DEMO-02-7978</t>
  </si>
  <si>
    <t>SC-02 FILTROS MD-105</t>
  </si>
  <si>
    <t>DEMO-02-8095</t>
  </si>
  <si>
    <t>PASTILLAS FRENO TRASERAS MAXUS</t>
  </si>
  <si>
    <t>211,991.36</t>
  </si>
  <si>
    <t>DEMO-02-8090</t>
  </si>
  <si>
    <t>SC-02 FILTRO EQP-18</t>
  </si>
  <si>
    <t>131,599.72</t>
  </si>
  <si>
    <t>DEMO-02-8085</t>
  </si>
  <si>
    <t>SC-02 FILTROS EQP-11</t>
  </si>
  <si>
    <t>176,399.98</t>
  </si>
  <si>
    <t>DEMO-02-8083</t>
  </si>
  <si>
    <t>SC-02 FILTROS MD-80</t>
  </si>
  <si>
    <t>DERCOMAQ SPA.</t>
  </si>
  <si>
    <t>332,797.78</t>
  </si>
  <si>
    <t>DEMO-02-8063</t>
  </si>
  <si>
    <t>SC-02 SER EXTER MANTEN VD-139</t>
  </si>
  <si>
    <t>209,386.45</t>
  </si>
  <si>
    <t>DEMO-02-8032</t>
  </si>
  <si>
    <t>SC-02 FILTROS MD-110</t>
  </si>
  <si>
    <t>DEMO-02-8027</t>
  </si>
  <si>
    <t>SC-02 FILTROS MD-93</t>
  </si>
  <si>
    <t>261,044.95</t>
  </si>
  <si>
    <t>DEMO-02-8026</t>
  </si>
  <si>
    <t>SC-02 FILTROS MD-97 MD-108</t>
  </si>
  <si>
    <t>640,331.86</t>
  </si>
  <si>
    <t>DEMO-02-8025</t>
  </si>
  <si>
    <t>SC-02 FILTROS MD-84 MD-87</t>
  </si>
  <si>
    <t>124,283.60</t>
  </si>
  <si>
    <t>126,877.80</t>
  </si>
  <si>
    <t>HD CONSTRUCTION EQUIPMENT CHILE S.A.</t>
  </si>
  <si>
    <t>55,490.89</t>
  </si>
  <si>
    <t>831,174.54</t>
  </si>
  <si>
    <t>DEMO-02-8018</t>
  </si>
  <si>
    <t xml:space="preserve">SC-02 SENSOR TEMPERATURA VD-108 </t>
  </si>
  <si>
    <t>JR SOLUCIONES AUTOMOTRICES SPA</t>
  </si>
  <si>
    <t>110,000.03</t>
  </si>
  <si>
    <t>DEMO-02-8115</t>
  </si>
  <si>
    <t>SC-02FILTROS MD-53</t>
  </si>
  <si>
    <t>BODEGA (EDITABLE)</t>
  </si>
  <si>
    <t>Equipo</t>
  </si>
  <si>
    <t>Envio</t>
  </si>
  <si>
    <t>Persona que retiro</t>
  </si>
  <si>
    <t>Destino</t>
  </si>
  <si>
    <t>Comentario</t>
  </si>
  <si>
    <t>Filtros Incompletos</t>
  </si>
  <si>
    <t>JC Celedon</t>
  </si>
  <si>
    <t>Filtro Secador de Aire</t>
  </si>
  <si>
    <t>Filtros Completos</t>
  </si>
  <si>
    <t>Osvaldo Faundez</t>
  </si>
  <si>
    <t>Filtro Completros</t>
  </si>
  <si>
    <t>Luis Valenzuela</t>
  </si>
  <si>
    <t>Marcos Soto</t>
  </si>
  <si>
    <t>Filtros Completros</t>
  </si>
  <si>
    <t>Se cambiaron y se compraron de nuevo el kit de aire motor</t>
  </si>
  <si>
    <t>Filtro Secador</t>
  </si>
  <si>
    <t>Manuel Ortiz</t>
  </si>
  <si>
    <t>Bernardo Salinas</t>
  </si>
  <si>
    <t>Filtro decantador / Filtro Combustible / Filtro Aceite</t>
  </si>
  <si>
    <t>Patricio Novoa</t>
  </si>
  <si>
    <t>Filtro de combustible / Filtro de Aceite</t>
  </si>
  <si>
    <t>Juan Roco</t>
  </si>
  <si>
    <t>Filtro decantador / Filtro Combustible</t>
  </si>
  <si>
    <t>Alejandro Poblete</t>
  </si>
  <si>
    <t>Aceite 15w40</t>
  </si>
  <si>
    <t>Juan San Martin</t>
  </si>
  <si>
    <t xml:space="preserve">Filtro de combustible </t>
  </si>
  <si>
    <t>Francisco Parra</t>
  </si>
  <si>
    <t>Filtros de Aire 1 y 2</t>
  </si>
  <si>
    <t xml:space="preserve">Jonathan Care </t>
  </si>
  <si>
    <t>Juan Celedon</t>
  </si>
  <si>
    <t>Roberto Tilleria</t>
  </si>
  <si>
    <t>Carlos Ramirez</t>
  </si>
  <si>
    <t>VD-28</t>
  </si>
  <si>
    <t>Juan Villalobos</t>
  </si>
  <si>
    <t>Maestro de Equipos</t>
  </si>
  <si>
    <t>Familia</t>
  </si>
  <si>
    <t>Ultima Fecha Lectura</t>
  </si>
  <si>
    <t>Ultimo Horometro</t>
  </si>
  <si>
    <t>Ultimo Kilometraje</t>
  </si>
  <si>
    <t>Lectura Actual</t>
  </si>
  <si>
    <t>Ultima Fecha PM</t>
  </si>
  <si>
    <t>Ultima PM</t>
  </si>
  <si>
    <t>Ultima Lectura PM</t>
  </si>
  <si>
    <t>Costo Mantenciones CLP</t>
  </si>
  <si>
    <t>Costo Compras PM CLP</t>
  </si>
  <si>
    <t>Costo Total PM CLP</t>
  </si>
  <si>
    <t>Estado Operacional</t>
  </si>
  <si>
    <t>Estado CMMS</t>
  </si>
  <si>
    <t>Dias a Proxima Mantencion</t>
  </si>
  <si>
    <t>Fecha Est. Proxima Mantencion</t>
  </si>
  <si>
    <t>Fecha Compra PM</t>
  </si>
  <si>
    <t>Fecha Salida Bodega</t>
  </si>
  <si>
    <t>Tiempo Compra → Mantención</t>
  </si>
  <si>
    <t>Tiempo Bodega → Mantención</t>
  </si>
  <si>
    <t>Estado Bodega → Mantención</t>
  </si>
  <si>
    <t>Estado Operativo Real</t>
  </si>
  <si>
    <t>Prioridad Taller</t>
  </si>
  <si>
    <t>Acción Sugerida</t>
  </si>
  <si>
    <t>_CompraRequerida</t>
  </si>
  <si>
    <t>_OrdenCompra</t>
  </si>
  <si>
    <t>Criticidad</t>
  </si>
  <si>
    <t>Camiones de Ruta</t>
  </si>
  <si>
    <t>Maquinaria Pesada</t>
  </si>
  <si>
    <t>Carlos Ramos</t>
  </si>
  <si>
    <t>Jose Andaur</t>
  </si>
  <si>
    <t>Gerardo Beltran</t>
  </si>
  <si>
    <t>Vehículos Livianos</t>
  </si>
  <si>
    <t>Sin Asignar</t>
  </si>
  <si>
    <t xml:space="preserve">Nelson Cancino </t>
  </si>
  <si>
    <t>Teofilo Yañez</t>
  </si>
  <si>
    <t>Jorge Herrera</t>
  </si>
  <si>
    <t>Raul Salazar</t>
  </si>
  <si>
    <t>Eduardo Peñailillo</t>
  </si>
  <si>
    <t>Mauricio Saldias</t>
  </si>
  <si>
    <t>Claudio Medel</t>
  </si>
  <si>
    <t>Francisco Barrueto</t>
  </si>
  <si>
    <t>Ricardo Briceño</t>
  </si>
  <si>
    <t>Luis Sepulveda</t>
  </si>
  <si>
    <t>Samuel De Guevara</t>
  </si>
  <si>
    <t>Sebastian Saavedra</t>
  </si>
  <si>
    <t>210 LC</t>
  </si>
  <si>
    <t>Rene Yañez</t>
  </si>
  <si>
    <t>Fernando Bravo</t>
  </si>
  <si>
    <t>Angel Vasquez</t>
  </si>
  <si>
    <t>German Rojas</t>
  </si>
  <si>
    <t>Ricardo Vivanco</t>
  </si>
  <si>
    <t>Guillermo Contreras</t>
  </si>
  <si>
    <t>Claudio Orostica</t>
  </si>
  <si>
    <t>Omar Rodriguez</t>
  </si>
  <si>
    <t>Jorge Carrillo</t>
  </si>
  <si>
    <t>Juan Carlos Contreras</t>
  </si>
  <si>
    <t>Francisco Hidalgo</t>
  </si>
  <si>
    <t>Patricio Mora</t>
  </si>
  <si>
    <t>Orlando Sanchez</t>
  </si>
  <si>
    <t>Vendido</t>
  </si>
  <si>
    <t>Jaime Morales</t>
  </si>
  <si>
    <t>Jonathan Cares</t>
  </si>
  <si>
    <t>PLAN DE MANTENCIONES</t>
  </si>
  <si>
    <t>Vista operativa con prioridad, compras, bodega y cierre de mantención. Actualización automática al abrir el archivo.</t>
  </si>
  <si>
    <t>Control</t>
  </si>
  <si>
    <t>Proxima Lectura Objetivo</t>
  </si>
  <si>
    <t>Dias Estimados</t>
  </si>
  <si>
    <t>Fecha Estimada</t>
  </si>
  <si>
    <t>Estado Operativo</t>
  </si>
  <si>
    <t>Costo Total PM</t>
  </si>
  <si>
    <t>Prioridad</t>
  </si>
  <si>
    <t>Tiempo Compra → Mant. (días)</t>
  </si>
  <si>
    <t>Tiempo Bodega → Mant. (días)</t>
  </si>
  <si>
    <t>Estado Bodega → Mant.</t>
  </si>
  <si>
    <t>En 90 dias</t>
  </si>
  <si>
    <t>PLANNER SEMANAL</t>
  </si>
  <si>
    <t>Semana Inicio</t>
  </si>
  <si>
    <t>Semana Fin</t>
  </si>
  <si>
    <t>Mantenciones</t>
  </si>
  <si>
    <t>Costo PM OC CLP</t>
  </si>
  <si>
    <t>ATRASADA</t>
  </si>
  <si>
    <t>CMMS DEMOTRON</t>
  </si>
  <si>
    <t>Total equipos</t>
  </si>
  <si>
    <t>Operativos</t>
  </si>
  <si>
    <t>Fuera de servicio</t>
  </si>
  <si>
    <t>Atrasados</t>
  </si>
  <si>
    <t>Próximas</t>
  </si>
  <si>
    <t>Por recibir</t>
  </si>
  <si>
    <t>En proceso</t>
  </si>
  <si>
    <t>Al día</t>
  </si>
  <si>
    <t>En Taller</t>
  </si>
  <si>
    <t>% cumplimiento real</t>
  </si>
  <si>
    <t>% controlado</t>
  </si>
  <si>
    <t>% backlog crítico</t>
  </si>
  <si>
    <t>Costo total PM</t>
  </si>
  <si>
    <t>% DISPONIBILIDAD REAL</t>
  </si>
  <si>
    <t>Prom. compra→mant.</t>
  </si>
  <si>
    <t>Prom. bodega→mant.</t>
  </si>
  <si>
    <t>Sin historial PM</t>
  </si>
  <si>
    <t>Backlog compra</t>
  </si>
  <si>
    <t>Actualizado</t>
  </si>
  <si>
    <t>Tiempo de Compra</t>
  </si>
  <si>
    <t>Cantidad</t>
  </si>
  <si>
    <t>Semana</t>
  </si>
  <si>
    <t>Ubicación</t>
  </si>
  <si>
    <t>Cantidad Equipos</t>
  </si>
  <si>
    <t>AL DÍA</t>
  </si>
  <si>
    <t>PRÓXIMA</t>
  </si>
  <si>
    <t>EN PROCESO</t>
  </si>
  <si>
    <t>POR RECIBIR</t>
  </si>
  <si>
    <t>EN TALLER</t>
  </si>
  <si>
    <t>FUERA DE SERVICIO</t>
  </si>
  <si>
    <t>VD-39</t>
  </si>
  <si>
    <t>Taler</t>
  </si>
  <si>
    <t>Claudio Ramirez</t>
  </si>
  <si>
    <t>Sebastian Lastra</t>
  </si>
  <si>
    <t>DEMO-02-8217</t>
  </si>
  <si>
    <t>DEMO-02-8210</t>
  </si>
  <si>
    <t>DEMO-02-8206</t>
  </si>
  <si>
    <t>DEMO-02-8172</t>
  </si>
  <si>
    <t>DEMO-02-8163</t>
  </si>
  <si>
    <t>DEMO-02-8136</t>
  </si>
  <si>
    <t>DEMO-02-8131</t>
  </si>
  <si>
    <t>DEMO-02-8113</t>
  </si>
  <si>
    <t>SC-02 FILTRO CD-113</t>
  </si>
  <si>
    <t>SC-02 FILTROS CD-108</t>
  </si>
  <si>
    <t>SC-02 FILTROS MAXUS</t>
  </si>
  <si>
    <t xml:space="preserve">SC-02 REG FACTURA 116465  VD-84 </t>
  </si>
  <si>
    <t>SC REGUL FACTURA 116482 ED-73</t>
  </si>
  <si>
    <t>SC-02 FILTROS CD-136</t>
  </si>
  <si>
    <t xml:space="preserve">SC-02 FILTROS ZX </t>
  </si>
  <si>
    <t>SC-02 FILTROS MANT. PEUGEOT PARTNER</t>
  </si>
  <si>
    <t>DEMO-02-8218</t>
  </si>
  <si>
    <t>DEMO-02-8129</t>
  </si>
  <si>
    <t>DEMO-02-8121</t>
  </si>
  <si>
    <t>SC-02 FILTROS CD-137</t>
  </si>
  <si>
    <t>SC-02 FILTROS CD-114</t>
  </si>
  <si>
    <t>SC-02 FILTROS MD-36</t>
  </si>
  <si>
    <t>NO ENCONTRADO</t>
  </si>
  <si>
    <t>CD-59</t>
  </si>
  <si>
    <t>CD-64</t>
  </si>
  <si>
    <t>CD-63</t>
  </si>
  <si>
    <t>VD-72</t>
  </si>
  <si>
    <t>CD-79</t>
  </si>
  <si>
    <t>ED-53</t>
  </si>
  <si>
    <t>CD-77</t>
  </si>
  <si>
    <t>CD-66</t>
  </si>
  <si>
    <t>MD-40</t>
  </si>
  <si>
    <t>MD-34</t>
  </si>
  <si>
    <t>MD-63</t>
  </si>
  <si>
    <t>CD-76</t>
  </si>
  <si>
    <t>VD-06</t>
  </si>
  <si>
    <t>VD-55</t>
  </si>
  <si>
    <t>CD-83</t>
  </si>
  <si>
    <t>CD-58</t>
  </si>
  <si>
    <t>MD-60</t>
  </si>
  <si>
    <t>MALO</t>
  </si>
  <si>
    <t>Pendiente de Reporte</t>
  </si>
  <si>
    <t>Pendientes</t>
  </si>
  <si>
    <t xml:space="preserve">SAN NICOLAS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</si>
</sst>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[$$-340A]* #,##0.00_ ;_ [$$-340A]* \-#,##0.00_ ;_ [$$-340A]* \-??_ ;_ @_ "/>
    <numFmt numFmtId="165" formatCode="dd\-mm\-yyyy"/>
    <numFmt numFmtId="166" formatCode="\$#,##0"/>
    <numFmt numFmtId="167" formatCode="dd\-mm\-yyyy\ hh:mm"/>
    <numFmt numFmtId="168" formatCode="0.0%"/>
    <numFmt numFmtId="169" formatCode="0.0"/>
    <numFmt numFmtId="170" formatCode="_ [$$-340A]* #,##0.00_ ;_ [$$-340A]* \-#,##0.00_ ;_ [$$-340A]* &quot;-&quot;??_ ;_ @_ "/>
  </numFmts>
  <fonts count="24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charset val="1"/>
    </font>
    <font>
      <b/>
      <sz val="20"/>
      <color theme="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8"/>
      <color rgb="FFFFFFFF"/>
      <name val="Calibri"/>
      <family val="2"/>
      <charset val="1"/>
    </font>
    <font>
      <b/>
      <sz val="16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</font>
    <font>
      <sz val="11"/>
      <color theme="0"/>
      <name val="Calibri"/>
      <family val="2"/>
      <charset val="1"/>
    </font>
    <font>
      <sz val="11"/>
      <color theme="1"/>
      <name val="Calibri"/>
      <family val="2"/>
    </font>
    <font>
      <sz val="11"/>
      <name val="Calibri"/>
      <family val="2"/>
    </font>
    <font>
      <sz val="8"/>
      <name val="Calibri"/>
      <family val="2"/>
      <charset val="1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color rgb="FF242424"/>
      <name val="Aptos Narrow"/>
      <family val="2"/>
    </font>
    <font>
      <b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6365C"/>
        <bgColor rgb="FF17375E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16365C"/>
      </patternFill>
    </fill>
    <fill>
      <patternFill patternType="solid">
        <fgColor theme="3" tint="-0.249977111117893"/>
        <bgColor rgb="FF16365C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rgb="FF00808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9" fontId="22" fillId="0" borderId="0" applyFont="0" applyFill="0" applyBorder="0" applyAlignment="0" applyProtection="0"/>
  </cellStyleXfs>
  <cellXfs count="105">
    <xf numFmtId="0" fontId="0" fillId="0" borderId="0" xfId="0"/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14" fontId="3" fillId="2" borderId="0" xfId="0" applyNumberFormat="1" applyFont="1" applyFill="1" applyAlignment="1">
      <alignment horizontal="center" wrapText="1"/>
    </xf>
    <xf numFmtId="0" fontId="0" fillId="0" borderId="0" xfId="0" applyFont="1" applyAlignment="1">
      <alignment horizontal="left"/>
    </xf>
    <xf numFmtId="164" fontId="0" fillId="0" borderId="0" xfId="0" applyNumberFormat="1"/>
    <xf numFmtId="164" fontId="3" fillId="2" borderId="0" xfId="0" applyNumberFormat="1" applyFont="1" applyFill="1" applyAlignment="1">
      <alignment horizontal="center" wrapText="1"/>
    </xf>
    <xf numFmtId="14" fontId="0" fillId="3" borderId="0" xfId="0" applyNumberFormat="1" applyFill="1"/>
    <xf numFmtId="0" fontId="0" fillId="3" borderId="0" xfId="0" applyFont="1" applyFill="1"/>
    <xf numFmtId="165" fontId="0" fillId="0" borderId="0" xfId="0" applyNumberFormat="1"/>
    <xf numFmtId="165" fontId="0" fillId="3" borderId="0" xfId="0" applyNumberFormat="1" applyFill="1"/>
    <xf numFmtId="0" fontId="0" fillId="4" borderId="0" xfId="0" applyFill="1"/>
    <xf numFmtId="0" fontId="3" fillId="2" borderId="0" xfId="0" applyFont="1" applyFill="1"/>
    <xf numFmtId="0" fontId="4" fillId="2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165" fontId="6" fillId="0" borderId="1" xfId="0" applyNumberFormat="1" applyFont="1" applyBorder="1"/>
    <xf numFmtId="166" fontId="6" fillId="0" borderId="1" xfId="0" applyNumberFormat="1" applyFont="1" applyBorder="1"/>
    <xf numFmtId="14" fontId="6" fillId="0" borderId="2" xfId="0" applyNumberFormat="1" applyFont="1" applyBorder="1"/>
    <xf numFmtId="0" fontId="6" fillId="0" borderId="2" xfId="0" applyFont="1" applyBorder="1"/>
    <xf numFmtId="0" fontId="7" fillId="0" borderId="0" xfId="0" applyFont="1"/>
    <xf numFmtId="14" fontId="6" fillId="0" borderId="1" xfId="0" applyNumberFormat="1" applyFont="1" applyBorder="1"/>
    <xf numFmtId="1" fontId="6" fillId="0" borderId="1" xfId="0" applyNumberFormat="1" applyFont="1" applyBorder="1"/>
    <xf numFmtId="0" fontId="8" fillId="0" borderId="0" xfId="0" applyFont="1"/>
    <xf numFmtId="14" fontId="6" fillId="0" borderId="3" xfId="0" applyNumberFormat="1" applyFont="1" applyBorder="1"/>
    <xf numFmtId="0" fontId="6" fillId="0" borderId="3" xfId="0" applyFont="1" applyBorder="1"/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left" vertical="center" wrapText="1"/>
    </xf>
    <xf numFmtId="166" fontId="0" fillId="0" borderId="0" xfId="0" applyNumberFormat="1"/>
    <xf numFmtId="0" fontId="11" fillId="6" borderId="0" xfId="0" applyFont="1" applyFill="1"/>
    <xf numFmtId="0" fontId="12" fillId="6" borderId="0" xfId="0" applyFont="1" applyFill="1"/>
    <xf numFmtId="170" fontId="0" fillId="0" borderId="0" xfId="0" applyNumberFormat="1"/>
    <xf numFmtId="0" fontId="13" fillId="4" borderId="0" xfId="0" applyFont="1" applyFill="1"/>
    <xf numFmtId="0" fontId="13" fillId="4" borderId="0" xfId="0" applyFont="1" applyFill="1" applyAlignment="1">
      <alignment wrapText="1"/>
    </xf>
    <xf numFmtId="0" fontId="13" fillId="5" borderId="0" xfId="0" applyFont="1" applyFill="1"/>
    <xf numFmtId="14" fontId="0" fillId="0" borderId="0" xfId="0" applyNumberFormat="1"/>
    <xf numFmtId="0" fontId="0" fillId="0" borderId="0" xfId="0" applyNumberFormat="1"/>
    <xf numFmtId="14" fontId="14" fillId="0" borderId="0" xfId="0" applyNumberFormat="1" applyFont="1"/>
    <xf numFmtId="0" fontId="14" fillId="0" borderId="0" xfId="0" applyFont="1"/>
    <xf numFmtId="0" fontId="15" fillId="0" borderId="0" xfId="0" applyFont="1"/>
    <xf numFmtId="170" fontId="14" fillId="0" borderId="0" xfId="0" applyNumberFormat="1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/>
    <xf numFmtId="0" fontId="6" fillId="0" borderId="1" xfId="0" applyFont="1" applyBorder="1" applyAlignment="1">
      <alignment wrapText="1"/>
    </xf>
    <xf numFmtId="0" fontId="0" fillId="10" borderId="0" xfId="0" applyFill="1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170" fontId="0" fillId="3" borderId="0" xfId="0" applyNumberFormat="1" applyFill="1"/>
    <xf numFmtId="14" fontId="3" fillId="2" borderId="0" xfId="0" applyNumberFormat="1" applyFont="1" applyFill="1"/>
    <xf numFmtId="14" fontId="4" fillId="2" borderId="0" xfId="0" applyNumberFormat="1" applyFont="1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/>
    <xf numFmtId="2" fontId="0" fillId="0" borderId="4" xfId="0" applyNumberFormat="1" applyBorder="1"/>
    <xf numFmtId="0" fontId="0" fillId="0" borderId="0" xfId="0" applyBorder="1"/>
    <xf numFmtId="2" fontId="0" fillId="0" borderId="0" xfId="0" applyNumberFormat="1" applyBorder="1"/>
    <xf numFmtId="1" fontId="0" fillId="0" borderId="4" xfId="0" applyNumberFormat="1" applyBorder="1"/>
    <xf numFmtId="1" fontId="0" fillId="0" borderId="0" xfId="0" applyNumberFormat="1" applyBorder="1"/>
    <xf numFmtId="14" fontId="1" fillId="0" borderId="3" xfId="1" applyNumberFormat="1" applyFont="1" applyBorder="1"/>
    <xf numFmtId="14" fontId="0" fillId="0" borderId="4" xfId="0" applyNumberFormat="1" applyBorder="1"/>
    <xf numFmtId="14" fontId="0" fillId="0" borderId="0" xfId="0" applyNumberFormat="1" applyBorder="1"/>
    <xf numFmtId="0" fontId="0" fillId="11" borderId="0" xfId="0" applyFill="1"/>
    <xf numFmtId="14" fontId="0" fillId="11" borderId="0" xfId="0" applyNumberFormat="1" applyFill="1"/>
    <xf numFmtId="0" fontId="0" fillId="11" borderId="0" xfId="0" applyFill="1" applyAlignment="1">
      <alignment horizontal="center" vertical="center"/>
    </xf>
    <xf numFmtId="170" fontId="0" fillId="11" borderId="0" xfId="0" applyNumberFormat="1" applyFill="1"/>
    <xf numFmtId="166" fontId="0" fillId="11" borderId="0" xfId="0" applyNumberFormat="1" applyFill="1" applyAlignment="1">
      <alignment horizontal="center" vertical="center"/>
    </xf>
    <xf numFmtId="14" fontId="0" fillId="11" borderId="0" xfId="0" applyNumberFormat="1" applyFill="1" applyAlignment="1">
      <alignment horizontal="center" vertical="center"/>
    </xf>
    <xf numFmtId="165" fontId="0" fillId="11" borderId="0" xfId="0" applyNumberFormat="1" applyFill="1" applyAlignment="1">
      <alignment horizontal="center" vertical="center"/>
    </xf>
    <xf numFmtId="1" fontId="0" fillId="11" borderId="0" xfId="0" applyNumberFormat="1" applyFill="1" applyAlignment="1">
      <alignment horizontal="center" vertical="center"/>
    </xf>
    <xf numFmtId="166" fontId="0" fillId="11" borderId="0" xfId="0" applyNumberFormat="1" applyFill="1" applyAlignment="1">
      <alignment horizontal="left" vertical="center" wrapText="1"/>
    </xf>
    <xf numFmtId="2" fontId="6" fillId="0" borderId="1" xfId="0" applyNumberFormat="1" applyFont="1" applyBorder="1"/>
    <xf numFmtId="2" fontId="0" fillId="0" borderId="0" xfId="0" applyNumberFormat="1"/>
    <xf numFmtId="2" fontId="3" fillId="2" borderId="0" xfId="0" applyNumberFormat="1" applyFont="1" applyFill="1"/>
    <xf numFmtId="14" fontId="0" fillId="0" borderId="0" xfId="0" applyNumberFormat="1"/>
    <xf numFmtId="14" fontId="0" fillId="0" borderId="4" xfId="0" applyNumberFormat="1" applyBorder="1"/>
    <xf numFmtId="1" fontId="0" fillId="0" borderId="0" xfId="0" applyNumberFormat="1"/>
    <xf numFmtId="1" fontId="3" fillId="2" borderId="0" xfId="0" applyNumberFormat="1" applyFont="1" applyFill="1"/>
    <xf numFmtId="0" fontId="2" fillId="2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8" borderId="0" xfId="0" applyFont="1" applyFill="1" applyAlignment="1">
      <alignment horizontal="center" wrapText="1"/>
    </xf>
    <xf numFmtId="168" fontId="18" fillId="0" borderId="0" xfId="2" applyNumberFormat="1" applyFont="1" applyAlignment="1">
      <alignment horizontal="center" vertical="center"/>
    </xf>
    <xf numFmtId="0" fontId="21" fillId="9" borderId="0" xfId="0" applyFont="1" applyFill="1" applyAlignment="1">
      <alignment horizontal="center" vertical="center" wrapText="1"/>
    </xf>
    <xf numFmtId="0" fontId="3" fillId="7" borderId="0" xfId="0" applyFont="1" applyFill="1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169" fontId="10" fillId="0" borderId="0" xfId="0" applyNumberFormat="1" applyFont="1" applyBorder="1" applyAlignment="1">
      <alignment horizontal="center" vertical="center" wrapText="1"/>
    </xf>
    <xf numFmtId="0" fontId="10" fillId="0" borderId="0" xfId="2" applyNumberFormat="1" applyFont="1" applyBorder="1" applyAlignment="1">
      <alignment horizontal="center" vertical="center" wrapText="1"/>
    </xf>
    <xf numFmtId="3" fontId="10" fillId="0" borderId="0" xfId="0" applyNumberFormat="1" applyFont="1" applyBorder="1" applyAlignment="1">
      <alignment horizontal="center" vertical="center" wrapText="1"/>
    </xf>
    <xf numFmtId="0" fontId="23" fillId="7" borderId="0" xfId="0" applyFont="1" applyFill="1" applyBorder="1" applyAlignment="1">
      <alignment horizontal="center"/>
    </xf>
    <xf numFmtId="168" fontId="10" fillId="0" borderId="0" xfId="0" applyNumberFormat="1" applyFont="1" applyBorder="1" applyAlignment="1">
      <alignment horizontal="center" vertical="center" wrapText="1"/>
    </xf>
    <xf numFmtId="10" fontId="10" fillId="0" borderId="0" xfId="0" applyNumberFormat="1" applyFont="1" applyBorder="1" applyAlignment="1">
      <alignment horizontal="center" vertical="center" wrapText="1"/>
    </xf>
    <xf numFmtId="164" fontId="10" fillId="0" borderId="0" xfId="0" applyNumberFormat="1" applyFont="1" applyBorder="1" applyAlignment="1">
      <alignment horizontal="center" vertical="center" wrapText="1"/>
    </xf>
    <xf numFmtId="0" fontId="17" fillId="8" borderId="0" xfId="0" applyFont="1" applyFill="1" applyAlignment="1">
      <alignment horizontal="center"/>
    </xf>
    <xf numFmtId="169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3">
    <cellStyle name="Hyperlink 1" xfId="1" xr:uid="{00000000-0005-0000-0000-000006000000}"/>
    <cellStyle name="Normal" xfId="0" builtinId="0"/>
    <cellStyle name="Porcentaje" xfId="2" builtinId="5"/>
  </cellStyles>
  <dxfs count="34">
    <dxf>
      <numFmt numFmtId="1" formatCode="0"/>
    </dxf>
    <dxf>
      <numFmt numFmtId="171" formatCode="dd/mm/yyyy"/>
    </dxf>
    <dxf>
      <numFmt numFmtId="166" formatCode="\$#,##0"/>
    </dxf>
    <dxf>
      <numFmt numFmtId="170" formatCode="_ [$$-340A]* #,##0.00_ ;_ [$$-340A]* \-#,##0.00_ ;_ [$$-340A]* &quot;-&quot;??_ ;_ @_ "/>
    </dxf>
    <dxf>
      <numFmt numFmtId="171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</dxf>
    <dxf>
      <numFmt numFmtId="0" formatCode="General"/>
    </dxf>
    <dxf>
      <numFmt numFmtId="171" formatCode="dd/mm/yyyy"/>
    </dxf>
    <dxf>
      <numFmt numFmtId="0" formatCode="General"/>
    </dxf>
    <dxf>
      <numFmt numFmtId="0" formatCode="General"/>
    </dxf>
    <dxf>
      <border outline="0">
        <left style="thin">
          <color auto="1"/>
        </left>
      </border>
    </dxf>
    <dxf>
      <border outline="0">
        <left style="thin">
          <color auto="1"/>
        </left>
      </border>
    </dxf>
    <dxf>
      <numFmt numFmtId="2" formatCode="0.00"/>
      <border outline="0">
        <right style="thin">
          <color auto="1"/>
        </right>
      </border>
    </dxf>
    <dxf>
      <border outline="0">
        <right style="thin">
          <color auto="1"/>
        </right>
      </border>
    </dxf>
    <dxf>
      <numFmt numFmtId="2" formatCode="0.00"/>
    </dxf>
    <dxf>
      <numFmt numFmtId="2" formatCode="0.00"/>
    </dxf>
    <dxf>
      <numFmt numFmtId="1" formatCode="0"/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1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theme="6" tint="-0.249977111117893"/>
        </patternFill>
      </fill>
    </dxf>
    <dxf>
      <fill>
        <patternFill>
          <bgColor theme="1" tint="0.49989318521683401"/>
        </patternFill>
      </fill>
    </dxf>
    <dxf>
      <fill>
        <patternFill>
          <bgColor rgb="FFFF6699"/>
        </patternFill>
      </fill>
    </dxf>
    <dxf>
      <fill>
        <patternFill>
          <bgColor rgb="FFFF0000"/>
        </patternFill>
      </fill>
    </dxf>
    <dxf>
      <numFmt numFmtId="170" formatCode="_ [$$-340A]* #,##0.00_ ;_ [$$-340A]* \-#,##0.00_ ;_ [$$-340A]* &quot;-&quot;??_ ;_ @_ "/>
    </dxf>
    <dxf>
      <numFmt numFmtId="19" formatCode="d/m/yyyy"/>
    </dxf>
    <dxf>
      <alignment horizontal="right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F9D92"/>
      <rgbColor rgb="FFC0C0C0"/>
      <rgbColor rgb="FF7F7F7F"/>
      <rgbColor rgb="FF9999FF"/>
      <rgbColor rgb="FF993366"/>
      <rgbColor rgb="FFFFF2CC"/>
      <rgbColor rgb="FFEAF7F6"/>
      <rgbColor rgb="FF660066"/>
      <rgbColor rgb="FFFF6699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16365C"/>
      <rgbColor rgb="FF00B050"/>
      <rgbColor rgb="FF003300"/>
      <rgbColor rgb="FF333300"/>
      <rgbColor rgb="FF993300"/>
      <rgbColor rgb="FF993366"/>
      <rgbColor rgb="FF333399"/>
      <rgbColor rgb="FF17375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EEB13"/>
      <color rgb="FFFFFF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r>
              <a:rPr lang="es-CL" sz="1400" b="1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Ubicacion de los Equipos</a:t>
            </a:r>
          </a:p>
        </c:rich>
      </c:tx>
      <c:layout>
        <c:manualLayout>
          <c:xMode val="edge"/>
          <c:yMode val="edge"/>
          <c:x val="0.4127745095081505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Dashboard!$G$34</c:f>
              <c:strCache>
                <c:ptCount val="1"/>
                <c:pt idx="0">
                  <c:v>Palmucho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Dashboard!$H$34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6-4E32-8526-66E3A33BC92A}"/>
            </c:ext>
          </c:extLst>
        </c:ser>
        <c:ser>
          <c:idx val="1"/>
          <c:order val="1"/>
          <c:tx>
            <c:strRef>
              <c:f>Dashboard!$G$35</c:f>
              <c:strCache>
                <c:ptCount val="1"/>
                <c:pt idx="0">
                  <c:v>San Carlos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Dashboard!$H$35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76-4E32-8526-66E3A33BC92A}"/>
            </c:ext>
          </c:extLst>
        </c:ser>
        <c:ser>
          <c:idx val="2"/>
          <c:order val="2"/>
          <c:tx>
            <c:strRef>
              <c:f>Dashboard!$G$36</c:f>
              <c:strCache>
                <c:ptCount val="1"/>
                <c:pt idx="0">
                  <c:v>Ninhue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Dashboard!$H$36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76-4E32-8526-66E3A33BC92A}"/>
            </c:ext>
          </c:extLst>
        </c:ser>
        <c:ser>
          <c:idx val="3"/>
          <c:order val="3"/>
          <c:tx>
            <c:strRef>
              <c:f>Dashboard!$G$37</c:f>
              <c:strCache>
                <c:ptCount val="1"/>
                <c:pt idx="0">
                  <c:v>Quirihue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Dashboard!$H$37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76-4E32-8526-66E3A33BC92A}"/>
            </c:ext>
          </c:extLst>
        </c:ser>
        <c:ser>
          <c:idx val="4"/>
          <c:order val="4"/>
          <c:tx>
            <c:strRef>
              <c:f>Dashboard!$G$38</c:f>
              <c:strCache>
                <c:ptCount val="1"/>
                <c:pt idx="0">
                  <c:v>Curicó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Dashboard!$H$38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76-4E32-8526-66E3A33BC92A}"/>
            </c:ext>
          </c:extLst>
        </c:ser>
        <c:ser>
          <c:idx val="5"/>
          <c:order val="5"/>
          <c:tx>
            <c:strRef>
              <c:f>Dashboard!$G$39</c:f>
              <c:strCache>
                <c:ptCount val="1"/>
                <c:pt idx="0">
                  <c:v>Oficina Central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Dashboard!$H$39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76-4E32-8526-66E3A33BC92A}"/>
            </c:ext>
          </c:extLst>
        </c:ser>
        <c:ser>
          <c:idx val="6"/>
          <c:order val="6"/>
          <c:tx>
            <c:strRef>
              <c:f>Dashboard!$G$40</c:f>
              <c:strCache>
                <c:ptCount val="1"/>
                <c:pt idx="0">
                  <c:v>Villaseca</c:v>
                </c:pt>
              </c:strCache>
            </c:strRef>
          </c:tx>
          <c:spPr>
            <a:solidFill>
              <a:schemeClr val="accent1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Dashboard!$H$40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76-4E32-8526-66E3A33BC92A}"/>
            </c:ext>
          </c:extLst>
        </c:ser>
        <c:ser>
          <c:idx val="7"/>
          <c:order val="7"/>
          <c:tx>
            <c:strRef>
              <c:f>Dashboard!$G$41</c:f>
              <c:strCache>
                <c:ptCount val="1"/>
                <c:pt idx="0">
                  <c:v>Pelluhue</c:v>
                </c:pt>
              </c:strCache>
            </c:strRef>
          </c:tx>
          <c:spPr>
            <a:solidFill>
              <a:schemeClr val="accent2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Dashboard!$H$41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76-4E32-8526-66E3A33BC92A}"/>
            </c:ext>
          </c:extLst>
        </c:ser>
        <c:ser>
          <c:idx val="8"/>
          <c:order val="8"/>
          <c:tx>
            <c:strRef>
              <c:f>Dashboard!$G$42</c:f>
              <c:strCache>
                <c:ptCount val="1"/>
                <c:pt idx="0">
                  <c:v>Cobquecura</c:v>
                </c:pt>
              </c:strCache>
            </c:strRef>
          </c:tx>
          <c:spPr>
            <a:solidFill>
              <a:schemeClr val="accent3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Dashboard!$H$42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76-4E32-8526-66E3A33BC92A}"/>
            </c:ext>
          </c:extLst>
        </c:ser>
        <c:ser>
          <c:idx val="9"/>
          <c:order val="9"/>
          <c:tx>
            <c:strRef>
              <c:f>Dashboard!$G$43</c:f>
              <c:strCache>
                <c:ptCount val="1"/>
                <c:pt idx="0">
                  <c:v>San Nicolas</c:v>
                </c:pt>
              </c:strCache>
            </c:strRef>
          </c:tx>
          <c:spPr>
            <a:solidFill>
              <a:schemeClr val="accent4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Dashboard!$H$43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576-4E32-8526-66E3A33BC92A}"/>
            </c:ext>
          </c:extLst>
        </c:ser>
        <c:ser>
          <c:idx val="10"/>
          <c:order val="10"/>
          <c:tx>
            <c:strRef>
              <c:f>Dashboard!$G$44</c:f>
              <c:strCache>
                <c:ptCount val="1"/>
                <c:pt idx="0">
                  <c:v>Retiro</c:v>
                </c:pt>
              </c:strCache>
            </c:strRef>
          </c:tx>
          <c:spPr>
            <a:solidFill>
              <a:schemeClr val="accent5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Dashboard!$H$44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76-4E32-8526-66E3A33BC92A}"/>
            </c:ext>
          </c:extLst>
        </c:ser>
        <c:ser>
          <c:idx val="11"/>
          <c:order val="11"/>
          <c:tx>
            <c:strRef>
              <c:f>Dashboard!$G$45</c:f>
              <c:strCache>
                <c:ptCount val="1"/>
                <c:pt idx="0">
                  <c:v>Colbun</c:v>
                </c:pt>
              </c:strCache>
            </c:strRef>
          </c:tx>
          <c:spPr>
            <a:solidFill>
              <a:schemeClr val="accent6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Dashboard!$H$45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576-4E32-8526-66E3A33BC92A}"/>
            </c:ext>
          </c:extLst>
        </c:ser>
        <c:ser>
          <c:idx val="12"/>
          <c:order val="12"/>
          <c:tx>
            <c:strRef>
              <c:f>Dashboard!$G$46</c:f>
              <c:strCache>
                <c:ptCount val="1"/>
                <c:pt idx="0">
                  <c:v>Taller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Dashboard!$H$46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76-4E32-8526-66E3A33BC92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7088799"/>
        <c:axId val="27087839"/>
      </c:barChart>
      <c:catAx>
        <c:axId val="2708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7087839"/>
        <c:crosses val="autoZero"/>
        <c:auto val="1"/>
        <c:lblAlgn val="ctr"/>
        <c:lblOffset val="100"/>
        <c:noMultiLvlLbl val="0"/>
      </c:catAx>
      <c:valAx>
        <c:axId val="2708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708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18</xdr:row>
      <xdr:rowOff>4762</xdr:rowOff>
    </xdr:from>
    <xdr:to>
      <xdr:col>14</xdr:col>
      <xdr:colOff>9525</xdr:colOff>
      <xdr:row>32</xdr:row>
      <xdr:rowOff>4762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ADF8228-56ED-B63E-4AEA-968594DE4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Equipos" displayName="tblEquipos" ref="A3:K247" totalsRowShown="0">
  <autoFilter ref="A3:K247" xr:uid="{00000000-0009-0000-0100-000003000000}"/>
  <tableColumns count="11">
    <tableColumn id="1" xr3:uid="{00000000-0010-0000-0000-000001000000}" name="Codigo"/>
    <tableColumn id="2" xr3:uid="{00000000-0010-0000-0000-000002000000}" name="Tipo Equipo"/>
    <tableColumn id="3" xr3:uid="{00000000-0010-0000-0000-000003000000}" name="Marca"/>
    <tableColumn id="4" xr3:uid="{00000000-0010-0000-0000-000004000000}" name="Modelo"/>
    <tableColumn id="5" xr3:uid="{00000000-0010-0000-0000-000005000000}" name="Año"/>
    <tableColumn id="6" xr3:uid="{00000000-0010-0000-0000-000006000000}" name="Ubicacion"/>
    <tableColumn id="7" xr3:uid="{00000000-0010-0000-0000-000007000000}" name="Responsable"/>
    <tableColumn id="8" xr3:uid="{00000000-0010-0000-0000-000008000000}" name="Estado Base"/>
    <tableColumn id="9" xr3:uid="{00000000-0010-0000-0000-000009000000}" name="Control Base"/>
    <tableColumn id="10" xr3:uid="{00000000-0010-0000-0000-00000A000000}" name="Frecuencia Base" dataDxfId="33"/>
    <tableColumn id="11" xr3:uid="{00000000-0010-0000-0000-00000B000000}" name="Promedio Diari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lLecturas" displayName="tblLecturas" ref="A3:G3998" totalsRowShown="0">
  <autoFilter ref="A3:G3998" xr:uid="{00000000-0009-0000-0100-000004000000}"/>
  <sortState xmlns:xlrd2="http://schemas.microsoft.com/office/spreadsheetml/2017/richdata2" ref="A18:G3966">
    <sortCondition ref="A3:A3966"/>
  </sortState>
  <tableColumns count="7">
    <tableColumn id="1" xr3:uid="{00000000-0010-0000-0100-000001000000}" name="Fecha" dataDxfId="32"/>
    <tableColumn id="2" xr3:uid="{00000000-0010-0000-0100-000002000000}" name="Codigo"/>
    <tableColumn id="3" xr3:uid="{00000000-0010-0000-0100-000003000000}" name="Horometro"/>
    <tableColumn id="4" xr3:uid="{00000000-0010-0000-0100-000004000000}" name="Kilometraje"/>
    <tableColumn id="5" xr3:uid="{00000000-0010-0000-0100-000005000000}" name="Obra / Ubicacion"/>
    <tableColumn id="6" xr3:uid="{00000000-0010-0000-0100-000006000000}" name="Responsable"/>
    <tableColumn id="7" xr3:uid="{00000000-0010-0000-0100-000007000000}" name="Observac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blMantenciones" displayName="tblMantenciones" ref="A3:J180" totalsRowShown="0">
  <autoFilter ref="A3:J180" xr:uid="{00000000-0009-0000-0100-000006000000}"/>
  <tableColumns count="10">
    <tableColumn id="1" xr3:uid="{00000000-0010-0000-0200-000001000000}" name="Fecha"/>
    <tableColumn id="2" xr3:uid="{00000000-0010-0000-0200-000002000000}" name="Codigo"/>
    <tableColumn id="3" xr3:uid="{00000000-0010-0000-0200-000003000000}" name="Tipo Mantencion"/>
    <tableColumn id="4" xr3:uid="{00000000-0010-0000-0200-000004000000}" name="Lectura"/>
    <tableColumn id="5" xr3:uid="{00000000-0010-0000-0200-000005000000}" name="EsPM"/>
    <tableColumn id="6" xr3:uid="{00000000-0010-0000-0200-000006000000}" name="Folio"/>
    <tableColumn id="7" xr3:uid="{00000000-0010-0000-0200-000007000000}" name="Lugar"/>
    <tableColumn id="8" xr3:uid="{00000000-0010-0000-0200-000008000000}" name="Proveedor"/>
    <tableColumn id="9" xr3:uid="{00000000-0010-0000-0200-000009000000}" name="Costo Mantencion CLP"/>
    <tableColumn id="10" xr3:uid="{00000000-0010-0000-0200-00000A000000}" name="Es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blComprasPM" displayName="tblComprasPM" ref="A3:H250" totalsRowShown="0">
  <autoFilter ref="A3:H250" xr:uid="{00000000-0009-0000-0100-000002000000}"/>
  <tableColumns count="8">
    <tableColumn id="1" xr3:uid="{00000000-0010-0000-0300-000001000000}" name="Fecha"/>
    <tableColumn id="2" xr3:uid="{00000000-0010-0000-0300-000002000000}" name="OC"/>
    <tableColumn id="3" xr3:uid="{00000000-0010-0000-0300-000003000000}" name="Codigo"/>
    <tableColumn id="4" xr3:uid="{00000000-0010-0000-0300-000004000000}" name="Descripcion"/>
    <tableColumn id="5" xr3:uid="{00000000-0010-0000-0300-000005000000}" name="Proveedor"/>
    <tableColumn id="6" xr3:uid="{00000000-0010-0000-0300-000006000000}" name="Costo PM CLP" dataDxfId="31"/>
    <tableColumn id="7" xr3:uid="{00000000-0010-0000-0300-000007000000}" name="Regla"/>
    <tableColumn id="8" xr3:uid="{00000000-0010-0000-0300-000008000000}" name="Estado OC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blBodega" displayName="tblBodega" ref="A3:H117" totalsRowShown="0">
  <autoFilter ref="A3:H117" xr:uid="{00000000-0009-0000-0100-000001000000}"/>
  <tableColumns count="8">
    <tableColumn id="1" xr3:uid="{00000000-0010-0000-0400-000001000000}" name="Folio"/>
    <tableColumn id="2" xr3:uid="{00000000-0010-0000-0400-000002000000}" name="Fecha"/>
    <tableColumn id="3" xr3:uid="{00000000-0010-0000-0400-000003000000}" name="Equipo"/>
    <tableColumn id="4" xr3:uid="{00000000-0010-0000-0400-000004000000}" name="Envio"/>
    <tableColumn id="5" xr3:uid="{00000000-0010-0000-0400-000005000000}" name="Persona que retiro"/>
    <tableColumn id="6" xr3:uid="{00000000-0010-0000-0400-000006000000}" name="Destino"/>
    <tableColumn id="7" xr3:uid="{00000000-0010-0000-0400-000007000000}" name="Comentario"/>
    <tableColumn id="8" xr3:uid="{00000000-0010-0000-0400-000008000000}" name="Codig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blMaestroEquipos" displayName="tblMaestroEquipos" ref="A3:AJ247" totalsRowShown="0">
  <autoFilter ref="A3:AJ247" xr:uid="{00000000-0009-0000-0100-000005000000}"/>
  <sortState xmlns:xlrd2="http://schemas.microsoft.com/office/spreadsheetml/2017/richdata2" ref="A4:AJ247">
    <sortCondition descending="1" ref="X3:X247"/>
  </sortState>
  <tableColumns count="36">
    <tableColumn id="1" xr3:uid="{00000000-0010-0000-0500-000001000000}" name="Codigo"/>
    <tableColumn id="2" xr3:uid="{00000000-0010-0000-0500-000002000000}" name="Tipo Equipo"/>
    <tableColumn id="3" xr3:uid="{00000000-0010-0000-0500-000003000000}" name="Familia"/>
    <tableColumn id="4" xr3:uid="{00000000-0010-0000-0500-000004000000}" name="Marca"/>
    <tableColumn id="5" xr3:uid="{00000000-0010-0000-0500-000005000000}" name="Modelo"/>
    <tableColumn id="6" xr3:uid="{00000000-0010-0000-0500-000006000000}" name="Año"/>
    <tableColumn id="7" xr3:uid="{00000000-0010-0000-0500-000007000000}" name="Ubicacion">
      <calculatedColumnFormula array="1">IFERROR(INDEX(Lecturas!$E$4:$E$3549,MATCH(1,(Lecturas!$B$4:$B$3549=$A4)*(Lecturas!$E$4:$E$3549&lt;&gt;"")*(Lecturas!$A$4:$A$3549=_xlfn.MAXIFS(Lecturas!$A$4:$A$3549,Lecturas!$B$4:$B$3549,$A4,Lecturas!$E$4:$E$3549,"&lt;&gt;")),0)),"")</calculatedColumnFormula>
    </tableColumn>
    <tableColumn id="8" xr3:uid="{00000000-0010-0000-0500-000008000000}" name="Responsable"/>
    <tableColumn id="9" xr3:uid="{00000000-0010-0000-0500-000009000000}" name="Control Base"/>
    <tableColumn id="10" xr3:uid="{00000000-0010-0000-0500-00000A000000}" name="Frecuencia Base"/>
    <tableColumn id="11" xr3:uid="{00000000-0010-0000-0500-00000B000000}" name="Promedio Diario">
      <calculatedColumnFormula>IFERROR(IF($I4="KM",ROUND((_xlfn.MAXIFS(tblLecturas[Kilometraje],tblLecturas[Codigo],$A4)-_xlfn.MINIFS(tblLecturas[Kilometraje],tblLecturas[Codigo],$A4))/(MAX(1,_xlfn.MAXIFS(tblLecturas[Fecha],tblLecturas[Codigo],$A4)-_xlfn.MINIFS(tblLecturas[Fecha],tblLecturas[Codigo],$A4))),1),ROUND((_xlfn.MAXIFS(tblLecturas[Horometro],tblLecturas[Codigo],$A4)-_xlfn.MINIFS(tblLecturas[Horometro],tblLecturas[Codigo],$A4))/(MAX(1,_xlfn.MAXIFS(tblLecturas[Fecha],tblLecturas[Codigo],$A4)-_xlfn.MINIFS(tblLecturas[Fecha],tblLecturas[Codigo],$A4))),1)),"")</calculatedColumnFormula>
    </tableColumn>
    <tableColumn id="12" xr3:uid="{00000000-0010-0000-0500-00000C000000}" name="Ultima Fecha Lectura">
      <calculatedColumnFormula>IFERROR(_xlfn.MAXIFS(tblLecturas[Fecha],tblLecturas[Codigo],$A4),"")</calculatedColumnFormula>
    </tableColumn>
    <tableColumn id="13" xr3:uid="{00000000-0010-0000-0500-00000D000000}" name="Ultimo Horometro" dataDxfId="22">
      <calculatedColumnFormula>IFERROR(_xlfn.MAXIFS(Lecturas!$C:$C,Lecturas!$B:$B,$A4,Lecturas!$C:$C,"&gt;0"),"")</calculatedColumnFormula>
    </tableColumn>
    <tableColumn id="14" xr3:uid="{00000000-0010-0000-0500-00000E000000}" name="Ultimo Kilometraje" dataDxfId="21">
      <calculatedColumnFormula>IFERROR(_xlfn.MAXIFS(tblLecturas[Kilometraje],tblLecturas[Codigo],$A4,tblLecturas[Kilometraje],"&gt;0"),"")</calculatedColumnFormula>
    </tableColumn>
    <tableColumn id="15" xr3:uid="{00000000-0010-0000-0500-00000F000000}" name="Lectura Actual" dataDxfId="20">
      <calculatedColumnFormula array="1">IFERROR(IF($I4="KM",LOOKUP(2,1/(Lecturas!$B:$B=$A4)/(Lecturas!$D:$D&gt;0),Lecturas!$D:$D),LOOKUP(2,1/(Lecturas!$B:$B=$A4)/(Lecturas!$C:$C&gt;0),Lecturas!$C:$C)),"")</calculatedColumnFormula>
    </tableColumn>
    <tableColumn id="16" xr3:uid="{00000000-0010-0000-0500-000010000000}" name="Ultima Fecha PM" dataDxfId="19"/>
    <tableColumn id="17" xr3:uid="{00000000-0010-0000-0500-000011000000}" name="Ultima PM" dataDxfId="18">
      <calculatedColumnFormula>IF(_xlfn.MAXIFS(Mantenciones!$D:$D,Mantenciones!$B:$B,A4)=0,"Sin datos de mantención registrado",_xlfn.MAXIFS(Mantenciones!$D:$D,Mantenciones!$B:$B,A4))</calculatedColumnFormula>
    </tableColumn>
    <tableColumn id="18" xr3:uid="{00000000-0010-0000-0500-000012000000}" name="Ultima Lectura PM" dataDxfId="17">
      <calculatedColumnFormula>IFERROR(IF(_xlfn.MAXIFS(Mantenciones!$D:$D,Mantenciones!$B:$B,$A4,Mantenciones!$E:$E,"Sí",Mantenciones!$D:$D,"&gt;0")=0,"Sin datos de mantención registrado",_xlfn.MAXIFS(Mantenciones!$D:$D,Mantenciones!$B:$B,$A4,Mantenciones!$E:$E,"Sí",Mantenciones!$D:$D,"&gt;0")),"Sin datos de mantención registrado")</calculatedColumnFormula>
    </tableColumn>
    <tableColumn id="19" xr3:uid="{00000000-0010-0000-0500-000013000000}" name="Costo Mantenciones CLP" dataDxfId="16"/>
    <tableColumn id="20" xr3:uid="{00000000-0010-0000-0500-000014000000}" name="Costo Compras PM CLP"/>
    <tableColumn id="21" xr3:uid="{00000000-0010-0000-0500-000015000000}" name="Costo Total PM CLP"/>
    <tableColumn id="22" xr3:uid="{00000000-0010-0000-0500-000016000000}" name="Estado Operacional"/>
    <tableColumn id="23" xr3:uid="{00000000-0010-0000-0500-000017000000}" name="Estado CMMS" dataDxfId="15">
      <calculatedColumnFormula>IF(OR(TRIM($V4)="Fuera de Servicio",TRIM($V4)="Fuera de servicio"),"FUERA DE SERVICIO",IF(OR(TRIM($V4)="Taller",TRIM($V4)="En taller",TRIM($V4)="EN TALLER"),"EN TALLER",IF($AD4="PENDIENTE","POR RECIBIR",IF(AND($Z4&lt;&gt;"",$AA4=""),"EN PROCESO",IF(AND(ISNUMBER($X4),$X4&lt;0),"ATRASADA",IF(AND(ISNUMBER($X4),$X4&lt;=30),"PRÓXIMA","AL DÍA"))))))</calculatedColumnFormula>
    </tableColumn>
    <tableColumn id="24" xr3:uid="{00000000-0010-0000-0500-000018000000}" name="Dias a Proxima Mantencion" dataDxfId="14">
      <calculatedColumnFormula>IF(OR(NOT(ISNUMBER(R4)),NOT(ISNUMBER(J4)),NOT(ISNUMBER(O4))),"",
(R4+J4)-O4)</calculatedColumnFormula>
    </tableColumn>
    <tableColumn id="25" xr3:uid="{00000000-0010-0000-0500-000019000000}" name="Fecha Est. Proxima Mantencion" dataDxfId="13"/>
    <tableColumn id="26" xr3:uid="{00000000-0010-0000-0500-00001A000000}" name="Fecha Compra PM"/>
    <tableColumn id="27" xr3:uid="{00000000-0010-0000-0500-00001B000000}" name="Fecha Salida Bodega"/>
    <tableColumn id="28" xr3:uid="{00000000-0010-0000-0500-00001C000000}" name="Tiempo Compra → Mantención"/>
    <tableColumn id="29" xr3:uid="{00000000-0010-0000-0500-00001D000000}" name="Tiempo Bodega → Mantención"/>
    <tableColumn id="30" xr3:uid="{00000000-0010-0000-0500-00001E000000}" name="Estado Bodega → Mantención"/>
    <tableColumn id="31" xr3:uid="{00000000-0010-0000-0500-00001F000000}" name="Estado Operativo Real" dataDxfId="12">
      <calculatedColumnFormula>IF(TRIM(V4)="Fuera de servicio","FUERA DE SERVICIO",
IF(OR(TRIM(V4)="Taller",TRIM(V4)="En taller"),"EN TALLER",
IF(W4="ATRASADO","ATRASADO",
IF(W4="EN PROCESO","EN PROCESO",
IF(W4="PRÓXIMO","PRÓXIMO",
"OPERATIVO")))))</calculatedColumnFormula>
    </tableColumn>
    <tableColumn id="32" xr3:uid="{00000000-0010-0000-0500-000020000000}" name="Prioridad Taller"/>
    <tableColumn id="33" xr3:uid="{00000000-0010-0000-0500-000021000000}" name="Acción Sugerida"/>
    <tableColumn id="34" xr3:uid="{D00059DC-8609-4462-8EEE-A63BEAAD7A2D}" name="_CompraRequerida">
      <calculatedColumnFormula>IF(AND(OR($AE4="ATRASADA",$AE4="PRÓXIMA"),$Z4="",$AA4=""),1,0)</calculatedColumnFormula>
    </tableColumn>
    <tableColumn id="35" xr3:uid="{BB578AAC-BD38-4171-9CC0-46B3FDC0A4F0}" name="_OrdenCompra">
      <calculatedColumnFormula>IF(OR($AH4=0,$Y4=""),"",SUMPRODUCT(($AH$4:$AH$247=1)*(($Y$4:$Y$247&lt;$Y4)+(($Y$4:$Y$247=$Y4)*(ROW($Y$4:$Y$247)&lt;=ROW())))))</calculatedColumnFormula>
    </tableColumn>
    <tableColumn id="36" xr3:uid="{9AEE22D7-053B-4C03-9D46-D1D578DB924D}" name="Criticidad" dataDxfId="11">
      <calculatedColumnFormula>IF(W4="ATRASADA",1,IF(W4="EN PROCESO",2,IF(W4="POR RECIBIR",3,99)))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blPlanMantenciones" displayName="tblPlanMantenciones" ref="A3:S247" totalsRowShown="0">
  <autoFilter ref="A3:S247" xr:uid="{00000000-0009-0000-0100-000009000000}">
    <filterColumn colId="9">
      <filters>
        <filter val="0"/>
        <filter val="Operativo"/>
        <filter val="Taller"/>
      </filters>
    </filterColumn>
  </autoFilter>
  <sortState xmlns:xlrd2="http://schemas.microsoft.com/office/spreadsheetml/2017/richdata2" ref="A4:S245">
    <sortCondition descending="1" ref="E3:E247"/>
  </sortState>
  <tableColumns count="19">
    <tableColumn id="1" xr3:uid="{00000000-0010-0000-0600-000001000000}" name="Codigo">
      <calculatedColumnFormula array="1">IFERROR(INDEX(_xlfn._xlws.FILTER(Maestro_Equipos!$A$4:$A$247,Maestro_Equipos!$A$4:$A$247&lt;&gt;""),ROWS($A$4:A4)),"")</calculatedColumnFormula>
    </tableColumn>
    <tableColumn id="2" xr3:uid="{00000000-0010-0000-0600-000002000000}" name="Tipo Equipo">
      <calculatedColumnFormula>IFERROR(_xlfn.XLOOKUP($A4,Maestro_Equipos!$A$4:$A$247,Maestro_Equipos!$B$4:$B$247,""),"")</calculatedColumnFormula>
    </tableColumn>
    <tableColumn id="3" xr3:uid="{00000000-0010-0000-0600-000003000000}" name="Familia">
      <calculatedColumnFormula>IFERROR(_xlfn.XLOOKUP($A4,Maestro_Equipos!$A$4:$A$247,Maestro_Equipos!$C$4:$C$247,""),"")</calculatedColumnFormula>
    </tableColumn>
    <tableColumn id="4" xr3:uid="{00000000-0010-0000-0600-000004000000}" name="Control"/>
    <tableColumn id="5" xr3:uid="{00000000-0010-0000-0600-000005000000}" name="Lectura Actual" dataDxfId="7">
      <calculatedColumnFormula>IFERROR(IF($D4="KM",_xlfn.XLOOKUP($A4,Maestro_Equipos!$A:$A,Maestro_Equipos!$N:$N,""),_xlfn.XLOOKUP($A4,Maestro_Equipos!$A:$A,Maestro_Equipos!$M:$M,"")),"")</calculatedColumnFormula>
    </tableColumn>
    <tableColumn id="6" xr3:uid="{00000000-0010-0000-0600-000006000000}" name="Proxima Lectura Objetivo" dataDxfId="6">
      <calculatedColumnFormula>IFERROR(_xlfn.XLOOKUP($A4,Maestro_Equipos!$A:$A,Maestro_Equipos!$R:$R,"")+_xlfn.XLOOKUP($A4,Maestro_Equipos!$A:$A,Maestro_Equipos!$J:$J,""),"")</calculatedColumnFormula>
    </tableColumn>
    <tableColumn id="7" xr3:uid="{00000000-0010-0000-0600-000007000000}" name="Promedio Diario" dataDxfId="5">
      <calculatedColumnFormula>IFERROR(_xlfn.XLOOKUP($A4,Maestro_Equipos!$A:$A,Maestro_Equipos!$K:$K,""),"")</calculatedColumnFormula>
    </tableColumn>
    <tableColumn id="8" xr3:uid="{00000000-0010-0000-0600-000008000000}" name="Dias Estimados">
      <calculatedColumnFormula>IFERROR(IF(OR($E4="",$F4="",$G4="",$G4&lt;=0),"",ROUND(($F4-$E4)/$G4,0)),"")</calculatedColumnFormula>
    </tableColumn>
    <tableColumn id="9" xr3:uid="{00000000-0010-0000-0600-000009000000}" name="Fecha Estimada" dataDxfId="4">
      <calculatedColumnFormula>IFERROR(IF($H4="","",TODAY()+$H4),"")</calculatedColumnFormula>
    </tableColumn>
    <tableColumn id="10" xr3:uid="{00000000-0010-0000-0600-00000A000000}" name="Estado Operativo">
      <calculatedColumnFormula>IFERROR(INDEX(Maestro_Equipos!$V$4:$V$247,MATCH($A4,Maestro_Equipos!$A$4:$A$247,0)),"")</calculatedColumnFormula>
    </tableColumn>
    <tableColumn id="11" xr3:uid="{00000000-0010-0000-0600-00000B000000}" name="Costo Total PM" dataDxfId="3">
      <calculatedColumnFormula>IFERROR(
   SUMIFS(Mantenciones!$I:$I,Mantenciones!$B:$B,$A4)
 + SUMIFS('Compras PM'!$F:$F,'Compras PM'!$C:$C,$A4),0)</calculatedColumnFormula>
    </tableColumn>
    <tableColumn id="12" xr3:uid="{00000000-0010-0000-0600-00000C000000}" name="Prioridad" dataDxfId="2">
      <calculatedColumnFormula>IF($J4="Fuera de Servicio","NO PROGRAMAR",IF($H4="","SIN DATOS",IF($H4&lt;=0,"VENCIDA",IF($H4&lt;=7,"CRÍTICA",IF($H4&lt;=15,"ALTA",IF($H4&lt;=30,"MEDIA","BAJA"))))))</calculatedColumnFormula>
    </tableColumn>
    <tableColumn id="13" xr3:uid="{00000000-0010-0000-0600-00000D000000}" name="Ultima Fecha PM" dataDxfId="1">
      <calculatedColumnFormula array="1">IFERROR(_xlfn.AGGREGATE(14,6,Mantenciones!$A$2:$A$9997/(Mantenciones!$B$2:$B$9997=$A4),1),"")</calculatedColumnFormula>
    </tableColumn>
    <tableColumn id="14" xr3:uid="{00000000-0010-0000-0600-00000E000000}" name="Fecha Compra PM">
      <calculatedColumnFormula array="1">IFERROR(_xlfn.AGGREGATE(14,6,'Compras PM'!$A$4:$A$10014/('Compras PM'!$C$4:$C$10014=$A4),1),"")</calculatedColumnFormula>
    </tableColumn>
    <tableColumn id="15" xr3:uid="{00000000-0010-0000-0600-00000F000000}" name="Fecha Salida Bodega"/>
    <tableColumn id="16" xr3:uid="{00000000-0010-0000-0600-000010000000}" name="Tiempo Compra → Mant. (días)" dataDxfId="0">
      <calculatedColumnFormula>IFERROR(IF($N4="","",IF(OR($M4="",$M4&lt;$N4),TODAY()-$N4,$M4-$N4)),"")</calculatedColumnFormula>
    </tableColumn>
    <tableColumn id="17" xr3:uid="{00000000-0010-0000-0600-000011000000}" name="Tiempo Bodega → Mant. (días)">
      <calculatedColumnFormula>IFERROR(IF($O4="","",IF(OR($M4="",$M4&lt;$O4),TODAY()-$O4,$M4-$O4)),"")</calculatedColumnFormula>
    </tableColumn>
    <tableColumn id="18" xr3:uid="{00000000-0010-0000-0600-000012000000}" name="Estado Bodega → Mant.">
      <calculatedColumnFormula>IF($O4="","SIN SALIDA",IF(OR($M4="",$M4&lt;$O4),"PENDIENTE","REALIZADA"))</calculatedColumnFormula>
    </tableColumn>
    <tableColumn id="19" xr3:uid="{00000000-0010-0000-0600-000013000000}" name="Acción Sugerid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Plan90Dias" displayName="tblPlan90Dias" ref="A3:G253" totalsRowShown="0">
  <autoFilter ref="A3:G253" xr:uid="{00000000-0009-0000-0100-000008000000}">
    <filterColumn colId="5">
      <filters>
        <filter val="#¡REF!"/>
        <filter val="0"/>
        <filter val="Operativo"/>
        <filter val="Taller"/>
      </filters>
    </filterColumn>
  </autoFilter>
  <sortState xmlns:xlrd2="http://schemas.microsoft.com/office/spreadsheetml/2017/richdata2" ref="A4:G253">
    <sortCondition ref="E3:E253"/>
  </sortState>
  <tableColumns count="7">
    <tableColumn id="1" xr3:uid="{00000000-0010-0000-0700-000001000000}" name="Codigo"/>
    <tableColumn id="2" xr3:uid="{00000000-0010-0000-0700-000002000000}" name="Tipo Equipo"/>
    <tableColumn id="3" xr3:uid="{00000000-0010-0000-0700-000003000000}" name="Familia"/>
    <tableColumn id="4" xr3:uid="{00000000-0010-0000-0700-000004000000}" name="Fecha Estimada"/>
    <tableColumn id="5" xr3:uid="{00000000-0010-0000-0700-000005000000}" name="Dias Estimados"/>
    <tableColumn id="6" xr3:uid="{00000000-0010-0000-0700-000006000000}" name="Estado"/>
    <tableColumn id="7" xr3:uid="{00000000-0010-0000-0700-000007000000}" name="En 90 dia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tblPlannerSemanal" displayName="tblPlannerSemanal" ref="A3:D16" totalsRowShown="0">
  <autoFilter ref="A3:D16" xr:uid="{00000000-0009-0000-0100-00000A000000}"/>
  <tableColumns count="4">
    <tableColumn id="1" xr3:uid="{00000000-0010-0000-0800-000001000000}" name="Semana Inicio"/>
    <tableColumn id="2" xr3:uid="{00000000-0010-0000-0800-000002000000}" name="Semana Fin"/>
    <tableColumn id="3" xr3:uid="{00000000-0010-0000-0800-000003000000}" name="Mantenciones"/>
    <tableColumn id="4" xr3:uid="{00000000-0010-0000-0800-000004000000}" name="Costo PM OC CL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%3DSI.ERROR(SI(MAX.SI.CONJUNTO(tblBodega%5BFecha%5D;tblBodega%5BCodigo%5D;%5B@Codigo%5D)%3D0;%22%22;MAX.SI.CONJUNTO(tblBodega%5BFecha%5D;tblBodega%5BCodigo%5D;%5B@Codigo%5D));%22%22)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7"/>
  <sheetViews>
    <sheetView zoomScaleNormal="100" workbookViewId="0">
      <pane ySplit="3" topLeftCell="A10" activePane="bottomLeft" state="frozen"/>
      <selection pane="bottomLeft" activeCell="K4" sqref="K4"/>
    </sheetView>
  </sheetViews>
  <sheetFormatPr baseColWidth="10" defaultColWidth="9.140625" defaultRowHeight="15" customHeight="1"/>
  <cols>
    <col min="1" max="1" width="12" customWidth="1"/>
    <col min="2" max="2" width="22" customWidth="1"/>
    <col min="3" max="3" width="14.42578125" bestFit="1" customWidth="1"/>
    <col min="4" max="4" width="21.42578125" customWidth="1"/>
    <col min="5" max="5" width="12" customWidth="1"/>
    <col min="6" max="6" width="13" customWidth="1"/>
    <col min="7" max="7" width="20.85546875" customWidth="1"/>
    <col min="8" max="8" width="16.28515625" customWidth="1"/>
    <col min="9" max="9" width="16.7109375" bestFit="1" customWidth="1"/>
    <col min="10" max="10" width="19.7109375" bestFit="1" customWidth="1"/>
    <col min="11" max="11" width="19" customWidth="1"/>
  </cols>
  <sheetData>
    <row r="1" spans="1:11" ht="18.75" customHeight="1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3" spans="1:11" ht="27.75" customHeight="1">
      <c r="A3" s="1" t="s">
        <v>1</v>
      </c>
      <c r="B3" s="1" t="s">
        <v>2</v>
      </c>
      <c r="C3" s="1" t="s">
        <v>3</v>
      </c>
      <c r="D3" s="1" t="s">
        <v>4</v>
      </c>
      <c r="E3" s="2" t="s">
        <v>5</v>
      </c>
      <c r="F3" s="1" t="s">
        <v>6</v>
      </c>
      <c r="G3" s="1" t="s">
        <v>7</v>
      </c>
      <c r="H3" s="2" t="s">
        <v>8</v>
      </c>
      <c r="I3" s="1" t="s">
        <v>9</v>
      </c>
      <c r="J3" s="1" t="s">
        <v>10</v>
      </c>
      <c r="K3" s="1" t="s">
        <v>11</v>
      </c>
    </row>
    <row r="4" spans="1:11">
      <c r="A4" t="s">
        <v>12</v>
      </c>
      <c r="B4" t="s">
        <v>13</v>
      </c>
      <c r="C4" t="s">
        <v>14</v>
      </c>
      <c r="D4" s="49">
        <v>26220</v>
      </c>
      <c r="E4">
        <v>2008</v>
      </c>
      <c r="F4" t="s">
        <v>15</v>
      </c>
      <c r="G4" t="s">
        <v>16</v>
      </c>
      <c r="H4" t="s">
        <v>17</v>
      </c>
      <c r="I4" t="s">
        <v>18</v>
      </c>
      <c r="J4" s="3">
        <v>250</v>
      </c>
      <c r="K4" s="3">
        <v>0</v>
      </c>
    </row>
    <row r="5" spans="1:11">
      <c r="A5" t="s">
        <v>19</v>
      </c>
      <c r="B5" t="s">
        <v>20</v>
      </c>
      <c r="C5" t="s">
        <v>21</v>
      </c>
      <c r="D5" s="49" t="s">
        <v>22</v>
      </c>
      <c r="E5">
        <v>2018</v>
      </c>
      <c r="F5" t="s">
        <v>23</v>
      </c>
      <c r="G5" t="s">
        <v>24</v>
      </c>
      <c r="H5" t="s">
        <v>17</v>
      </c>
      <c r="I5" t="s">
        <v>18</v>
      </c>
      <c r="J5" s="3">
        <v>250</v>
      </c>
      <c r="K5">
        <v>6.54</v>
      </c>
    </row>
    <row r="6" spans="1:11">
      <c r="A6" t="s">
        <v>25</v>
      </c>
      <c r="B6" t="s">
        <v>20</v>
      </c>
      <c r="C6" t="s">
        <v>21</v>
      </c>
      <c r="D6" s="49" t="s">
        <v>22</v>
      </c>
      <c r="E6">
        <v>2018</v>
      </c>
      <c r="F6" t="s">
        <v>26</v>
      </c>
      <c r="G6" t="s">
        <v>27</v>
      </c>
      <c r="H6" t="s">
        <v>28</v>
      </c>
      <c r="I6" t="s">
        <v>18</v>
      </c>
      <c r="J6" s="3">
        <v>250</v>
      </c>
    </row>
    <row r="7" spans="1:11">
      <c r="A7" t="s">
        <v>29</v>
      </c>
      <c r="B7" t="s">
        <v>20</v>
      </c>
      <c r="C7" t="s">
        <v>21</v>
      </c>
      <c r="D7" s="49" t="s">
        <v>22</v>
      </c>
      <c r="E7">
        <v>2019</v>
      </c>
      <c r="F7" t="s">
        <v>30</v>
      </c>
      <c r="G7" t="s">
        <v>31</v>
      </c>
      <c r="H7" t="s">
        <v>17</v>
      </c>
      <c r="I7" t="s">
        <v>18</v>
      </c>
      <c r="J7" s="3">
        <v>250</v>
      </c>
      <c r="K7">
        <v>215.17</v>
      </c>
    </row>
    <row r="8" spans="1:11">
      <c r="A8" t="s">
        <v>32</v>
      </c>
      <c r="B8" t="s">
        <v>20</v>
      </c>
      <c r="C8" t="s">
        <v>21</v>
      </c>
      <c r="D8" s="49" t="s">
        <v>22</v>
      </c>
      <c r="E8">
        <v>2018</v>
      </c>
      <c r="F8" t="s">
        <v>33</v>
      </c>
      <c r="G8" t="s">
        <v>34</v>
      </c>
      <c r="H8" t="s">
        <v>17</v>
      </c>
      <c r="I8" t="s">
        <v>18</v>
      </c>
      <c r="J8" s="3">
        <v>250</v>
      </c>
      <c r="K8">
        <v>97.16</v>
      </c>
    </row>
    <row r="9" spans="1:11">
      <c r="A9" t="s">
        <v>35</v>
      </c>
      <c r="B9" t="s">
        <v>20</v>
      </c>
      <c r="C9" t="s">
        <v>21</v>
      </c>
      <c r="D9" s="49" t="s">
        <v>22</v>
      </c>
      <c r="E9">
        <v>2019</v>
      </c>
      <c r="F9" t="s">
        <v>36</v>
      </c>
      <c r="G9" t="s">
        <v>37</v>
      </c>
      <c r="H9" t="s">
        <v>17</v>
      </c>
      <c r="I9" t="s">
        <v>18</v>
      </c>
      <c r="J9" s="3">
        <v>250</v>
      </c>
      <c r="K9">
        <v>120.58</v>
      </c>
    </row>
    <row r="10" spans="1:11">
      <c r="A10" t="s">
        <v>38</v>
      </c>
      <c r="B10" t="s">
        <v>20</v>
      </c>
      <c r="C10" t="s">
        <v>21</v>
      </c>
      <c r="D10" s="49" t="s">
        <v>22</v>
      </c>
      <c r="E10">
        <v>2019</v>
      </c>
      <c r="F10" t="s">
        <v>39</v>
      </c>
      <c r="G10" t="s">
        <v>40</v>
      </c>
      <c r="H10" t="s">
        <v>17</v>
      </c>
      <c r="I10" t="s">
        <v>18</v>
      </c>
      <c r="J10" s="3">
        <v>250</v>
      </c>
      <c r="K10">
        <v>147.06</v>
      </c>
    </row>
    <row r="11" spans="1:11">
      <c r="A11" t="s">
        <v>41</v>
      </c>
      <c r="B11" t="s">
        <v>13</v>
      </c>
      <c r="C11" t="s">
        <v>42</v>
      </c>
      <c r="D11" s="49">
        <v>7600</v>
      </c>
      <c r="E11">
        <v>2008</v>
      </c>
      <c r="F11" t="s">
        <v>15</v>
      </c>
      <c r="G11" t="s">
        <v>43</v>
      </c>
      <c r="H11" t="s">
        <v>17</v>
      </c>
      <c r="I11" t="s">
        <v>18</v>
      </c>
      <c r="J11" s="3">
        <v>250</v>
      </c>
      <c r="K11">
        <v>0</v>
      </c>
    </row>
    <row r="12" spans="1:11">
      <c r="A12" t="s">
        <v>44</v>
      </c>
      <c r="B12" t="s">
        <v>45</v>
      </c>
      <c r="C12" t="s">
        <v>46</v>
      </c>
      <c r="D12" s="49" t="s">
        <v>47</v>
      </c>
      <c r="E12">
        <v>2012</v>
      </c>
      <c r="F12" t="s">
        <v>48</v>
      </c>
      <c r="G12" t="s">
        <v>49</v>
      </c>
      <c r="H12" t="s">
        <v>17</v>
      </c>
      <c r="I12" t="s">
        <v>18</v>
      </c>
      <c r="J12" s="3">
        <v>250</v>
      </c>
      <c r="K12">
        <v>102.86</v>
      </c>
    </row>
    <row r="13" spans="1:11">
      <c r="A13" t="s">
        <v>50</v>
      </c>
      <c r="B13" t="s">
        <v>45</v>
      </c>
      <c r="C13" t="s">
        <v>51</v>
      </c>
      <c r="D13" s="49" t="s">
        <v>52</v>
      </c>
      <c r="E13">
        <v>2015</v>
      </c>
      <c r="F13" t="s">
        <v>23</v>
      </c>
      <c r="G13" t="s">
        <v>53</v>
      </c>
      <c r="H13" t="s">
        <v>17</v>
      </c>
      <c r="I13" t="s">
        <v>18</v>
      </c>
      <c r="J13" s="3">
        <v>250</v>
      </c>
      <c r="K13">
        <v>70.849999999999994</v>
      </c>
    </row>
    <row r="14" spans="1:11">
      <c r="A14" t="s">
        <v>54</v>
      </c>
      <c r="B14" t="s">
        <v>45</v>
      </c>
      <c r="C14" t="s">
        <v>55</v>
      </c>
      <c r="D14" s="49" t="s">
        <v>56</v>
      </c>
      <c r="E14">
        <v>2007</v>
      </c>
      <c r="F14" t="s">
        <v>26</v>
      </c>
      <c r="G14" t="s">
        <v>57</v>
      </c>
      <c r="H14" t="s">
        <v>28</v>
      </c>
      <c r="I14" t="s">
        <v>18</v>
      </c>
      <c r="J14" s="3">
        <v>250</v>
      </c>
    </row>
    <row r="15" spans="1:11">
      <c r="A15" t="s">
        <v>58</v>
      </c>
      <c r="B15" t="s">
        <v>59</v>
      </c>
      <c r="C15" t="s">
        <v>60</v>
      </c>
      <c r="D15" s="49" t="s">
        <v>60</v>
      </c>
      <c r="E15" t="s">
        <v>60</v>
      </c>
      <c r="F15" t="s">
        <v>26</v>
      </c>
      <c r="G15" t="s">
        <v>57</v>
      </c>
      <c r="H15" t="s">
        <v>28</v>
      </c>
      <c r="I15" t="s">
        <v>18</v>
      </c>
      <c r="J15" s="3">
        <v>250</v>
      </c>
    </row>
    <row r="16" spans="1:11">
      <c r="A16" t="s">
        <v>61</v>
      </c>
      <c r="B16" t="s">
        <v>62</v>
      </c>
      <c r="C16" t="s">
        <v>14</v>
      </c>
      <c r="D16" s="49" t="s">
        <v>63</v>
      </c>
      <c r="E16">
        <v>2011</v>
      </c>
      <c r="F16" t="s">
        <v>23</v>
      </c>
      <c r="G16" t="s">
        <v>64</v>
      </c>
      <c r="H16" t="s">
        <v>17</v>
      </c>
      <c r="I16" t="s">
        <v>18</v>
      </c>
      <c r="J16" s="3">
        <v>250</v>
      </c>
      <c r="K16">
        <v>0</v>
      </c>
    </row>
    <row r="17" spans="1:11">
      <c r="A17" t="s">
        <v>65</v>
      </c>
      <c r="B17" t="s">
        <v>62</v>
      </c>
      <c r="C17" t="s">
        <v>66</v>
      </c>
      <c r="D17" s="49" t="s">
        <v>67</v>
      </c>
      <c r="E17">
        <v>1998</v>
      </c>
      <c r="F17" t="s">
        <v>26</v>
      </c>
      <c r="G17" t="s">
        <v>57</v>
      </c>
      <c r="H17" t="s">
        <v>17</v>
      </c>
      <c r="I17" t="s">
        <v>18</v>
      </c>
      <c r="J17" s="3">
        <v>250</v>
      </c>
      <c r="K17">
        <v>2.71</v>
      </c>
    </row>
    <row r="18" spans="1:11">
      <c r="A18" t="s">
        <v>68</v>
      </c>
      <c r="B18" t="s">
        <v>69</v>
      </c>
      <c r="C18" t="s">
        <v>55</v>
      </c>
      <c r="D18" t="s">
        <v>70</v>
      </c>
      <c r="E18">
        <v>2011</v>
      </c>
      <c r="F18" t="s">
        <v>26</v>
      </c>
      <c r="G18" t="s">
        <v>71</v>
      </c>
      <c r="H18" t="s">
        <v>17</v>
      </c>
      <c r="I18" t="s">
        <v>18</v>
      </c>
      <c r="J18" s="3">
        <v>250</v>
      </c>
      <c r="K18">
        <v>391.03</v>
      </c>
    </row>
    <row r="19" spans="1:11">
      <c r="A19" t="s">
        <v>72</v>
      </c>
      <c r="B19" t="s">
        <v>45</v>
      </c>
      <c r="C19" t="s">
        <v>73</v>
      </c>
      <c r="D19" t="s">
        <v>74</v>
      </c>
      <c r="E19">
        <v>2012</v>
      </c>
      <c r="F19" t="s">
        <v>75</v>
      </c>
      <c r="G19" t="s">
        <v>76</v>
      </c>
      <c r="H19" t="s">
        <v>17</v>
      </c>
      <c r="I19" t="s">
        <v>18</v>
      </c>
      <c r="J19" s="3">
        <v>250</v>
      </c>
      <c r="K19">
        <v>0</v>
      </c>
    </row>
    <row r="20" spans="1:11">
      <c r="A20" t="s">
        <v>77</v>
      </c>
      <c r="B20" t="s">
        <v>13</v>
      </c>
      <c r="C20" t="s">
        <v>60</v>
      </c>
      <c r="D20" t="s">
        <v>60</v>
      </c>
      <c r="E20" t="s">
        <v>60</v>
      </c>
      <c r="F20" t="s">
        <v>26</v>
      </c>
      <c r="G20" t="s">
        <v>57</v>
      </c>
      <c r="H20" t="s">
        <v>28</v>
      </c>
      <c r="I20" t="s">
        <v>18</v>
      </c>
      <c r="J20" s="3">
        <v>250</v>
      </c>
      <c r="K20">
        <v>0</v>
      </c>
    </row>
    <row r="21" spans="1:11">
      <c r="A21" t="s">
        <v>78</v>
      </c>
      <c r="B21" t="s">
        <v>45</v>
      </c>
      <c r="C21" t="s">
        <v>66</v>
      </c>
      <c r="D21" t="s">
        <v>79</v>
      </c>
      <c r="E21">
        <v>2010</v>
      </c>
      <c r="F21" t="s">
        <v>26</v>
      </c>
      <c r="G21" t="s">
        <v>80</v>
      </c>
      <c r="H21" t="s">
        <v>17</v>
      </c>
      <c r="I21" t="s">
        <v>18</v>
      </c>
      <c r="J21" s="3">
        <v>250</v>
      </c>
      <c r="K21">
        <v>292.62</v>
      </c>
    </row>
    <row r="22" spans="1:11">
      <c r="A22" t="s">
        <v>81</v>
      </c>
      <c r="B22" t="s">
        <v>82</v>
      </c>
      <c r="C22" t="s">
        <v>46</v>
      </c>
      <c r="D22" t="s">
        <v>83</v>
      </c>
      <c r="E22">
        <v>2013</v>
      </c>
      <c r="F22" t="s">
        <v>84</v>
      </c>
      <c r="G22" t="s">
        <v>85</v>
      </c>
      <c r="H22" t="s">
        <v>17</v>
      </c>
      <c r="I22" t="s">
        <v>18</v>
      </c>
      <c r="J22" s="3">
        <v>250</v>
      </c>
      <c r="K22">
        <v>5.15</v>
      </c>
    </row>
    <row r="23" spans="1:11">
      <c r="A23" t="s">
        <v>86</v>
      </c>
      <c r="B23" t="s">
        <v>20</v>
      </c>
      <c r="C23" t="s">
        <v>21</v>
      </c>
      <c r="D23" t="s">
        <v>87</v>
      </c>
      <c r="E23">
        <v>2024</v>
      </c>
      <c r="F23" t="s">
        <v>26</v>
      </c>
      <c r="G23" t="s">
        <v>88</v>
      </c>
      <c r="H23" t="s">
        <v>17</v>
      </c>
      <c r="I23" t="s">
        <v>18</v>
      </c>
      <c r="J23" s="3">
        <v>250</v>
      </c>
      <c r="K23">
        <v>121.61</v>
      </c>
    </row>
    <row r="24" spans="1:11">
      <c r="A24" t="s">
        <v>89</v>
      </c>
      <c r="B24" t="s">
        <v>20</v>
      </c>
      <c r="C24" t="s">
        <v>21</v>
      </c>
      <c r="D24" t="s">
        <v>87</v>
      </c>
      <c r="E24">
        <v>2024</v>
      </c>
      <c r="F24" t="s">
        <v>23</v>
      </c>
      <c r="G24" t="s">
        <v>90</v>
      </c>
      <c r="H24" t="s">
        <v>17</v>
      </c>
      <c r="I24" t="s">
        <v>18</v>
      </c>
      <c r="J24" s="3">
        <v>250</v>
      </c>
      <c r="K24">
        <v>105.37</v>
      </c>
    </row>
    <row r="25" spans="1:11">
      <c r="A25" t="s">
        <v>91</v>
      </c>
      <c r="B25" t="s">
        <v>20</v>
      </c>
      <c r="C25" t="s">
        <v>21</v>
      </c>
      <c r="D25" t="s">
        <v>87</v>
      </c>
      <c r="E25">
        <v>2024</v>
      </c>
      <c r="F25" t="s">
        <v>23</v>
      </c>
      <c r="G25" t="s">
        <v>92</v>
      </c>
      <c r="H25" t="s">
        <v>17</v>
      </c>
      <c r="I25" t="s">
        <v>18</v>
      </c>
      <c r="J25" s="3">
        <v>250</v>
      </c>
      <c r="K25">
        <v>1.36</v>
      </c>
    </row>
    <row r="26" spans="1:11">
      <c r="A26" t="s">
        <v>93</v>
      </c>
      <c r="B26" t="s">
        <v>20</v>
      </c>
      <c r="C26" t="s">
        <v>21</v>
      </c>
      <c r="D26" t="s">
        <v>87</v>
      </c>
      <c r="E26">
        <v>2024</v>
      </c>
      <c r="F26" t="s">
        <v>94</v>
      </c>
      <c r="G26" t="s">
        <v>95</v>
      </c>
      <c r="H26" t="s">
        <v>17</v>
      </c>
      <c r="I26" t="s">
        <v>18</v>
      </c>
      <c r="J26" s="3">
        <v>250</v>
      </c>
      <c r="K26">
        <v>42.24</v>
      </c>
    </row>
    <row r="27" spans="1:11">
      <c r="A27" t="s">
        <v>96</v>
      </c>
      <c r="B27" t="s">
        <v>20</v>
      </c>
      <c r="C27" t="s">
        <v>21</v>
      </c>
      <c r="D27" t="s">
        <v>87</v>
      </c>
      <c r="E27">
        <v>2024</v>
      </c>
      <c r="H27" t="s">
        <v>28</v>
      </c>
      <c r="I27" t="s">
        <v>18</v>
      </c>
      <c r="J27" s="3">
        <v>250</v>
      </c>
      <c r="K27">
        <v>0</v>
      </c>
    </row>
    <row r="28" spans="1:11">
      <c r="A28" t="s">
        <v>97</v>
      </c>
      <c r="B28" t="s">
        <v>98</v>
      </c>
      <c r="C28" t="s">
        <v>99</v>
      </c>
      <c r="D28" t="s">
        <v>100</v>
      </c>
      <c r="E28">
        <v>2023</v>
      </c>
      <c r="F28" t="s">
        <v>101</v>
      </c>
      <c r="G28" t="s">
        <v>102</v>
      </c>
      <c r="H28" t="s">
        <v>17</v>
      </c>
      <c r="I28" t="s">
        <v>18</v>
      </c>
      <c r="J28" s="3">
        <v>250</v>
      </c>
      <c r="K28">
        <v>259.61</v>
      </c>
    </row>
    <row r="29" spans="1:11">
      <c r="A29" t="s">
        <v>103</v>
      </c>
      <c r="B29" t="s">
        <v>98</v>
      </c>
      <c r="C29" t="s">
        <v>99</v>
      </c>
      <c r="D29" t="s">
        <v>100</v>
      </c>
      <c r="E29">
        <v>2023</v>
      </c>
      <c r="F29" t="s">
        <v>104</v>
      </c>
      <c r="G29" t="s">
        <v>105</v>
      </c>
      <c r="H29" t="s">
        <v>17</v>
      </c>
      <c r="I29" t="s">
        <v>18</v>
      </c>
      <c r="J29" s="3">
        <v>250</v>
      </c>
    </row>
    <row r="30" spans="1:11">
      <c r="A30" t="s">
        <v>106</v>
      </c>
      <c r="B30" t="s">
        <v>107</v>
      </c>
      <c r="C30" t="s">
        <v>42</v>
      </c>
      <c r="D30" s="49">
        <v>4300</v>
      </c>
      <c r="E30">
        <v>2012</v>
      </c>
      <c r="F30" t="s">
        <v>101</v>
      </c>
      <c r="G30" t="s">
        <v>108</v>
      </c>
      <c r="H30" t="s">
        <v>17</v>
      </c>
      <c r="I30" t="s">
        <v>18</v>
      </c>
      <c r="J30" s="3">
        <v>250</v>
      </c>
      <c r="K30">
        <v>127.61</v>
      </c>
    </row>
    <row r="31" spans="1:11">
      <c r="A31" t="s">
        <v>109</v>
      </c>
      <c r="B31" t="s">
        <v>110</v>
      </c>
      <c r="C31" t="s">
        <v>111</v>
      </c>
      <c r="D31" t="s">
        <v>112</v>
      </c>
      <c r="E31">
        <v>2012</v>
      </c>
      <c r="F31" t="s">
        <v>113</v>
      </c>
      <c r="G31" t="s">
        <v>114</v>
      </c>
      <c r="H31" t="s">
        <v>17</v>
      </c>
      <c r="I31" t="s">
        <v>18</v>
      </c>
      <c r="J31" s="3">
        <v>250</v>
      </c>
      <c r="K31">
        <v>24.84</v>
      </c>
    </row>
    <row r="32" spans="1:11">
      <c r="A32" t="s">
        <v>115</v>
      </c>
      <c r="B32" t="s">
        <v>116</v>
      </c>
      <c r="C32" t="s">
        <v>111</v>
      </c>
      <c r="D32" s="49" t="s">
        <v>112</v>
      </c>
      <c r="E32">
        <v>2012</v>
      </c>
      <c r="F32" t="s">
        <v>26</v>
      </c>
      <c r="G32" t="s">
        <v>57</v>
      </c>
      <c r="H32" t="s">
        <v>28</v>
      </c>
      <c r="I32" t="s">
        <v>18</v>
      </c>
      <c r="J32" s="3">
        <v>250</v>
      </c>
    </row>
    <row r="33" spans="1:11">
      <c r="A33" t="s">
        <v>117</v>
      </c>
      <c r="B33" s="49" t="s">
        <v>20</v>
      </c>
      <c r="C33" s="49" t="s">
        <v>118</v>
      </c>
      <c r="D33" s="49" t="s">
        <v>119</v>
      </c>
      <c r="E33" s="49">
        <v>2021</v>
      </c>
      <c r="F33" s="49" t="s">
        <v>26</v>
      </c>
      <c r="G33" s="49" t="s">
        <v>57</v>
      </c>
      <c r="H33" s="49" t="s">
        <v>28</v>
      </c>
      <c r="I33" s="3" t="s">
        <v>18</v>
      </c>
      <c r="J33" s="3">
        <v>250</v>
      </c>
      <c r="K33" s="3">
        <v>58.71</v>
      </c>
    </row>
    <row r="34" spans="1:11">
      <c r="A34" t="s">
        <v>120</v>
      </c>
      <c r="B34" t="s">
        <v>20</v>
      </c>
      <c r="C34" t="s">
        <v>118</v>
      </c>
      <c r="D34" s="49" t="s">
        <v>119</v>
      </c>
      <c r="E34">
        <v>2021</v>
      </c>
      <c r="F34" t="s">
        <v>26</v>
      </c>
      <c r="G34" t="s">
        <v>57</v>
      </c>
      <c r="H34" t="s">
        <v>28</v>
      </c>
      <c r="I34" t="s">
        <v>18</v>
      </c>
      <c r="J34" s="3">
        <v>250</v>
      </c>
      <c r="K34">
        <v>275</v>
      </c>
    </row>
    <row r="35" spans="1:11">
      <c r="A35" t="s">
        <v>121</v>
      </c>
      <c r="B35" t="s">
        <v>20</v>
      </c>
      <c r="C35" t="s">
        <v>118</v>
      </c>
      <c r="D35" s="49" t="s">
        <v>119</v>
      </c>
      <c r="E35">
        <v>2021</v>
      </c>
      <c r="F35" t="s">
        <v>33</v>
      </c>
      <c r="G35" t="s">
        <v>122</v>
      </c>
      <c r="H35" t="s">
        <v>17</v>
      </c>
      <c r="I35" t="s">
        <v>18</v>
      </c>
      <c r="J35" s="3">
        <v>250</v>
      </c>
      <c r="K35">
        <v>168.21</v>
      </c>
    </row>
    <row r="36" spans="1:11">
      <c r="A36" t="s">
        <v>123</v>
      </c>
      <c r="B36" t="s">
        <v>45</v>
      </c>
      <c r="C36" t="s">
        <v>42</v>
      </c>
      <c r="D36" s="49">
        <v>7400</v>
      </c>
      <c r="E36">
        <v>2010</v>
      </c>
      <c r="F36" t="s">
        <v>26</v>
      </c>
      <c r="G36" t="s">
        <v>57</v>
      </c>
      <c r="H36" t="s">
        <v>28</v>
      </c>
      <c r="I36" t="s">
        <v>18</v>
      </c>
      <c r="J36" s="3">
        <v>250</v>
      </c>
    </row>
    <row r="37" spans="1:11">
      <c r="A37" t="s">
        <v>124</v>
      </c>
      <c r="B37" t="s">
        <v>45</v>
      </c>
      <c r="C37" t="s">
        <v>42</v>
      </c>
      <c r="D37" s="49">
        <v>4300</v>
      </c>
      <c r="E37">
        <v>2012</v>
      </c>
      <c r="F37" t="s">
        <v>26</v>
      </c>
      <c r="G37" t="s">
        <v>57</v>
      </c>
      <c r="H37" t="s">
        <v>17</v>
      </c>
      <c r="I37" t="s">
        <v>18</v>
      </c>
      <c r="J37" s="3">
        <v>250</v>
      </c>
      <c r="K37">
        <v>0</v>
      </c>
    </row>
    <row r="38" spans="1:11">
      <c r="A38" t="s">
        <v>125</v>
      </c>
      <c r="B38" t="s">
        <v>45</v>
      </c>
      <c r="C38" t="s">
        <v>111</v>
      </c>
      <c r="D38" s="49" t="s">
        <v>112</v>
      </c>
      <c r="E38">
        <v>2014</v>
      </c>
      <c r="F38" t="s">
        <v>26</v>
      </c>
      <c r="G38" t="s">
        <v>57</v>
      </c>
      <c r="H38" t="s">
        <v>28</v>
      </c>
      <c r="I38" t="s">
        <v>18</v>
      </c>
      <c r="J38" s="3">
        <v>250</v>
      </c>
    </row>
    <row r="39" spans="1:11">
      <c r="A39" t="s">
        <v>126</v>
      </c>
      <c r="B39" t="s">
        <v>82</v>
      </c>
      <c r="C39" t="s">
        <v>46</v>
      </c>
      <c r="D39" t="s">
        <v>127</v>
      </c>
      <c r="E39">
        <v>2015</v>
      </c>
      <c r="F39" t="s">
        <v>26</v>
      </c>
      <c r="G39" t="s">
        <v>57</v>
      </c>
      <c r="H39" t="s">
        <v>17</v>
      </c>
      <c r="I39" t="s">
        <v>18</v>
      </c>
      <c r="J39" s="3">
        <v>250</v>
      </c>
      <c r="K39">
        <v>81.790000000000006</v>
      </c>
    </row>
    <row r="40" spans="1:11">
      <c r="A40" t="s">
        <v>128</v>
      </c>
      <c r="B40" t="s">
        <v>69</v>
      </c>
      <c r="C40" t="s">
        <v>55</v>
      </c>
      <c r="D40" t="s">
        <v>129</v>
      </c>
      <c r="E40">
        <v>2014</v>
      </c>
      <c r="F40" t="s">
        <v>101</v>
      </c>
      <c r="G40" t="s">
        <v>71</v>
      </c>
      <c r="H40" t="s">
        <v>17</v>
      </c>
      <c r="I40" t="s">
        <v>18</v>
      </c>
      <c r="J40" s="3">
        <v>250</v>
      </c>
      <c r="K40" s="3">
        <v>139.79</v>
      </c>
    </row>
    <row r="41" spans="1:11">
      <c r="A41" t="s">
        <v>130</v>
      </c>
      <c r="B41" t="s">
        <v>131</v>
      </c>
      <c r="C41" t="s">
        <v>132</v>
      </c>
      <c r="D41" t="s">
        <v>133</v>
      </c>
      <c r="F41" t="s">
        <v>84</v>
      </c>
      <c r="G41" t="s">
        <v>134</v>
      </c>
      <c r="H41" t="s">
        <v>28</v>
      </c>
      <c r="I41" t="s">
        <v>18</v>
      </c>
      <c r="J41" s="3">
        <v>250</v>
      </c>
      <c r="K41">
        <v>354.05</v>
      </c>
    </row>
    <row r="42" spans="1:11">
      <c r="A42" t="s">
        <v>135</v>
      </c>
      <c r="B42" t="s">
        <v>136</v>
      </c>
      <c r="C42" t="s">
        <v>55</v>
      </c>
      <c r="D42" t="s">
        <v>137</v>
      </c>
      <c r="E42">
        <v>2011</v>
      </c>
      <c r="H42" t="s">
        <v>28</v>
      </c>
      <c r="I42" t="s">
        <v>18</v>
      </c>
      <c r="J42" s="3">
        <v>250</v>
      </c>
    </row>
    <row r="43" spans="1:11">
      <c r="A43" t="s">
        <v>138</v>
      </c>
      <c r="B43" t="s">
        <v>136</v>
      </c>
      <c r="C43" t="s">
        <v>55</v>
      </c>
      <c r="D43" t="s">
        <v>139</v>
      </c>
      <c r="E43">
        <v>2011</v>
      </c>
      <c r="H43" t="s">
        <v>17</v>
      </c>
      <c r="I43" t="s">
        <v>18</v>
      </c>
      <c r="J43" s="3">
        <v>250</v>
      </c>
      <c r="K43">
        <v>175.78</v>
      </c>
    </row>
    <row r="44" spans="1:11">
      <c r="A44" t="s">
        <v>140</v>
      </c>
      <c r="B44" t="s">
        <v>141</v>
      </c>
      <c r="C44" t="s">
        <v>111</v>
      </c>
      <c r="D44" t="s">
        <v>142</v>
      </c>
      <c r="E44">
        <v>1997</v>
      </c>
      <c r="H44" t="s">
        <v>17</v>
      </c>
      <c r="I44" t="s">
        <v>18</v>
      </c>
      <c r="J44" s="3">
        <v>250</v>
      </c>
    </row>
    <row r="45" spans="1:11">
      <c r="A45" t="s">
        <v>143</v>
      </c>
      <c r="B45" t="s">
        <v>141</v>
      </c>
      <c r="C45" t="s">
        <v>66</v>
      </c>
      <c r="D45" t="s">
        <v>144</v>
      </c>
      <c r="E45">
        <v>2006</v>
      </c>
      <c r="H45" t="s">
        <v>17</v>
      </c>
      <c r="I45" t="s">
        <v>18</v>
      </c>
      <c r="J45" s="3">
        <v>250</v>
      </c>
    </row>
    <row r="46" spans="1:11">
      <c r="A46" t="s">
        <v>145</v>
      </c>
      <c r="B46" t="s">
        <v>82</v>
      </c>
      <c r="C46" t="s">
        <v>46</v>
      </c>
      <c r="D46" t="s">
        <v>146</v>
      </c>
      <c r="E46">
        <v>2011</v>
      </c>
      <c r="F46" t="s">
        <v>48</v>
      </c>
      <c r="G46" t="s">
        <v>147</v>
      </c>
      <c r="H46" t="s">
        <v>17</v>
      </c>
      <c r="I46" t="s">
        <v>18</v>
      </c>
      <c r="J46" s="3">
        <v>250</v>
      </c>
      <c r="K46">
        <v>42.8</v>
      </c>
    </row>
    <row r="47" spans="1:11">
      <c r="A47" t="s">
        <v>148</v>
      </c>
      <c r="B47" t="s">
        <v>45</v>
      </c>
      <c r="C47" t="s">
        <v>46</v>
      </c>
      <c r="D47" t="s">
        <v>149</v>
      </c>
      <c r="E47">
        <v>2012</v>
      </c>
      <c r="F47" t="s">
        <v>150</v>
      </c>
      <c r="G47" t="s">
        <v>151</v>
      </c>
      <c r="H47" t="s">
        <v>28</v>
      </c>
      <c r="I47" t="s">
        <v>18</v>
      </c>
      <c r="J47" s="3">
        <v>250</v>
      </c>
    </row>
    <row r="48" spans="1:11">
      <c r="A48" t="s">
        <v>152</v>
      </c>
      <c r="B48" t="s">
        <v>116</v>
      </c>
      <c r="C48" t="s">
        <v>111</v>
      </c>
      <c r="D48" t="s">
        <v>112</v>
      </c>
      <c r="E48">
        <v>2008</v>
      </c>
      <c r="F48" t="s">
        <v>153</v>
      </c>
      <c r="G48" t="s">
        <v>154</v>
      </c>
      <c r="H48" t="s">
        <v>17</v>
      </c>
      <c r="I48" t="s">
        <v>18</v>
      </c>
      <c r="J48" s="3">
        <v>250</v>
      </c>
      <c r="K48" s="3">
        <v>24.17</v>
      </c>
    </row>
    <row r="49" spans="1:11">
      <c r="A49" t="s">
        <v>155</v>
      </c>
      <c r="B49" t="s">
        <v>69</v>
      </c>
      <c r="C49" t="s">
        <v>156</v>
      </c>
      <c r="D49" t="s">
        <v>157</v>
      </c>
      <c r="E49">
        <v>2018</v>
      </c>
      <c r="F49" t="s">
        <v>26</v>
      </c>
      <c r="G49" t="s">
        <v>158</v>
      </c>
      <c r="H49" t="s">
        <v>17</v>
      </c>
      <c r="I49" t="s">
        <v>18</v>
      </c>
      <c r="J49" s="3">
        <v>250</v>
      </c>
      <c r="K49">
        <v>233.13</v>
      </c>
    </row>
    <row r="50" spans="1:11">
      <c r="A50" t="s">
        <v>159</v>
      </c>
      <c r="B50" t="s">
        <v>116</v>
      </c>
      <c r="C50" t="s">
        <v>111</v>
      </c>
      <c r="D50" t="s">
        <v>112</v>
      </c>
      <c r="E50">
        <v>2008</v>
      </c>
      <c r="F50" t="s">
        <v>48</v>
      </c>
      <c r="G50" t="s">
        <v>160</v>
      </c>
      <c r="H50" t="s">
        <v>17</v>
      </c>
      <c r="I50" t="s">
        <v>18</v>
      </c>
      <c r="J50" s="3">
        <v>250</v>
      </c>
      <c r="K50">
        <v>18.170000000000002</v>
      </c>
    </row>
    <row r="51" spans="1:11">
      <c r="A51" t="s">
        <v>161</v>
      </c>
      <c r="B51" t="s">
        <v>116</v>
      </c>
      <c r="C51" t="s">
        <v>111</v>
      </c>
      <c r="D51" t="s">
        <v>112</v>
      </c>
      <c r="E51">
        <v>2014</v>
      </c>
      <c r="F51" t="s">
        <v>26</v>
      </c>
      <c r="G51" t="s">
        <v>57</v>
      </c>
      <c r="H51" t="s">
        <v>17</v>
      </c>
      <c r="I51" t="s">
        <v>18</v>
      </c>
      <c r="J51" s="3">
        <v>250</v>
      </c>
    </row>
    <row r="52" spans="1:11">
      <c r="A52" t="s">
        <v>162</v>
      </c>
      <c r="B52" t="s">
        <v>69</v>
      </c>
      <c r="C52" t="s">
        <v>118</v>
      </c>
      <c r="D52" t="s">
        <v>163</v>
      </c>
      <c r="E52">
        <v>2011</v>
      </c>
      <c r="F52" t="s">
        <v>26</v>
      </c>
      <c r="G52" t="s">
        <v>57</v>
      </c>
      <c r="H52" t="s">
        <v>28</v>
      </c>
      <c r="I52" t="s">
        <v>18</v>
      </c>
      <c r="J52" s="3">
        <v>250</v>
      </c>
    </row>
    <row r="53" spans="1:11">
      <c r="A53" t="s">
        <v>164</v>
      </c>
      <c r="B53" t="s">
        <v>107</v>
      </c>
      <c r="C53" t="s">
        <v>42</v>
      </c>
      <c r="D53" s="49">
        <v>7600</v>
      </c>
      <c r="E53">
        <v>2012</v>
      </c>
      <c r="H53" t="s">
        <v>28</v>
      </c>
      <c r="I53" t="s">
        <v>18</v>
      </c>
      <c r="J53" s="3">
        <v>250</v>
      </c>
    </row>
    <row r="54" spans="1:11">
      <c r="A54" t="s">
        <v>165</v>
      </c>
      <c r="B54" t="s">
        <v>116</v>
      </c>
      <c r="C54" t="s">
        <v>166</v>
      </c>
      <c r="D54" t="s">
        <v>167</v>
      </c>
      <c r="E54">
        <v>2010</v>
      </c>
      <c r="F54" t="s">
        <v>23</v>
      </c>
      <c r="G54" t="s">
        <v>168</v>
      </c>
      <c r="H54" t="s">
        <v>17</v>
      </c>
      <c r="I54" t="s">
        <v>18</v>
      </c>
      <c r="J54" s="3">
        <v>250</v>
      </c>
      <c r="K54">
        <v>0</v>
      </c>
    </row>
    <row r="55" spans="1:11">
      <c r="A55" t="s">
        <v>169</v>
      </c>
      <c r="B55" t="s">
        <v>20</v>
      </c>
      <c r="C55" t="s">
        <v>21</v>
      </c>
      <c r="D55" t="s">
        <v>87</v>
      </c>
      <c r="E55">
        <v>2020</v>
      </c>
      <c r="F55" t="s">
        <v>30</v>
      </c>
      <c r="G55" t="s">
        <v>170</v>
      </c>
      <c r="H55" t="s">
        <v>17</v>
      </c>
      <c r="I55" t="s">
        <v>18</v>
      </c>
      <c r="J55" s="3">
        <v>250</v>
      </c>
      <c r="K55" s="3">
        <v>64.91</v>
      </c>
    </row>
    <row r="56" spans="1:11">
      <c r="A56" t="s">
        <v>171</v>
      </c>
      <c r="B56" t="s">
        <v>20</v>
      </c>
      <c r="C56" t="s">
        <v>21</v>
      </c>
      <c r="D56" t="s">
        <v>87</v>
      </c>
      <c r="E56">
        <v>2020</v>
      </c>
      <c r="F56" t="s">
        <v>153</v>
      </c>
      <c r="G56" t="s">
        <v>172</v>
      </c>
      <c r="H56" t="s">
        <v>17</v>
      </c>
      <c r="I56" t="s">
        <v>18</v>
      </c>
      <c r="J56" s="3">
        <v>250</v>
      </c>
      <c r="K56">
        <v>167.3</v>
      </c>
    </row>
    <row r="57" spans="1:11">
      <c r="A57" t="s">
        <v>173</v>
      </c>
      <c r="B57" t="s">
        <v>20</v>
      </c>
      <c r="C57" t="s">
        <v>21</v>
      </c>
      <c r="D57" t="s">
        <v>87</v>
      </c>
      <c r="E57">
        <v>2020</v>
      </c>
      <c r="F57" t="s">
        <v>33</v>
      </c>
      <c r="G57" t="s">
        <v>174</v>
      </c>
      <c r="H57" t="s">
        <v>17</v>
      </c>
      <c r="I57" t="s">
        <v>18</v>
      </c>
      <c r="J57" s="3">
        <v>250</v>
      </c>
      <c r="K57">
        <v>45.47</v>
      </c>
    </row>
    <row r="58" spans="1:11">
      <c r="A58" t="s">
        <v>175</v>
      </c>
      <c r="B58" t="s">
        <v>20</v>
      </c>
      <c r="C58" t="s">
        <v>21</v>
      </c>
      <c r="D58" t="s">
        <v>87</v>
      </c>
      <c r="E58">
        <v>2020</v>
      </c>
      <c r="F58" t="s">
        <v>30</v>
      </c>
      <c r="G58" t="s">
        <v>176</v>
      </c>
      <c r="H58" t="s">
        <v>17</v>
      </c>
      <c r="I58" t="s">
        <v>18</v>
      </c>
      <c r="J58" s="3">
        <v>250</v>
      </c>
      <c r="K58">
        <v>96.44</v>
      </c>
    </row>
    <row r="59" spans="1:11">
      <c r="A59" t="s">
        <v>177</v>
      </c>
      <c r="B59" t="s">
        <v>20</v>
      </c>
      <c r="C59" t="s">
        <v>21</v>
      </c>
      <c r="D59" t="s">
        <v>87</v>
      </c>
      <c r="E59">
        <v>2020</v>
      </c>
      <c r="F59" t="s">
        <v>26</v>
      </c>
      <c r="G59" t="s">
        <v>57</v>
      </c>
      <c r="H59" t="s">
        <v>28</v>
      </c>
      <c r="I59" t="s">
        <v>18</v>
      </c>
      <c r="J59" s="3">
        <v>250</v>
      </c>
      <c r="K59">
        <v>164.84</v>
      </c>
    </row>
    <row r="60" spans="1:11">
      <c r="A60" t="s">
        <v>178</v>
      </c>
      <c r="B60" t="s">
        <v>82</v>
      </c>
      <c r="C60" t="s">
        <v>46</v>
      </c>
      <c r="D60" t="s">
        <v>179</v>
      </c>
      <c r="E60">
        <v>2011</v>
      </c>
      <c r="H60" t="s">
        <v>28</v>
      </c>
      <c r="I60" t="s">
        <v>18</v>
      </c>
      <c r="J60" s="3">
        <v>250</v>
      </c>
      <c r="K60">
        <v>0</v>
      </c>
    </row>
    <row r="61" spans="1:11">
      <c r="A61" t="s">
        <v>180</v>
      </c>
      <c r="B61" t="s">
        <v>45</v>
      </c>
      <c r="C61" t="s">
        <v>46</v>
      </c>
      <c r="D61" t="s">
        <v>149</v>
      </c>
      <c r="E61">
        <v>2013</v>
      </c>
      <c r="F61" t="s">
        <v>153</v>
      </c>
      <c r="G61" t="s">
        <v>181</v>
      </c>
      <c r="H61" t="s">
        <v>28</v>
      </c>
      <c r="I61" t="s">
        <v>18</v>
      </c>
      <c r="J61" s="3">
        <v>250</v>
      </c>
    </row>
    <row r="62" spans="1:11">
      <c r="A62" t="s">
        <v>182</v>
      </c>
      <c r="B62" t="s">
        <v>20</v>
      </c>
      <c r="C62" t="s">
        <v>21</v>
      </c>
      <c r="D62" t="s">
        <v>183</v>
      </c>
      <c r="E62">
        <v>2018</v>
      </c>
      <c r="F62" t="s">
        <v>33</v>
      </c>
      <c r="G62" t="s">
        <v>184</v>
      </c>
      <c r="H62" t="s">
        <v>17</v>
      </c>
      <c r="I62" t="s">
        <v>18</v>
      </c>
      <c r="J62" s="3">
        <v>250</v>
      </c>
      <c r="K62">
        <v>51.14</v>
      </c>
    </row>
    <row r="63" spans="1:11">
      <c r="A63" t="s">
        <v>185</v>
      </c>
      <c r="B63" t="s">
        <v>116</v>
      </c>
      <c r="C63" t="s">
        <v>55</v>
      </c>
      <c r="D63" t="s">
        <v>56</v>
      </c>
      <c r="E63">
        <v>2007</v>
      </c>
      <c r="F63" t="s">
        <v>104</v>
      </c>
      <c r="G63" t="s">
        <v>186</v>
      </c>
      <c r="H63" t="s">
        <v>17</v>
      </c>
      <c r="I63" t="s">
        <v>18</v>
      </c>
      <c r="J63" s="3">
        <v>250</v>
      </c>
      <c r="K63">
        <v>126.64</v>
      </c>
    </row>
    <row r="64" spans="1:11">
      <c r="A64" t="s">
        <v>187</v>
      </c>
      <c r="B64" t="s">
        <v>69</v>
      </c>
      <c r="C64" t="s">
        <v>21</v>
      </c>
      <c r="D64" t="s">
        <v>188</v>
      </c>
      <c r="E64">
        <v>2013</v>
      </c>
      <c r="F64" t="s">
        <v>26</v>
      </c>
      <c r="G64" t="s">
        <v>189</v>
      </c>
      <c r="H64" t="s">
        <v>17</v>
      </c>
      <c r="I64" t="s">
        <v>18</v>
      </c>
      <c r="J64" s="3">
        <v>250</v>
      </c>
      <c r="K64">
        <v>99.67</v>
      </c>
    </row>
    <row r="65" spans="1:11">
      <c r="A65" t="s">
        <v>190</v>
      </c>
      <c r="B65" t="s">
        <v>45</v>
      </c>
      <c r="C65" t="s">
        <v>46</v>
      </c>
      <c r="D65" t="s">
        <v>191</v>
      </c>
      <c r="E65">
        <v>2014</v>
      </c>
      <c r="F65" t="s">
        <v>30</v>
      </c>
      <c r="G65" t="s">
        <v>192</v>
      </c>
      <c r="H65" t="s">
        <v>17</v>
      </c>
      <c r="I65" t="s">
        <v>18</v>
      </c>
      <c r="J65" s="3">
        <v>250</v>
      </c>
      <c r="K65">
        <v>0</v>
      </c>
    </row>
    <row r="66" spans="1:11">
      <c r="A66" t="s">
        <v>193</v>
      </c>
      <c r="B66" t="s">
        <v>116</v>
      </c>
      <c r="C66" t="s">
        <v>66</v>
      </c>
      <c r="D66" t="s">
        <v>67</v>
      </c>
      <c r="E66">
        <v>2013</v>
      </c>
      <c r="F66" t="s">
        <v>33</v>
      </c>
      <c r="G66" t="s">
        <v>194</v>
      </c>
      <c r="H66" t="s">
        <v>28</v>
      </c>
      <c r="I66" t="s">
        <v>18</v>
      </c>
      <c r="J66" s="3">
        <v>250</v>
      </c>
      <c r="K66">
        <v>10.55</v>
      </c>
    </row>
    <row r="67" spans="1:11">
      <c r="A67" t="s">
        <v>195</v>
      </c>
      <c r="B67" t="s">
        <v>196</v>
      </c>
      <c r="C67" t="s">
        <v>197</v>
      </c>
      <c r="D67" s="49">
        <v>400</v>
      </c>
      <c r="E67">
        <v>1990</v>
      </c>
      <c r="F67" t="s">
        <v>26</v>
      </c>
      <c r="G67" t="s">
        <v>151</v>
      </c>
      <c r="H67" t="s">
        <v>17</v>
      </c>
      <c r="I67" t="s">
        <v>18</v>
      </c>
      <c r="J67" s="3">
        <v>250</v>
      </c>
    </row>
    <row r="68" spans="1:11">
      <c r="A68" t="s">
        <v>198</v>
      </c>
      <c r="B68" t="s">
        <v>199</v>
      </c>
      <c r="C68" t="s">
        <v>200</v>
      </c>
      <c r="D68" t="s">
        <v>201</v>
      </c>
      <c r="E68">
        <v>2010</v>
      </c>
      <c r="F68" t="s">
        <v>23</v>
      </c>
      <c r="G68" t="s">
        <v>53</v>
      </c>
      <c r="H68" t="s">
        <v>17</v>
      </c>
      <c r="I68" t="s">
        <v>18</v>
      </c>
      <c r="J68" s="3">
        <v>250</v>
      </c>
      <c r="K68">
        <v>0</v>
      </c>
    </row>
    <row r="69" spans="1:11">
      <c r="A69" t="s">
        <v>202</v>
      </c>
      <c r="B69" t="s">
        <v>203</v>
      </c>
      <c r="C69" t="s">
        <v>204</v>
      </c>
      <c r="D69" t="s">
        <v>205</v>
      </c>
      <c r="E69">
        <v>2000</v>
      </c>
      <c r="F69" t="s">
        <v>94</v>
      </c>
      <c r="G69" t="s">
        <v>206</v>
      </c>
      <c r="H69" t="s">
        <v>17</v>
      </c>
      <c r="I69" t="s">
        <v>18</v>
      </c>
      <c r="J69" s="3">
        <v>250</v>
      </c>
      <c r="K69">
        <v>13.28</v>
      </c>
    </row>
    <row r="70" spans="1:11">
      <c r="A70" t="s">
        <v>207</v>
      </c>
      <c r="B70" t="s">
        <v>199</v>
      </c>
      <c r="C70" t="s">
        <v>204</v>
      </c>
      <c r="D70" t="s">
        <v>208</v>
      </c>
      <c r="E70">
        <v>2001</v>
      </c>
      <c r="F70" t="s">
        <v>26</v>
      </c>
      <c r="G70" t="s">
        <v>209</v>
      </c>
      <c r="H70" t="s">
        <v>17</v>
      </c>
      <c r="I70" t="s">
        <v>18</v>
      </c>
      <c r="J70" s="3">
        <v>250</v>
      </c>
      <c r="K70">
        <v>0.49</v>
      </c>
    </row>
    <row r="71" spans="1:11">
      <c r="A71" t="s">
        <v>210</v>
      </c>
      <c r="B71" t="s">
        <v>203</v>
      </c>
      <c r="C71" t="s">
        <v>204</v>
      </c>
      <c r="D71" t="s">
        <v>201</v>
      </c>
      <c r="E71">
        <v>2000</v>
      </c>
      <c r="F71" t="s">
        <v>23</v>
      </c>
      <c r="G71" t="s">
        <v>211</v>
      </c>
      <c r="H71" t="s">
        <v>28</v>
      </c>
      <c r="I71" t="s">
        <v>18</v>
      </c>
      <c r="J71" s="3">
        <v>250</v>
      </c>
      <c r="K71">
        <v>1.1299999999999999</v>
      </c>
    </row>
    <row r="72" spans="1:11">
      <c r="A72" t="s">
        <v>212</v>
      </c>
      <c r="B72" t="s">
        <v>213</v>
      </c>
      <c r="C72" t="s">
        <v>214</v>
      </c>
      <c r="D72" t="s">
        <v>215</v>
      </c>
      <c r="E72">
        <v>2017</v>
      </c>
      <c r="F72" t="s">
        <v>26</v>
      </c>
      <c r="G72" t="s">
        <v>151</v>
      </c>
      <c r="H72" t="s">
        <v>17</v>
      </c>
      <c r="I72" t="s">
        <v>18</v>
      </c>
      <c r="J72" s="3">
        <v>250</v>
      </c>
    </row>
    <row r="73" spans="1:11">
      <c r="A73" t="s">
        <v>216</v>
      </c>
      <c r="B73" t="s">
        <v>217</v>
      </c>
      <c r="C73" t="s">
        <v>218</v>
      </c>
      <c r="D73" t="s">
        <v>219</v>
      </c>
      <c r="E73">
        <v>2020</v>
      </c>
      <c r="F73" t="s">
        <v>26</v>
      </c>
      <c r="G73" t="s">
        <v>151</v>
      </c>
      <c r="H73" t="s">
        <v>17</v>
      </c>
      <c r="I73" t="s">
        <v>18</v>
      </c>
      <c r="J73" s="3">
        <v>250</v>
      </c>
    </row>
    <row r="74" spans="1:11">
      <c r="A74" t="s">
        <v>220</v>
      </c>
      <c r="B74" t="s">
        <v>221</v>
      </c>
      <c r="C74" t="s">
        <v>222</v>
      </c>
      <c r="D74" t="s">
        <v>223</v>
      </c>
      <c r="E74">
        <v>2021</v>
      </c>
      <c r="F74" t="s">
        <v>26</v>
      </c>
      <c r="G74" t="s">
        <v>151</v>
      </c>
      <c r="H74" t="s">
        <v>17</v>
      </c>
      <c r="I74" t="s">
        <v>18</v>
      </c>
      <c r="J74" s="3">
        <v>250</v>
      </c>
    </row>
    <row r="75" spans="1:11">
      <c r="A75" t="s">
        <v>224</v>
      </c>
      <c r="B75" t="s">
        <v>225</v>
      </c>
      <c r="C75" t="s">
        <v>226</v>
      </c>
      <c r="D75" t="s">
        <v>226</v>
      </c>
      <c r="E75">
        <v>2020</v>
      </c>
      <c r="F75" t="s">
        <v>26</v>
      </c>
      <c r="G75" t="s">
        <v>151</v>
      </c>
      <c r="H75" t="s">
        <v>17</v>
      </c>
      <c r="I75" t="s">
        <v>18</v>
      </c>
      <c r="J75" s="3">
        <v>250</v>
      </c>
    </row>
    <row r="76" spans="1:11">
      <c r="A76" t="s">
        <v>227</v>
      </c>
      <c r="B76" t="s">
        <v>199</v>
      </c>
      <c r="C76" t="s">
        <v>204</v>
      </c>
      <c r="D76" t="s">
        <v>228</v>
      </c>
      <c r="E76">
        <v>2007</v>
      </c>
      <c r="I76" t="s">
        <v>18</v>
      </c>
      <c r="J76" s="3">
        <v>250</v>
      </c>
      <c r="K76">
        <v>3.11</v>
      </c>
    </row>
    <row r="77" spans="1:11">
      <c r="A77" t="s">
        <v>229</v>
      </c>
      <c r="B77" t="s">
        <v>230</v>
      </c>
      <c r="C77" t="s">
        <v>231</v>
      </c>
      <c r="D77" t="s">
        <v>232</v>
      </c>
      <c r="E77">
        <v>2016</v>
      </c>
      <c r="F77" t="s">
        <v>26</v>
      </c>
      <c r="G77" t="s">
        <v>1038</v>
      </c>
      <c r="H77" t="s">
        <v>17</v>
      </c>
      <c r="I77" t="s">
        <v>18</v>
      </c>
      <c r="J77" s="3">
        <v>250</v>
      </c>
    </row>
    <row r="78" spans="1:11">
      <c r="A78" t="s">
        <v>234</v>
      </c>
      <c r="B78" t="s">
        <v>235</v>
      </c>
      <c r="C78" t="s">
        <v>236</v>
      </c>
      <c r="D78" s="49">
        <v>674</v>
      </c>
      <c r="E78">
        <v>2017</v>
      </c>
      <c r="F78" t="s">
        <v>153</v>
      </c>
      <c r="G78" t="s">
        <v>1038</v>
      </c>
      <c r="H78" t="s">
        <v>17</v>
      </c>
      <c r="I78" t="s">
        <v>18</v>
      </c>
      <c r="J78" s="3">
        <v>250</v>
      </c>
      <c r="K78">
        <v>1.71</v>
      </c>
    </row>
    <row r="79" spans="1:11">
      <c r="A79" t="s">
        <v>238</v>
      </c>
      <c r="B79" t="s">
        <v>230</v>
      </c>
      <c r="C79" t="s">
        <v>231</v>
      </c>
      <c r="D79" t="s">
        <v>239</v>
      </c>
      <c r="E79">
        <v>2010</v>
      </c>
      <c r="F79" t="s">
        <v>26</v>
      </c>
      <c r="G79" t="s">
        <v>151</v>
      </c>
      <c r="H79" t="s">
        <v>28</v>
      </c>
      <c r="I79" t="s">
        <v>18</v>
      </c>
      <c r="J79" s="3">
        <v>250</v>
      </c>
    </row>
    <row r="80" spans="1:11">
      <c r="A80" t="s">
        <v>240</v>
      </c>
      <c r="B80" t="s">
        <v>230</v>
      </c>
      <c r="C80" t="s">
        <v>241</v>
      </c>
      <c r="D80" t="s">
        <v>242</v>
      </c>
      <c r="E80">
        <v>2014</v>
      </c>
      <c r="F80" t="s">
        <v>48</v>
      </c>
      <c r="G80" t="s">
        <v>237</v>
      </c>
      <c r="H80" t="s">
        <v>28</v>
      </c>
      <c r="I80" t="s">
        <v>18</v>
      </c>
      <c r="J80" s="3">
        <v>250</v>
      </c>
    </row>
    <row r="81" spans="1:11">
      <c r="A81" t="s">
        <v>243</v>
      </c>
      <c r="B81" t="s">
        <v>235</v>
      </c>
      <c r="C81" t="s">
        <v>244</v>
      </c>
      <c r="D81" t="s">
        <v>245</v>
      </c>
      <c r="E81">
        <v>2020</v>
      </c>
      <c r="F81" t="s">
        <v>26</v>
      </c>
      <c r="G81" t="s">
        <v>57</v>
      </c>
      <c r="H81" t="s">
        <v>28</v>
      </c>
      <c r="I81" t="s">
        <v>18</v>
      </c>
      <c r="J81" s="3">
        <v>250</v>
      </c>
      <c r="K81">
        <v>0</v>
      </c>
    </row>
    <row r="82" spans="1:11">
      <c r="A82" t="s">
        <v>246</v>
      </c>
      <c r="B82" t="s">
        <v>230</v>
      </c>
      <c r="C82" t="s">
        <v>231</v>
      </c>
      <c r="D82" t="s">
        <v>239</v>
      </c>
      <c r="E82">
        <v>2010</v>
      </c>
      <c r="H82" t="s">
        <v>28</v>
      </c>
      <c r="I82" t="s">
        <v>18</v>
      </c>
      <c r="J82" s="3">
        <v>250</v>
      </c>
      <c r="K82">
        <v>2.74</v>
      </c>
    </row>
    <row r="83" spans="1:11">
      <c r="A83" t="s">
        <v>247</v>
      </c>
      <c r="B83" t="s">
        <v>235</v>
      </c>
      <c r="C83" t="s">
        <v>248</v>
      </c>
      <c r="D83" s="49">
        <v>512</v>
      </c>
      <c r="H83" t="s">
        <v>28</v>
      </c>
      <c r="I83" t="s">
        <v>18</v>
      </c>
      <c r="J83" s="3">
        <v>250</v>
      </c>
      <c r="K83">
        <v>1.57</v>
      </c>
    </row>
    <row r="84" spans="1:11">
      <c r="A84" t="s">
        <v>249</v>
      </c>
      <c r="B84" t="s">
        <v>230</v>
      </c>
      <c r="C84" t="s">
        <v>241</v>
      </c>
      <c r="D84" t="s">
        <v>250</v>
      </c>
      <c r="E84">
        <v>2019</v>
      </c>
      <c r="G84" t="s">
        <v>1038</v>
      </c>
      <c r="H84" t="s">
        <v>17</v>
      </c>
      <c r="I84" t="s">
        <v>18</v>
      </c>
      <c r="J84" s="3">
        <v>250</v>
      </c>
      <c r="K84">
        <v>1.99</v>
      </c>
    </row>
    <row r="85" spans="1:11">
      <c r="A85" t="s">
        <v>251</v>
      </c>
      <c r="B85" t="s">
        <v>230</v>
      </c>
      <c r="C85" t="s">
        <v>252</v>
      </c>
      <c r="D85" t="s">
        <v>253</v>
      </c>
      <c r="E85">
        <v>2008</v>
      </c>
      <c r="G85" t="s">
        <v>1038</v>
      </c>
      <c r="H85" t="s">
        <v>17</v>
      </c>
      <c r="I85" t="s">
        <v>18</v>
      </c>
      <c r="J85" s="3">
        <v>250</v>
      </c>
    </row>
    <row r="86" spans="1:11">
      <c r="A86" t="s">
        <v>254</v>
      </c>
      <c r="B86" t="s">
        <v>230</v>
      </c>
      <c r="C86" t="s">
        <v>231</v>
      </c>
      <c r="D86" t="s">
        <v>239</v>
      </c>
      <c r="E86">
        <v>2010</v>
      </c>
      <c r="F86" t="s">
        <v>39</v>
      </c>
      <c r="G86" t="s">
        <v>1038</v>
      </c>
      <c r="H86" t="s">
        <v>17</v>
      </c>
      <c r="I86" t="s">
        <v>18</v>
      </c>
      <c r="J86" s="3">
        <v>250</v>
      </c>
      <c r="K86">
        <v>4.38</v>
      </c>
    </row>
    <row r="87" spans="1:11">
      <c r="A87" t="s">
        <v>256</v>
      </c>
      <c r="B87" t="s">
        <v>230</v>
      </c>
      <c r="C87" t="s">
        <v>231</v>
      </c>
      <c r="D87" t="s">
        <v>257</v>
      </c>
      <c r="E87">
        <v>2014</v>
      </c>
      <c r="F87" t="s">
        <v>48</v>
      </c>
      <c r="G87" t="s">
        <v>1038</v>
      </c>
      <c r="H87" t="s">
        <v>17</v>
      </c>
      <c r="I87" t="s">
        <v>18</v>
      </c>
      <c r="J87" s="3">
        <v>250</v>
      </c>
    </row>
    <row r="88" spans="1:11">
      <c r="A88" t="s">
        <v>258</v>
      </c>
      <c r="B88" t="s">
        <v>259</v>
      </c>
      <c r="C88" t="s">
        <v>260</v>
      </c>
      <c r="D88" t="s">
        <v>261</v>
      </c>
      <c r="E88">
        <v>2024</v>
      </c>
      <c r="F88" t="s">
        <v>39</v>
      </c>
      <c r="G88" t="s">
        <v>262</v>
      </c>
      <c r="H88" t="s">
        <v>17</v>
      </c>
      <c r="I88" t="s">
        <v>18</v>
      </c>
      <c r="J88" s="4">
        <v>250</v>
      </c>
      <c r="K88" s="3">
        <v>5.48</v>
      </c>
    </row>
    <row r="89" spans="1:11">
      <c r="A89" t="s">
        <v>263</v>
      </c>
      <c r="B89" t="s">
        <v>264</v>
      </c>
      <c r="C89" t="s">
        <v>265</v>
      </c>
      <c r="D89" t="s">
        <v>266</v>
      </c>
      <c r="E89">
        <v>2018</v>
      </c>
      <c r="F89" t="s">
        <v>48</v>
      </c>
      <c r="G89" t="s">
        <v>267</v>
      </c>
      <c r="H89" t="s">
        <v>17</v>
      </c>
      <c r="I89" t="s">
        <v>18</v>
      </c>
      <c r="J89" s="4">
        <v>250</v>
      </c>
      <c r="K89">
        <v>3.52</v>
      </c>
    </row>
    <row r="90" spans="1:11">
      <c r="A90" t="s">
        <v>268</v>
      </c>
      <c r="B90" t="s">
        <v>269</v>
      </c>
      <c r="C90" t="s">
        <v>270</v>
      </c>
      <c r="D90" t="s">
        <v>271</v>
      </c>
      <c r="E90">
        <v>2014</v>
      </c>
      <c r="F90" t="s">
        <v>272</v>
      </c>
      <c r="G90" t="s">
        <v>53</v>
      </c>
      <c r="H90" t="s">
        <v>17</v>
      </c>
      <c r="I90" t="s">
        <v>18</v>
      </c>
      <c r="J90" s="4">
        <v>250</v>
      </c>
      <c r="K90">
        <v>3.58</v>
      </c>
    </row>
    <row r="91" spans="1:11">
      <c r="A91" t="s">
        <v>273</v>
      </c>
      <c r="B91" t="s">
        <v>269</v>
      </c>
      <c r="C91" t="s">
        <v>270</v>
      </c>
      <c r="D91" t="s">
        <v>274</v>
      </c>
      <c r="E91">
        <v>2019</v>
      </c>
      <c r="F91" t="s">
        <v>15</v>
      </c>
      <c r="G91" t="s">
        <v>53</v>
      </c>
      <c r="H91" t="s">
        <v>17</v>
      </c>
      <c r="I91" t="s">
        <v>18</v>
      </c>
      <c r="J91" s="4">
        <v>250</v>
      </c>
      <c r="K91">
        <v>2.86</v>
      </c>
    </row>
    <row r="92" spans="1:11">
      <c r="A92" t="s">
        <v>275</v>
      </c>
      <c r="B92" t="s">
        <v>259</v>
      </c>
      <c r="C92" t="s">
        <v>260</v>
      </c>
      <c r="D92" t="s">
        <v>261</v>
      </c>
      <c r="E92">
        <v>2024</v>
      </c>
      <c r="F92" t="s">
        <v>276</v>
      </c>
      <c r="G92" t="s">
        <v>277</v>
      </c>
      <c r="H92" t="s">
        <v>17</v>
      </c>
      <c r="I92" t="s">
        <v>18</v>
      </c>
      <c r="J92" s="4">
        <v>250</v>
      </c>
      <c r="K92">
        <v>4.1100000000000003</v>
      </c>
    </row>
    <row r="93" spans="1:11">
      <c r="A93" t="s">
        <v>278</v>
      </c>
      <c r="B93" t="s">
        <v>279</v>
      </c>
      <c r="C93" t="s">
        <v>280</v>
      </c>
      <c r="D93" t="s">
        <v>281</v>
      </c>
      <c r="E93">
        <v>2019</v>
      </c>
      <c r="F93" t="s">
        <v>282</v>
      </c>
      <c r="G93" t="s">
        <v>53</v>
      </c>
      <c r="H93" t="s">
        <v>17</v>
      </c>
      <c r="I93" t="s">
        <v>18</v>
      </c>
      <c r="J93" s="4">
        <v>250</v>
      </c>
      <c r="K93">
        <v>2.06</v>
      </c>
    </row>
    <row r="94" spans="1:11">
      <c r="A94" t="s">
        <v>283</v>
      </c>
      <c r="B94" t="s">
        <v>284</v>
      </c>
      <c r="C94" t="s">
        <v>285</v>
      </c>
      <c r="D94" t="s">
        <v>286</v>
      </c>
      <c r="E94">
        <v>2016</v>
      </c>
      <c r="H94" t="s">
        <v>287</v>
      </c>
      <c r="I94" t="s">
        <v>18</v>
      </c>
      <c r="J94" s="4">
        <v>250</v>
      </c>
    </row>
    <row r="95" spans="1:11">
      <c r="A95" t="s">
        <v>288</v>
      </c>
      <c r="B95" t="s">
        <v>279</v>
      </c>
      <c r="C95" t="s">
        <v>260</v>
      </c>
      <c r="D95" t="s">
        <v>289</v>
      </c>
      <c r="E95">
        <v>2024</v>
      </c>
      <c r="H95" t="s">
        <v>17</v>
      </c>
      <c r="I95" t="s">
        <v>18</v>
      </c>
      <c r="J95" s="4">
        <v>250</v>
      </c>
      <c r="K95">
        <v>6.21</v>
      </c>
    </row>
    <row r="96" spans="1:11">
      <c r="A96" t="s">
        <v>290</v>
      </c>
      <c r="B96" t="s">
        <v>291</v>
      </c>
      <c r="C96" t="s">
        <v>292</v>
      </c>
      <c r="D96" t="s">
        <v>293</v>
      </c>
      <c r="E96">
        <v>2008</v>
      </c>
      <c r="F96" t="s">
        <v>84</v>
      </c>
      <c r="G96" t="s">
        <v>294</v>
      </c>
      <c r="H96" t="s">
        <v>17</v>
      </c>
      <c r="I96" t="s">
        <v>18</v>
      </c>
      <c r="J96" s="4">
        <v>250</v>
      </c>
      <c r="K96">
        <v>1.43</v>
      </c>
    </row>
    <row r="97" spans="1:11">
      <c r="A97" t="s">
        <v>295</v>
      </c>
      <c r="B97" t="s">
        <v>264</v>
      </c>
      <c r="C97" t="s">
        <v>296</v>
      </c>
      <c r="D97" t="s">
        <v>297</v>
      </c>
      <c r="E97">
        <v>2019</v>
      </c>
      <c r="F97" t="s">
        <v>33</v>
      </c>
      <c r="G97" t="s">
        <v>298</v>
      </c>
      <c r="H97" t="s">
        <v>17</v>
      </c>
      <c r="I97" t="s">
        <v>18</v>
      </c>
      <c r="J97" s="4">
        <v>250</v>
      </c>
      <c r="K97">
        <v>2.96</v>
      </c>
    </row>
    <row r="98" spans="1:11">
      <c r="A98" t="s">
        <v>299</v>
      </c>
      <c r="B98" t="s">
        <v>264</v>
      </c>
      <c r="C98" t="s">
        <v>296</v>
      </c>
      <c r="D98" t="s">
        <v>297</v>
      </c>
      <c r="E98">
        <v>2019</v>
      </c>
      <c r="F98" t="s">
        <v>300</v>
      </c>
      <c r="H98" t="s">
        <v>17</v>
      </c>
      <c r="I98" t="s">
        <v>18</v>
      </c>
      <c r="J98" s="4">
        <v>250</v>
      </c>
      <c r="K98">
        <v>4.07</v>
      </c>
    </row>
    <row r="99" spans="1:11">
      <c r="A99" t="s">
        <v>301</v>
      </c>
      <c r="B99" t="s">
        <v>264</v>
      </c>
      <c r="C99" t="s">
        <v>302</v>
      </c>
      <c r="D99" t="s">
        <v>303</v>
      </c>
      <c r="E99">
        <v>2010</v>
      </c>
      <c r="F99" t="s">
        <v>84</v>
      </c>
      <c r="G99" t="s">
        <v>304</v>
      </c>
      <c r="H99" t="s">
        <v>17</v>
      </c>
      <c r="I99" t="s">
        <v>18</v>
      </c>
      <c r="J99" s="4">
        <v>250</v>
      </c>
      <c r="K99">
        <v>1.87</v>
      </c>
    </row>
    <row r="100" spans="1:11">
      <c r="A100" t="s">
        <v>305</v>
      </c>
      <c r="B100" t="s">
        <v>264</v>
      </c>
      <c r="C100" t="s">
        <v>302</v>
      </c>
      <c r="D100" t="s">
        <v>303</v>
      </c>
      <c r="E100">
        <v>2010</v>
      </c>
      <c r="F100" t="s">
        <v>23</v>
      </c>
      <c r="G100" t="s">
        <v>53</v>
      </c>
      <c r="H100" t="s">
        <v>17</v>
      </c>
      <c r="I100" t="s">
        <v>18</v>
      </c>
      <c r="J100" s="4">
        <v>250</v>
      </c>
      <c r="K100">
        <v>2.88</v>
      </c>
    </row>
    <row r="101" spans="1:11">
      <c r="A101" t="s">
        <v>306</v>
      </c>
      <c r="B101" t="s">
        <v>259</v>
      </c>
      <c r="C101" t="s">
        <v>307</v>
      </c>
      <c r="D101" t="s">
        <v>308</v>
      </c>
      <c r="E101">
        <v>2011</v>
      </c>
      <c r="F101" t="s">
        <v>75</v>
      </c>
      <c r="G101" t="s">
        <v>309</v>
      </c>
      <c r="H101" t="s">
        <v>17</v>
      </c>
      <c r="I101" t="s">
        <v>18</v>
      </c>
      <c r="J101" s="4">
        <v>250</v>
      </c>
      <c r="K101" s="3">
        <v>1.39</v>
      </c>
    </row>
    <row r="102" spans="1:11">
      <c r="A102" t="s">
        <v>310</v>
      </c>
      <c r="B102" t="s">
        <v>259</v>
      </c>
      <c r="C102" t="s">
        <v>265</v>
      </c>
      <c r="D102" t="s">
        <v>311</v>
      </c>
      <c r="E102">
        <v>2008</v>
      </c>
      <c r="F102" t="s">
        <v>312</v>
      </c>
      <c r="G102" t="s">
        <v>313</v>
      </c>
      <c r="H102" t="s">
        <v>36</v>
      </c>
      <c r="I102" t="s">
        <v>18</v>
      </c>
      <c r="J102" s="4">
        <v>250</v>
      </c>
    </row>
    <row r="103" spans="1:11">
      <c r="A103" t="s">
        <v>314</v>
      </c>
      <c r="B103" t="s">
        <v>279</v>
      </c>
      <c r="C103" t="s">
        <v>296</v>
      </c>
      <c r="D103" t="s">
        <v>315</v>
      </c>
      <c r="E103">
        <v>2012</v>
      </c>
      <c r="F103" t="s">
        <v>312</v>
      </c>
      <c r="G103" t="s">
        <v>313</v>
      </c>
      <c r="H103" t="s">
        <v>36</v>
      </c>
      <c r="I103" t="s">
        <v>18</v>
      </c>
      <c r="J103" s="4">
        <v>250</v>
      </c>
      <c r="K103">
        <v>3.4</v>
      </c>
    </row>
    <row r="104" spans="1:11">
      <c r="A104" t="s">
        <v>316</v>
      </c>
      <c r="B104" t="s">
        <v>279</v>
      </c>
      <c r="C104" t="s">
        <v>317</v>
      </c>
      <c r="D104" t="s">
        <v>318</v>
      </c>
      <c r="E104">
        <v>2012</v>
      </c>
      <c r="F104" t="s">
        <v>312</v>
      </c>
      <c r="G104" t="s">
        <v>313</v>
      </c>
      <c r="H104" t="s">
        <v>36</v>
      </c>
      <c r="I104" t="s">
        <v>18</v>
      </c>
      <c r="J104" s="4">
        <v>250</v>
      </c>
    </row>
    <row r="105" spans="1:11">
      <c r="A105" t="s">
        <v>319</v>
      </c>
      <c r="B105" t="s">
        <v>269</v>
      </c>
      <c r="C105" t="s">
        <v>270</v>
      </c>
      <c r="D105" t="s">
        <v>271</v>
      </c>
      <c r="E105">
        <v>2012</v>
      </c>
      <c r="F105" t="s">
        <v>26</v>
      </c>
      <c r="G105" t="s">
        <v>320</v>
      </c>
      <c r="H105" t="s">
        <v>17</v>
      </c>
      <c r="I105" t="s">
        <v>18</v>
      </c>
      <c r="J105" s="4">
        <v>250</v>
      </c>
    </row>
    <row r="106" spans="1:11">
      <c r="A106" t="s">
        <v>321</v>
      </c>
      <c r="B106" t="s">
        <v>264</v>
      </c>
      <c r="C106" t="s">
        <v>317</v>
      </c>
      <c r="D106" t="s">
        <v>322</v>
      </c>
      <c r="E106">
        <v>2013</v>
      </c>
      <c r="F106" t="s">
        <v>153</v>
      </c>
      <c r="G106" t="s">
        <v>323</v>
      </c>
      <c r="H106" t="s">
        <v>17</v>
      </c>
      <c r="I106" t="s">
        <v>18</v>
      </c>
      <c r="J106" s="4">
        <v>250</v>
      </c>
      <c r="K106">
        <v>3.03</v>
      </c>
    </row>
    <row r="107" spans="1:11">
      <c r="A107" t="s">
        <v>324</v>
      </c>
      <c r="B107" t="s">
        <v>269</v>
      </c>
      <c r="C107" t="s">
        <v>270</v>
      </c>
      <c r="D107" t="s">
        <v>271</v>
      </c>
      <c r="E107">
        <v>2011</v>
      </c>
      <c r="F107" t="s">
        <v>33</v>
      </c>
      <c r="G107" t="s">
        <v>325</v>
      </c>
      <c r="H107" t="s">
        <v>17</v>
      </c>
      <c r="I107" t="s">
        <v>18</v>
      </c>
      <c r="J107" s="4">
        <v>250</v>
      </c>
      <c r="K107">
        <v>1.44</v>
      </c>
    </row>
    <row r="108" spans="1:11">
      <c r="A108" t="s">
        <v>326</v>
      </c>
      <c r="B108" t="s">
        <v>279</v>
      </c>
      <c r="C108" t="s">
        <v>317</v>
      </c>
      <c r="D108" t="s">
        <v>327</v>
      </c>
      <c r="E108">
        <v>2013</v>
      </c>
      <c r="F108" t="s">
        <v>312</v>
      </c>
      <c r="G108" t="s">
        <v>313</v>
      </c>
      <c r="H108" t="s">
        <v>36</v>
      </c>
      <c r="I108" t="s">
        <v>18</v>
      </c>
      <c r="J108" s="4">
        <v>250</v>
      </c>
    </row>
    <row r="109" spans="1:11">
      <c r="A109" t="s">
        <v>328</v>
      </c>
      <c r="B109" t="s">
        <v>259</v>
      </c>
      <c r="C109" t="s">
        <v>317</v>
      </c>
      <c r="D109" t="s">
        <v>329</v>
      </c>
      <c r="E109">
        <v>2013</v>
      </c>
      <c r="F109" t="s">
        <v>312</v>
      </c>
      <c r="G109" t="s">
        <v>313</v>
      </c>
      <c r="H109" t="s">
        <v>36</v>
      </c>
      <c r="I109" t="s">
        <v>18</v>
      </c>
      <c r="J109" s="4">
        <v>250</v>
      </c>
    </row>
    <row r="110" spans="1:11">
      <c r="A110" t="s">
        <v>330</v>
      </c>
      <c r="B110" t="s">
        <v>279</v>
      </c>
      <c r="C110" t="s">
        <v>302</v>
      </c>
      <c r="D110" t="s">
        <v>331</v>
      </c>
      <c r="E110">
        <v>2014</v>
      </c>
      <c r="F110" t="s">
        <v>33</v>
      </c>
      <c r="G110" t="s">
        <v>332</v>
      </c>
      <c r="H110" t="s">
        <v>17</v>
      </c>
      <c r="I110" t="s">
        <v>18</v>
      </c>
      <c r="J110" s="4">
        <v>250</v>
      </c>
      <c r="K110">
        <v>2.33</v>
      </c>
    </row>
    <row r="111" spans="1:11">
      <c r="A111" t="s">
        <v>333</v>
      </c>
      <c r="B111" t="s">
        <v>259</v>
      </c>
      <c r="C111" t="s">
        <v>307</v>
      </c>
      <c r="D111" t="s">
        <v>308</v>
      </c>
      <c r="E111">
        <v>2019</v>
      </c>
      <c r="F111" t="s">
        <v>334</v>
      </c>
      <c r="G111" t="s">
        <v>335</v>
      </c>
      <c r="H111" t="s">
        <v>17</v>
      </c>
      <c r="I111" t="s">
        <v>18</v>
      </c>
      <c r="J111" s="4">
        <v>250</v>
      </c>
      <c r="K111" s="3">
        <v>2.52</v>
      </c>
    </row>
    <row r="112" spans="1:11">
      <c r="A112" t="s">
        <v>336</v>
      </c>
      <c r="B112" t="s">
        <v>259</v>
      </c>
      <c r="C112" t="s">
        <v>302</v>
      </c>
      <c r="D112" t="s">
        <v>337</v>
      </c>
      <c r="E112">
        <v>2013</v>
      </c>
      <c r="F112" t="s">
        <v>153</v>
      </c>
      <c r="G112" t="s">
        <v>338</v>
      </c>
      <c r="H112" t="s">
        <v>17</v>
      </c>
      <c r="I112" t="s">
        <v>18</v>
      </c>
      <c r="J112" s="4">
        <v>250</v>
      </c>
    </row>
    <row r="113" spans="1:11">
      <c r="A113" t="s">
        <v>339</v>
      </c>
      <c r="B113" t="s">
        <v>340</v>
      </c>
      <c r="C113" t="s">
        <v>341</v>
      </c>
      <c r="D113" t="s">
        <v>342</v>
      </c>
      <c r="E113">
        <v>2011</v>
      </c>
      <c r="F113" t="s">
        <v>94</v>
      </c>
      <c r="G113" t="s">
        <v>343</v>
      </c>
      <c r="H113" t="s">
        <v>17</v>
      </c>
      <c r="I113" t="s">
        <v>18</v>
      </c>
      <c r="J113" s="4">
        <v>250</v>
      </c>
      <c r="K113">
        <v>16.440000000000001</v>
      </c>
    </row>
    <row r="114" spans="1:11">
      <c r="A114" t="s">
        <v>344</v>
      </c>
      <c r="B114" t="s">
        <v>340</v>
      </c>
      <c r="C114" t="s">
        <v>341</v>
      </c>
      <c r="D114" t="s">
        <v>342</v>
      </c>
      <c r="E114">
        <v>2011</v>
      </c>
      <c r="F114" t="s">
        <v>345</v>
      </c>
      <c r="G114" t="s">
        <v>57</v>
      </c>
      <c r="H114" t="s">
        <v>17</v>
      </c>
      <c r="I114" t="s">
        <v>18</v>
      </c>
      <c r="J114" s="4">
        <v>250</v>
      </c>
    </row>
    <row r="115" spans="1:11">
      <c r="A115" t="s">
        <v>346</v>
      </c>
      <c r="B115" t="s">
        <v>291</v>
      </c>
      <c r="C115" t="s">
        <v>347</v>
      </c>
      <c r="D115" t="s">
        <v>348</v>
      </c>
      <c r="E115">
        <v>1998</v>
      </c>
      <c r="F115" t="s">
        <v>75</v>
      </c>
      <c r="G115" t="s">
        <v>349</v>
      </c>
      <c r="H115" t="s">
        <v>17</v>
      </c>
      <c r="I115" t="s">
        <v>18</v>
      </c>
      <c r="J115" s="4">
        <v>250</v>
      </c>
    </row>
    <row r="116" spans="1:11">
      <c r="A116" t="s">
        <v>350</v>
      </c>
      <c r="B116" t="s">
        <v>351</v>
      </c>
      <c r="C116" t="s">
        <v>347</v>
      </c>
      <c r="D116" t="s">
        <v>352</v>
      </c>
      <c r="E116">
        <v>1998</v>
      </c>
      <c r="F116" t="s">
        <v>23</v>
      </c>
      <c r="G116" t="s">
        <v>53</v>
      </c>
      <c r="H116" t="s">
        <v>17</v>
      </c>
      <c r="I116" t="s">
        <v>18</v>
      </c>
      <c r="J116" s="4">
        <v>250</v>
      </c>
    </row>
    <row r="117" spans="1:11">
      <c r="A117" t="s">
        <v>353</v>
      </c>
      <c r="B117" t="s">
        <v>351</v>
      </c>
      <c r="C117" t="s">
        <v>347</v>
      </c>
      <c r="D117" t="s">
        <v>352</v>
      </c>
      <c r="E117">
        <v>2001</v>
      </c>
      <c r="F117" t="s">
        <v>94</v>
      </c>
      <c r="G117" t="s">
        <v>53</v>
      </c>
      <c r="H117" t="s">
        <v>17</v>
      </c>
      <c r="I117" t="s">
        <v>18</v>
      </c>
      <c r="J117" s="4">
        <v>250</v>
      </c>
      <c r="K117">
        <v>0.21</v>
      </c>
    </row>
    <row r="118" spans="1:11">
      <c r="A118" t="s">
        <v>354</v>
      </c>
      <c r="B118" t="s">
        <v>269</v>
      </c>
      <c r="C118" t="s">
        <v>270</v>
      </c>
      <c r="D118" t="s">
        <v>271</v>
      </c>
      <c r="E118">
        <v>2015</v>
      </c>
      <c r="F118" t="s">
        <v>23</v>
      </c>
      <c r="G118" t="s">
        <v>355</v>
      </c>
      <c r="H118" t="s">
        <v>17</v>
      </c>
      <c r="I118" t="s">
        <v>18</v>
      </c>
      <c r="J118" s="4">
        <v>250</v>
      </c>
      <c r="K118">
        <v>1.0900000000000001</v>
      </c>
    </row>
    <row r="119" spans="1:11">
      <c r="A119" t="s">
        <v>356</v>
      </c>
      <c r="B119" t="s">
        <v>264</v>
      </c>
      <c r="C119" t="s">
        <v>302</v>
      </c>
      <c r="D119" t="s">
        <v>357</v>
      </c>
      <c r="E119">
        <v>2011</v>
      </c>
      <c r="F119" t="s">
        <v>153</v>
      </c>
      <c r="G119" t="s">
        <v>358</v>
      </c>
      <c r="H119" t="s">
        <v>17</v>
      </c>
      <c r="I119" t="s">
        <v>18</v>
      </c>
      <c r="J119" s="4">
        <v>250</v>
      </c>
      <c r="K119">
        <v>3.15</v>
      </c>
    </row>
    <row r="120" spans="1:11">
      <c r="A120" t="s">
        <v>359</v>
      </c>
      <c r="B120" t="s">
        <v>259</v>
      </c>
      <c r="C120" t="s">
        <v>307</v>
      </c>
      <c r="D120" t="s">
        <v>308</v>
      </c>
      <c r="E120">
        <v>2013</v>
      </c>
      <c r="F120" t="s">
        <v>30</v>
      </c>
      <c r="G120" t="s">
        <v>360</v>
      </c>
      <c r="H120" t="s">
        <v>17</v>
      </c>
      <c r="I120" t="s">
        <v>18</v>
      </c>
      <c r="J120" s="4">
        <v>250</v>
      </c>
      <c r="K120" s="3">
        <v>9.74</v>
      </c>
    </row>
    <row r="121" spans="1:11">
      <c r="A121" t="s">
        <v>361</v>
      </c>
      <c r="B121" t="s">
        <v>291</v>
      </c>
      <c r="C121" t="s">
        <v>347</v>
      </c>
      <c r="D121" t="s">
        <v>348</v>
      </c>
      <c r="E121">
        <v>1998</v>
      </c>
      <c r="F121" t="s">
        <v>26</v>
      </c>
      <c r="G121" t="s">
        <v>57</v>
      </c>
      <c r="H121" t="s">
        <v>17</v>
      </c>
      <c r="I121" t="s">
        <v>18</v>
      </c>
      <c r="J121" s="4">
        <v>250</v>
      </c>
    </row>
    <row r="122" spans="1:11">
      <c r="A122" t="s">
        <v>362</v>
      </c>
      <c r="B122" t="s">
        <v>279</v>
      </c>
      <c r="C122" t="s">
        <v>302</v>
      </c>
      <c r="D122" t="s">
        <v>363</v>
      </c>
      <c r="E122">
        <v>2011</v>
      </c>
      <c r="F122" t="s">
        <v>26</v>
      </c>
      <c r="G122" t="s">
        <v>57</v>
      </c>
      <c r="H122" t="s">
        <v>17</v>
      </c>
      <c r="I122" t="s">
        <v>18</v>
      </c>
      <c r="J122" s="4">
        <v>250</v>
      </c>
    </row>
    <row r="123" spans="1:11">
      <c r="A123" t="s">
        <v>364</v>
      </c>
      <c r="B123" t="s">
        <v>259</v>
      </c>
      <c r="C123" t="s">
        <v>307</v>
      </c>
      <c r="D123" t="s">
        <v>308</v>
      </c>
      <c r="E123">
        <v>2015</v>
      </c>
      <c r="F123" t="s">
        <v>48</v>
      </c>
      <c r="G123" t="s">
        <v>57</v>
      </c>
      <c r="H123" t="s">
        <v>17</v>
      </c>
      <c r="I123" t="s">
        <v>18</v>
      </c>
      <c r="J123" s="4">
        <v>250</v>
      </c>
      <c r="K123" s="3">
        <v>1.97</v>
      </c>
    </row>
    <row r="124" spans="1:11">
      <c r="A124" t="s">
        <v>365</v>
      </c>
      <c r="B124" t="s">
        <v>366</v>
      </c>
      <c r="C124" t="s">
        <v>367</v>
      </c>
      <c r="D124" t="s">
        <v>368</v>
      </c>
      <c r="E124">
        <v>2006</v>
      </c>
      <c r="F124" t="s">
        <v>30</v>
      </c>
      <c r="G124" t="s">
        <v>369</v>
      </c>
      <c r="H124" t="s">
        <v>17</v>
      </c>
      <c r="I124" t="s">
        <v>18</v>
      </c>
      <c r="J124" s="4">
        <v>250</v>
      </c>
      <c r="K124" s="3">
        <v>2.93</v>
      </c>
    </row>
    <row r="125" spans="1:11">
      <c r="A125" t="s">
        <v>370</v>
      </c>
      <c r="B125" t="s">
        <v>340</v>
      </c>
      <c r="C125" t="s">
        <v>371</v>
      </c>
      <c r="D125" t="s">
        <v>372</v>
      </c>
      <c r="E125">
        <v>2009</v>
      </c>
      <c r="F125" t="s">
        <v>373</v>
      </c>
      <c r="G125" t="s">
        <v>57</v>
      </c>
      <c r="H125" t="s">
        <v>17</v>
      </c>
      <c r="I125" t="s">
        <v>18</v>
      </c>
      <c r="J125" s="4">
        <v>250</v>
      </c>
    </row>
    <row r="126" spans="1:11">
      <c r="A126" t="s">
        <v>374</v>
      </c>
      <c r="B126" t="s">
        <v>279</v>
      </c>
      <c r="C126" t="s">
        <v>375</v>
      </c>
      <c r="D126" t="s">
        <v>376</v>
      </c>
      <c r="E126">
        <v>2015</v>
      </c>
      <c r="F126" t="s">
        <v>26</v>
      </c>
      <c r="G126" t="s">
        <v>377</v>
      </c>
      <c r="H126" t="s">
        <v>17</v>
      </c>
      <c r="I126" t="s">
        <v>18</v>
      </c>
      <c r="J126" s="4">
        <v>250</v>
      </c>
      <c r="K126">
        <v>0</v>
      </c>
    </row>
    <row r="127" spans="1:11">
      <c r="A127" t="s">
        <v>378</v>
      </c>
      <c r="B127" t="s">
        <v>269</v>
      </c>
      <c r="C127" t="s">
        <v>270</v>
      </c>
      <c r="D127" t="s">
        <v>271</v>
      </c>
      <c r="E127">
        <v>2008</v>
      </c>
      <c r="F127" t="s">
        <v>26</v>
      </c>
      <c r="G127" t="s">
        <v>57</v>
      </c>
      <c r="H127" t="s">
        <v>17</v>
      </c>
      <c r="I127" t="s">
        <v>18</v>
      </c>
      <c r="J127" s="4">
        <v>250</v>
      </c>
      <c r="K127">
        <v>2.19</v>
      </c>
    </row>
    <row r="128" spans="1:11">
      <c r="A128" t="s">
        <v>379</v>
      </c>
      <c r="B128" t="s">
        <v>269</v>
      </c>
      <c r="C128" t="s">
        <v>270</v>
      </c>
      <c r="D128" t="s">
        <v>380</v>
      </c>
      <c r="E128">
        <v>2012</v>
      </c>
      <c r="F128" t="s">
        <v>94</v>
      </c>
      <c r="G128" t="s">
        <v>381</v>
      </c>
      <c r="H128" t="s">
        <v>17</v>
      </c>
      <c r="I128" t="s">
        <v>18</v>
      </c>
      <c r="J128" s="4">
        <v>250</v>
      </c>
      <c r="K128" s="3">
        <v>1.34</v>
      </c>
    </row>
    <row r="129" spans="1:11">
      <c r="A129" t="s">
        <v>382</v>
      </c>
      <c r="B129" t="s">
        <v>366</v>
      </c>
      <c r="C129" t="s">
        <v>307</v>
      </c>
      <c r="D129" t="s">
        <v>368</v>
      </c>
      <c r="E129">
        <v>2014</v>
      </c>
      <c r="F129" t="s">
        <v>276</v>
      </c>
      <c r="G129" t="s">
        <v>383</v>
      </c>
      <c r="H129" t="s">
        <v>17</v>
      </c>
      <c r="I129" t="s">
        <v>18</v>
      </c>
      <c r="J129" s="4">
        <v>250</v>
      </c>
      <c r="K129" s="3">
        <v>1.27</v>
      </c>
    </row>
    <row r="130" spans="1:11">
      <c r="A130" t="s">
        <v>384</v>
      </c>
      <c r="B130" t="s">
        <v>340</v>
      </c>
      <c r="C130" t="s">
        <v>371</v>
      </c>
      <c r="D130" t="s">
        <v>385</v>
      </c>
      <c r="E130">
        <v>2002</v>
      </c>
      <c r="F130" t="s">
        <v>26</v>
      </c>
      <c r="G130" t="s">
        <v>313</v>
      </c>
      <c r="H130" t="s">
        <v>36</v>
      </c>
      <c r="I130" t="s">
        <v>18</v>
      </c>
      <c r="J130" s="4">
        <v>250</v>
      </c>
      <c r="K130">
        <v>0</v>
      </c>
    </row>
    <row r="131" spans="1:11">
      <c r="A131" t="s">
        <v>386</v>
      </c>
      <c r="B131" t="s">
        <v>340</v>
      </c>
      <c r="C131" t="s">
        <v>371</v>
      </c>
      <c r="D131" t="s">
        <v>385</v>
      </c>
      <c r="E131">
        <v>2004</v>
      </c>
      <c r="F131" t="s">
        <v>312</v>
      </c>
      <c r="G131" t="s">
        <v>313</v>
      </c>
      <c r="H131" t="s">
        <v>36</v>
      </c>
      <c r="I131" t="s">
        <v>18</v>
      </c>
      <c r="J131" s="4">
        <v>250</v>
      </c>
      <c r="K131">
        <v>0</v>
      </c>
    </row>
    <row r="132" spans="1:11">
      <c r="A132" t="s">
        <v>387</v>
      </c>
      <c r="B132" t="s">
        <v>264</v>
      </c>
      <c r="C132" t="s">
        <v>317</v>
      </c>
      <c r="D132" t="s">
        <v>388</v>
      </c>
      <c r="E132">
        <v>2007</v>
      </c>
      <c r="F132" t="s">
        <v>30</v>
      </c>
      <c r="G132" t="s">
        <v>389</v>
      </c>
      <c r="H132" t="s">
        <v>17</v>
      </c>
      <c r="I132" t="s">
        <v>18</v>
      </c>
      <c r="J132" s="4">
        <v>250</v>
      </c>
      <c r="K132">
        <v>0</v>
      </c>
    </row>
    <row r="133" spans="1:11">
      <c r="A133" t="s">
        <v>390</v>
      </c>
      <c r="B133" t="s">
        <v>259</v>
      </c>
      <c r="C133" t="s">
        <v>265</v>
      </c>
      <c r="D133" t="s">
        <v>391</v>
      </c>
      <c r="E133">
        <v>2012</v>
      </c>
      <c r="F133" t="s">
        <v>23</v>
      </c>
      <c r="G133" t="s">
        <v>392</v>
      </c>
      <c r="H133" t="s">
        <v>17</v>
      </c>
      <c r="I133" t="s">
        <v>18</v>
      </c>
      <c r="J133" s="4">
        <v>250</v>
      </c>
      <c r="K133">
        <v>0</v>
      </c>
    </row>
    <row r="134" spans="1:11">
      <c r="A134" t="s">
        <v>393</v>
      </c>
      <c r="B134" t="s">
        <v>340</v>
      </c>
      <c r="C134" t="s">
        <v>296</v>
      </c>
      <c r="D134" t="s">
        <v>394</v>
      </c>
      <c r="E134">
        <v>2015</v>
      </c>
      <c r="F134" t="s">
        <v>30</v>
      </c>
      <c r="G134" t="s">
        <v>395</v>
      </c>
      <c r="H134" t="s">
        <v>17</v>
      </c>
      <c r="I134" t="s">
        <v>18</v>
      </c>
      <c r="J134" s="4">
        <v>250</v>
      </c>
      <c r="K134">
        <v>0.75</v>
      </c>
    </row>
    <row r="135" spans="1:11">
      <c r="A135" t="s">
        <v>396</v>
      </c>
      <c r="B135" t="s">
        <v>340</v>
      </c>
      <c r="C135" t="s">
        <v>375</v>
      </c>
      <c r="D135" t="s">
        <v>397</v>
      </c>
      <c r="E135">
        <v>2015</v>
      </c>
      <c r="F135" t="s">
        <v>33</v>
      </c>
      <c r="G135" t="s">
        <v>398</v>
      </c>
      <c r="H135" t="s">
        <v>17</v>
      </c>
      <c r="I135" t="s">
        <v>18</v>
      </c>
      <c r="J135" s="4">
        <v>250</v>
      </c>
      <c r="K135">
        <v>1.18</v>
      </c>
    </row>
    <row r="136" spans="1:11">
      <c r="A136" t="s">
        <v>399</v>
      </c>
      <c r="B136" t="s">
        <v>264</v>
      </c>
      <c r="C136" t="s">
        <v>302</v>
      </c>
      <c r="D136" t="s">
        <v>400</v>
      </c>
      <c r="E136">
        <v>2012</v>
      </c>
      <c r="F136" t="s">
        <v>26</v>
      </c>
      <c r="G136" t="s">
        <v>57</v>
      </c>
      <c r="H136" t="s">
        <v>28</v>
      </c>
      <c r="I136" t="s">
        <v>18</v>
      </c>
      <c r="J136" s="4">
        <v>250</v>
      </c>
    </row>
    <row r="137" spans="1:11">
      <c r="A137" t="s">
        <v>401</v>
      </c>
      <c r="B137" t="s">
        <v>402</v>
      </c>
      <c r="C137" t="s">
        <v>403</v>
      </c>
      <c r="D137" t="s">
        <v>404</v>
      </c>
      <c r="E137">
        <v>1998</v>
      </c>
      <c r="F137" t="s">
        <v>26</v>
      </c>
      <c r="G137" t="s">
        <v>57</v>
      </c>
      <c r="H137" t="s">
        <v>28</v>
      </c>
      <c r="I137" t="s">
        <v>18</v>
      </c>
      <c r="J137" s="4">
        <v>250</v>
      </c>
    </row>
    <row r="138" spans="1:11">
      <c r="A138" t="s">
        <v>405</v>
      </c>
      <c r="B138" t="s">
        <v>264</v>
      </c>
      <c r="C138" t="s">
        <v>302</v>
      </c>
      <c r="D138" t="s">
        <v>406</v>
      </c>
      <c r="E138">
        <v>2011</v>
      </c>
      <c r="F138" t="s">
        <v>23</v>
      </c>
      <c r="G138" t="s">
        <v>407</v>
      </c>
      <c r="H138" t="s">
        <v>17</v>
      </c>
      <c r="I138" t="s">
        <v>18</v>
      </c>
      <c r="J138" s="4">
        <v>250</v>
      </c>
      <c r="K138">
        <v>1.95</v>
      </c>
    </row>
    <row r="139" spans="1:11">
      <c r="A139" t="s">
        <v>408</v>
      </c>
      <c r="B139" t="s">
        <v>340</v>
      </c>
      <c r="C139" t="s">
        <v>375</v>
      </c>
      <c r="D139" t="s">
        <v>397</v>
      </c>
      <c r="E139">
        <v>2019</v>
      </c>
      <c r="F139" t="s">
        <v>104</v>
      </c>
      <c r="G139" t="s">
        <v>409</v>
      </c>
      <c r="H139" t="s">
        <v>17</v>
      </c>
      <c r="I139" t="s">
        <v>18</v>
      </c>
      <c r="J139" s="4">
        <v>250</v>
      </c>
      <c r="K139">
        <v>2.42</v>
      </c>
    </row>
    <row r="140" spans="1:11">
      <c r="A140" t="s">
        <v>410</v>
      </c>
      <c r="B140" t="s">
        <v>411</v>
      </c>
      <c r="C140" t="s">
        <v>412</v>
      </c>
      <c r="D140" t="s">
        <v>413</v>
      </c>
      <c r="E140">
        <v>2001</v>
      </c>
      <c r="F140" t="s">
        <v>26</v>
      </c>
      <c r="G140" t="s">
        <v>151</v>
      </c>
      <c r="H140" t="s">
        <v>28</v>
      </c>
      <c r="I140" t="s">
        <v>18</v>
      </c>
      <c r="J140" s="4">
        <v>250</v>
      </c>
    </row>
    <row r="141" spans="1:11">
      <c r="A141" t="s">
        <v>414</v>
      </c>
      <c r="B141" t="s">
        <v>259</v>
      </c>
      <c r="C141" t="s">
        <v>307</v>
      </c>
      <c r="D141" t="s">
        <v>415</v>
      </c>
      <c r="E141">
        <v>2019</v>
      </c>
      <c r="F141" t="s">
        <v>104</v>
      </c>
      <c r="G141" t="s">
        <v>416</v>
      </c>
      <c r="H141" t="s">
        <v>17</v>
      </c>
      <c r="I141" t="s">
        <v>18</v>
      </c>
      <c r="J141" s="4">
        <v>250</v>
      </c>
      <c r="K141">
        <v>3.02</v>
      </c>
    </row>
    <row r="142" spans="1:11">
      <c r="A142" t="s">
        <v>417</v>
      </c>
      <c r="B142" t="s">
        <v>259</v>
      </c>
      <c r="C142" t="s">
        <v>307</v>
      </c>
      <c r="D142" t="s">
        <v>418</v>
      </c>
      <c r="E142">
        <v>2020</v>
      </c>
      <c r="F142" t="s">
        <v>39</v>
      </c>
      <c r="G142" t="s">
        <v>419</v>
      </c>
      <c r="H142" t="s">
        <v>17</v>
      </c>
      <c r="I142" t="s">
        <v>18</v>
      </c>
      <c r="J142" s="4">
        <v>250</v>
      </c>
      <c r="K142">
        <v>4.84</v>
      </c>
    </row>
    <row r="143" spans="1:11">
      <c r="A143" t="s">
        <v>420</v>
      </c>
      <c r="B143" t="s">
        <v>259</v>
      </c>
      <c r="C143" t="s">
        <v>421</v>
      </c>
      <c r="D143" t="s">
        <v>422</v>
      </c>
      <c r="E143">
        <v>2019</v>
      </c>
      <c r="F143" t="s">
        <v>23</v>
      </c>
      <c r="G143" t="s">
        <v>423</v>
      </c>
      <c r="H143" t="s">
        <v>17</v>
      </c>
      <c r="I143" t="s">
        <v>18</v>
      </c>
      <c r="J143" s="4">
        <v>250</v>
      </c>
      <c r="K143" s="3">
        <v>2.6</v>
      </c>
    </row>
    <row r="144" spans="1:11">
      <c r="A144" t="s">
        <v>424</v>
      </c>
      <c r="B144" t="s">
        <v>264</v>
      </c>
      <c r="C144" t="s">
        <v>296</v>
      </c>
      <c r="D144" t="s">
        <v>425</v>
      </c>
      <c r="E144">
        <v>2009</v>
      </c>
      <c r="F144" t="s">
        <v>94</v>
      </c>
      <c r="G144" t="s">
        <v>426</v>
      </c>
      <c r="H144" t="s">
        <v>17</v>
      </c>
      <c r="I144" t="s">
        <v>18</v>
      </c>
      <c r="J144" s="4">
        <v>250</v>
      </c>
      <c r="K144">
        <v>1.72</v>
      </c>
    </row>
    <row r="145" spans="1:11">
      <c r="A145" t="s">
        <v>427</v>
      </c>
      <c r="B145" t="s">
        <v>259</v>
      </c>
      <c r="C145" t="s">
        <v>421</v>
      </c>
      <c r="D145" t="s">
        <v>428</v>
      </c>
      <c r="E145">
        <v>2019</v>
      </c>
      <c r="F145" t="s">
        <v>23</v>
      </c>
      <c r="G145" t="s">
        <v>429</v>
      </c>
      <c r="H145" t="s">
        <v>17</v>
      </c>
      <c r="I145" t="s">
        <v>18</v>
      </c>
      <c r="J145" s="4">
        <v>250</v>
      </c>
      <c r="K145" s="3"/>
    </row>
    <row r="146" spans="1:11">
      <c r="A146" t="s">
        <v>430</v>
      </c>
      <c r="B146" t="s">
        <v>259</v>
      </c>
      <c r="C146" t="s">
        <v>421</v>
      </c>
      <c r="D146" t="s">
        <v>428</v>
      </c>
      <c r="E146">
        <v>2019</v>
      </c>
      <c r="F146" t="s">
        <v>30</v>
      </c>
      <c r="G146" t="s">
        <v>360</v>
      </c>
      <c r="H146" t="s">
        <v>17</v>
      </c>
      <c r="I146" t="s">
        <v>18</v>
      </c>
      <c r="J146" s="4">
        <v>250</v>
      </c>
      <c r="K146" s="3">
        <v>12.09</v>
      </c>
    </row>
    <row r="147" spans="1:11">
      <c r="A147" t="s">
        <v>431</v>
      </c>
      <c r="B147" t="s">
        <v>264</v>
      </c>
      <c r="C147" t="s">
        <v>317</v>
      </c>
      <c r="D147" t="s">
        <v>322</v>
      </c>
      <c r="E147">
        <v>2012</v>
      </c>
      <c r="F147" t="s">
        <v>26</v>
      </c>
      <c r="G147" t="s">
        <v>432</v>
      </c>
      <c r="H147" t="s">
        <v>17</v>
      </c>
      <c r="I147" t="s">
        <v>18</v>
      </c>
      <c r="J147" s="4">
        <v>250</v>
      </c>
      <c r="K147">
        <v>3.86</v>
      </c>
    </row>
    <row r="148" spans="1:11">
      <c r="A148" t="s">
        <v>433</v>
      </c>
      <c r="B148" t="s">
        <v>259</v>
      </c>
      <c r="C148" t="s">
        <v>296</v>
      </c>
      <c r="D148" t="s">
        <v>434</v>
      </c>
      <c r="E148">
        <v>2007</v>
      </c>
      <c r="F148" t="s">
        <v>23</v>
      </c>
      <c r="G148" t="s">
        <v>435</v>
      </c>
      <c r="H148" t="s">
        <v>17</v>
      </c>
      <c r="I148" t="s">
        <v>18</v>
      </c>
      <c r="J148" s="4">
        <v>250</v>
      </c>
    </row>
    <row r="149" spans="1:11">
      <c r="A149" t="s">
        <v>436</v>
      </c>
      <c r="B149" t="s">
        <v>264</v>
      </c>
      <c r="C149" t="s">
        <v>302</v>
      </c>
      <c r="D149" t="s">
        <v>357</v>
      </c>
      <c r="E149">
        <v>2013</v>
      </c>
      <c r="F149" t="s">
        <v>312</v>
      </c>
      <c r="G149" t="s">
        <v>313</v>
      </c>
      <c r="H149" t="s">
        <v>36</v>
      </c>
      <c r="I149" t="s">
        <v>18</v>
      </c>
      <c r="J149" s="4">
        <v>250</v>
      </c>
    </row>
    <row r="150" spans="1:11">
      <c r="A150" t="s">
        <v>437</v>
      </c>
      <c r="B150" t="s">
        <v>279</v>
      </c>
      <c r="C150" t="s">
        <v>302</v>
      </c>
      <c r="D150" t="s">
        <v>438</v>
      </c>
      <c r="E150">
        <v>2013</v>
      </c>
      <c r="F150" t="s">
        <v>153</v>
      </c>
      <c r="G150" t="s">
        <v>439</v>
      </c>
      <c r="H150" t="s">
        <v>28</v>
      </c>
      <c r="I150" t="s">
        <v>18</v>
      </c>
      <c r="J150" s="4">
        <v>250</v>
      </c>
      <c r="K150">
        <v>0</v>
      </c>
    </row>
    <row r="151" spans="1:11">
      <c r="A151" t="s">
        <v>440</v>
      </c>
      <c r="B151" t="s">
        <v>340</v>
      </c>
      <c r="C151" t="s">
        <v>260</v>
      </c>
      <c r="D151" t="s">
        <v>441</v>
      </c>
      <c r="E151">
        <v>2023</v>
      </c>
      <c r="F151" t="s">
        <v>23</v>
      </c>
      <c r="G151" t="s">
        <v>442</v>
      </c>
      <c r="H151" t="s">
        <v>17</v>
      </c>
      <c r="I151" t="s">
        <v>18</v>
      </c>
      <c r="J151" s="4">
        <v>250</v>
      </c>
      <c r="K151">
        <v>2.64</v>
      </c>
    </row>
    <row r="152" spans="1:11">
      <c r="A152" t="s">
        <v>443</v>
      </c>
      <c r="B152" t="s">
        <v>340</v>
      </c>
      <c r="C152" t="s">
        <v>280</v>
      </c>
      <c r="D152" t="s">
        <v>444</v>
      </c>
      <c r="E152">
        <v>2023</v>
      </c>
      <c r="F152" t="s">
        <v>445</v>
      </c>
      <c r="G152" t="s">
        <v>446</v>
      </c>
      <c r="H152" t="s">
        <v>17</v>
      </c>
      <c r="I152" t="s">
        <v>18</v>
      </c>
      <c r="J152" s="4">
        <v>250</v>
      </c>
      <c r="K152">
        <v>2.78</v>
      </c>
    </row>
    <row r="153" spans="1:11">
      <c r="A153" t="s">
        <v>447</v>
      </c>
      <c r="B153" t="s">
        <v>340</v>
      </c>
      <c r="C153" t="s">
        <v>280</v>
      </c>
      <c r="D153" t="s">
        <v>444</v>
      </c>
      <c r="E153">
        <v>2023</v>
      </c>
      <c r="F153" t="s">
        <v>300</v>
      </c>
      <c r="G153" t="s">
        <v>448</v>
      </c>
      <c r="H153" t="s">
        <v>17</v>
      </c>
      <c r="I153" t="s">
        <v>18</v>
      </c>
      <c r="J153" s="4">
        <v>250</v>
      </c>
      <c r="K153">
        <v>2.99</v>
      </c>
    </row>
    <row r="154" spans="1:11">
      <c r="A154" t="s">
        <v>449</v>
      </c>
      <c r="B154" t="s">
        <v>340</v>
      </c>
      <c r="C154" t="s">
        <v>260</v>
      </c>
      <c r="D154" t="s">
        <v>441</v>
      </c>
      <c r="E154">
        <v>2023</v>
      </c>
      <c r="F154" t="s">
        <v>84</v>
      </c>
      <c r="G154" t="s">
        <v>450</v>
      </c>
      <c r="H154" t="s">
        <v>17</v>
      </c>
      <c r="I154" t="s">
        <v>18</v>
      </c>
      <c r="J154" s="4">
        <v>250</v>
      </c>
      <c r="K154">
        <v>1.9</v>
      </c>
    </row>
    <row r="155" spans="1:11">
      <c r="A155" t="s">
        <v>451</v>
      </c>
      <c r="B155" t="s">
        <v>452</v>
      </c>
      <c r="C155" t="s">
        <v>292</v>
      </c>
      <c r="D155" t="s">
        <v>453</v>
      </c>
      <c r="E155">
        <v>2011</v>
      </c>
      <c r="F155" t="s">
        <v>94</v>
      </c>
      <c r="G155" t="s">
        <v>454</v>
      </c>
      <c r="H155" t="s">
        <v>17</v>
      </c>
      <c r="I155" t="s">
        <v>18</v>
      </c>
      <c r="J155" s="4">
        <v>250</v>
      </c>
      <c r="K155">
        <v>2.68</v>
      </c>
    </row>
    <row r="156" spans="1:11">
      <c r="A156" t="s">
        <v>455</v>
      </c>
      <c r="B156" t="s">
        <v>452</v>
      </c>
      <c r="C156" t="s">
        <v>292</v>
      </c>
      <c r="D156" t="s">
        <v>453</v>
      </c>
      <c r="E156">
        <v>2011</v>
      </c>
      <c r="F156" t="s">
        <v>153</v>
      </c>
      <c r="G156" t="s">
        <v>454</v>
      </c>
      <c r="H156" t="s">
        <v>17</v>
      </c>
      <c r="I156" t="s">
        <v>18</v>
      </c>
      <c r="J156" s="4">
        <v>250</v>
      </c>
      <c r="K156">
        <v>8.2100000000000009</v>
      </c>
    </row>
    <row r="157" spans="1:11">
      <c r="A157" t="s">
        <v>456</v>
      </c>
      <c r="B157" t="s">
        <v>259</v>
      </c>
      <c r="C157" t="s">
        <v>260</v>
      </c>
      <c r="D157" t="s">
        <v>261</v>
      </c>
      <c r="E157">
        <v>2024</v>
      </c>
      <c r="F157" t="s">
        <v>48</v>
      </c>
      <c r="G157" t="s">
        <v>457</v>
      </c>
      <c r="H157" t="s">
        <v>17</v>
      </c>
      <c r="I157" t="s">
        <v>18</v>
      </c>
      <c r="J157" s="4">
        <v>250</v>
      </c>
      <c r="K157">
        <v>4.38</v>
      </c>
    </row>
    <row r="158" spans="1:11">
      <c r="A158" t="s">
        <v>458</v>
      </c>
      <c r="B158" t="s">
        <v>459</v>
      </c>
      <c r="C158" t="s">
        <v>99</v>
      </c>
      <c r="D158" t="s">
        <v>460</v>
      </c>
      <c r="E158">
        <v>2023</v>
      </c>
      <c r="F158" t="s">
        <v>75</v>
      </c>
      <c r="G158" t="s">
        <v>461</v>
      </c>
      <c r="H158" t="s">
        <v>17</v>
      </c>
      <c r="I158" t="s">
        <v>462</v>
      </c>
      <c r="J158" s="4">
        <v>15000</v>
      </c>
      <c r="K158" s="3">
        <v>67.28</v>
      </c>
    </row>
    <row r="159" spans="1:11">
      <c r="A159" t="s">
        <v>463</v>
      </c>
      <c r="B159" t="s">
        <v>459</v>
      </c>
      <c r="C159" t="s">
        <v>99</v>
      </c>
      <c r="D159" t="s">
        <v>460</v>
      </c>
      <c r="E159">
        <v>2023</v>
      </c>
      <c r="F159" t="s">
        <v>445</v>
      </c>
      <c r="G159" t="s">
        <v>464</v>
      </c>
      <c r="H159" t="s">
        <v>17</v>
      </c>
      <c r="I159" t="s">
        <v>462</v>
      </c>
      <c r="J159" s="4">
        <v>15000</v>
      </c>
      <c r="K159">
        <v>469</v>
      </c>
    </row>
    <row r="160" spans="1:11">
      <c r="A160" t="s">
        <v>465</v>
      </c>
      <c r="B160" t="s">
        <v>459</v>
      </c>
      <c r="C160" t="s">
        <v>466</v>
      </c>
      <c r="D160" t="s">
        <v>467</v>
      </c>
      <c r="E160">
        <v>2024</v>
      </c>
      <c r="F160" t="s">
        <v>36</v>
      </c>
      <c r="G160" t="s">
        <v>468</v>
      </c>
      <c r="H160" t="s">
        <v>17</v>
      </c>
      <c r="I160" t="s">
        <v>462</v>
      </c>
      <c r="J160" s="4">
        <v>15000</v>
      </c>
      <c r="K160">
        <v>216.12</v>
      </c>
    </row>
    <row r="161" spans="1:11">
      <c r="A161" t="s">
        <v>469</v>
      </c>
      <c r="B161" t="s">
        <v>459</v>
      </c>
      <c r="C161" t="s">
        <v>466</v>
      </c>
      <c r="D161" t="s">
        <v>467</v>
      </c>
      <c r="E161">
        <v>2024</v>
      </c>
      <c r="F161" t="s">
        <v>101</v>
      </c>
      <c r="G161" t="s">
        <v>470</v>
      </c>
      <c r="H161" t="s">
        <v>17</v>
      </c>
      <c r="I161" t="s">
        <v>462</v>
      </c>
      <c r="J161" s="4">
        <v>15000</v>
      </c>
      <c r="K161">
        <v>57.54</v>
      </c>
    </row>
    <row r="162" spans="1:11">
      <c r="A162" t="s">
        <v>471</v>
      </c>
      <c r="B162" t="s">
        <v>472</v>
      </c>
      <c r="C162" t="s">
        <v>473</v>
      </c>
      <c r="D162" t="s">
        <v>474</v>
      </c>
      <c r="E162">
        <v>2016</v>
      </c>
      <c r="H162" t="s">
        <v>28</v>
      </c>
      <c r="I162" t="s">
        <v>462</v>
      </c>
      <c r="J162" s="4">
        <v>15000</v>
      </c>
      <c r="K162">
        <v>0</v>
      </c>
    </row>
    <row r="163" spans="1:11">
      <c r="A163" t="s">
        <v>475</v>
      </c>
      <c r="B163" t="s">
        <v>459</v>
      </c>
      <c r="C163" t="s">
        <v>476</v>
      </c>
      <c r="D163" t="s">
        <v>477</v>
      </c>
      <c r="E163">
        <v>2019</v>
      </c>
      <c r="F163" t="s">
        <v>26</v>
      </c>
      <c r="G163" t="s">
        <v>478</v>
      </c>
      <c r="H163" t="s">
        <v>28</v>
      </c>
      <c r="I163" t="s">
        <v>462</v>
      </c>
      <c r="J163" s="4">
        <v>15000</v>
      </c>
      <c r="K163">
        <v>0</v>
      </c>
    </row>
    <row r="164" spans="1:11">
      <c r="A164" t="s">
        <v>479</v>
      </c>
      <c r="B164" t="s">
        <v>459</v>
      </c>
      <c r="C164" t="s">
        <v>73</v>
      </c>
      <c r="D164" t="s">
        <v>480</v>
      </c>
      <c r="E164">
        <v>2011</v>
      </c>
      <c r="F164" t="s">
        <v>26</v>
      </c>
      <c r="G164" t="s">
        <v>151</v>
      </c>
      <c r="H164" t="s">
        <v>28</v>
      </c>
      <c r="I164" t="s">
        <v>462</v>
      </c>
      <c r="J164" s="4">
        <v>15000</v>
      </c>
      <c r="K164">
        <v>0</v>
      </c>
    </row>
    <row r="165" spans="1:11">
      <c r="A165" t="s">
        <v>481</v>
      </c>
      <c r="B165" t="s">
        <v>459</v>
      </c>
      <c r="C165" t="s">
        <v>482</v>
      </c>
      <c r="D165" t="s">
        <v>483</v>
      </c>
      <c r="E165">
        <v>2024</v>
      </c>
      <c r="F165" t="s">
        <v>153</v>
      </c>
      <c r="G165" t="s">
        <v>484</v>
      </c>
      <c r="H165" t="s">
        <v>17</v>
      </c>
      <c r="I165" t="s">
        <v>462</v>
      </c>
      <c r="J165" s="4">
        <v>15000</v>
      </c>
      <c r="K165">
        <v>82.2</v>
      </c>
    </row>
    <row r="166" spans="1:11">
      <c r="A166" t="s">
        <v>485</v>
      </c>
      <c r="B166" t="s">
        <v>459</v>
      </c>
      <c r="C166" t="s">
        <v>482</v>
      </c>
      <c r="D166" t="s">
        <v>483</v>
      </c>
      <c r="E166">
        <v>2024</v>
      </c>
      <c r="F166" t="s">
        <v>486</v>
      </c>
      <c r="G166" t="s">
        <v>487</v>
      </c>
      <c r="H166" t="s">
        <v>17</v>
      </c>
      <c r="I166" t="s">
        <v>462</v>
      </c>
      <c r="J166" s="4">
        <v>15000</v>
      </c>
      <c r="K166">
        <v>170.09</v>
      </c>
    </row>
    <row r="167" spans="1:11">
      <c r="A167" t="s">
        <v>488</v>
      </c>
      <c r="B167" t="s">
        <v>459</v>
      </c>
      <c r="C167" t="s">
        <v>482</v>
      </c>
      <c r="D167" t="s">
        <v>483</v>
      </c>
      <c r="E167">
        <v>2024</v>
      </c>
      <c r="F167" t="s">
        <v>486</v>
      </c>
      <c r="G167" t="s">
        <v>489</v>
      </c>
      <c r="H167" t="s">
        <v>17</v>
      </c>
      <c r="I167" t="s">
        <v>462</v>
      </c>
      <c r="J167" s="4">
        <v>15000</v>
      </c>
      <c r="K167">
        <v>188.79</v>
      </c>
    </row>
    <row r="168" spans="1:11">
      <c r="A168" t="s">
        <v>490</v>
      </c>
      <c r="B168" t="s">
        <v>459</v>
      </c>
      <c r="C168" t="s">
        <v>466</v>
      </c>
      <c r="D168" t="s">
        <v>491</v>
      </c>
      <c r="E168">
        <v>2024</v>
      </c>
      <c r="F168" t="s">
        <v>23</v>
      </c>
      <c r="G168" t="s">
        <v>492</v>
      </c>
      <c r="H168" t="s">
        <v>17</v>
      </c>
      <c r="I168" t="s">
        <v>462</v>
      </c>
      <c r="J168" s="4">
        <v>15000</v>
      </c>
      <c r="K168">
        <v>340.34</v>
      </c>
    </row>
    <row r="169" spans="1:11">
      <c r="A169" t="s">
        <v>493</v>
      </c>
      <c r="B169" t="s">
        <v>459</v>
      </c>
      <c r="C169" t="s">
        <v>466</v>
      </c>
      <c r="D169" t="s">
        <v>491</v>
      </c>
      <c r="E169">
        <v>2024</v>
      </c>
      <c r="F169" t="s">
        <v>48</v>
      </c>
      <c r="G169" t="s">
        <v>494</v>
      </c>
      <c r="H169" t="s">
        <v>17</v>
      </c>
      <c r="I169" t="s">
        <v>462</v>
      </c>
      <c r="J169" s="4">
        <v>15000</v>
      </c>
      <c r="K169">
        <v>95.64</v>
      </c>
    </row>
    <row r="170" spans="1:11">
      <c r="A170" t="s">
        <v>495</v>
      </c>
      <c r="B170" t="s">
        <v>459</v>
      </c>
      <c r="C170" t="s">
        <v>466</v>
      </c>
      <c r="D170" t="s">
        <v>491</v>
      </c>
      <c r="E170">
        <v>2024</v>
      </c>
      <c r="F170" t="s">
        <v>26</v>
      </c>
      <c r="G170" t="s">
        <v>468</v>
      </c>
      <c r="H170" t="s">
        <v>17</v>
      </c>
      <c r="I170" t="s">
        <v>462</v>
      </c>
      <c r="J170" s="4">
        <v>15000</v>
      </c>
      <c r="K170">
        <v>230.75</v>
      </c>
    </row>
    <row r="171" spans="1:11">
      <c r="A171" t="s">
        <v>496</v>
      </c>
      <c r="B171" t="s">
        <v>459</v>
      </c>
      <c r="C171" t="s">
        <v>466</v>
      </c>
      <c r="D171" t="s">
        <v>497</v>
      </c>
      <c r="E171">
        <v>2024</v>
      </c>
      <c r="F171" t="s">
        <v>300</v>
      </c>
      <c r="G171" t="s">
        <v>498</v>
      </c>
      <c r="H171" t="s">
        <v>17</v>
      </c>
      <c r="I171" t="s">
        <v>462</v>
      </c>
      <c r="J171" s="4">
        <v>15000</v>
      </c>
      <c r="K171">
        <v>126.58</v>
      </c>
    </row>
    <row r="172" spans="1:11">
      <c r="A172" t="s">
        <v>499</v>
      </c>
      <c r="B172" t="s">
        <v>459</v>
      </c>
      <c r="C172" t="s">
        <v>466</v>
      </c>
      <c r="D172" t="s">
        <v>497</v>
      </c>
      <c r="E172">
        <v>2024</v>
      </c>
      <c r="F172" t="s">
        <v>48</v>
      </c>
      <c r="G172" t="s">
        <v>500</v>
      </c>
      <c r="H172" t="s">
        <v>17</v>
      </c>
      <c r="I172" t="s">
        <v>462</v>
      </c>
      <c r="J172" s="4">
        <v>15000</v>
      </c>
      <c r="K172">
        <v>160.72999999999999</v>
      </c>
    </row>
    <row r="173" spans="1:11">
      <c r="A173" t="s">
        <v>501</v>
      </c>
      <c r="B173" t="s">
        <v>502</v>
      </c>
      <c r="C173" t="s">
        <v>503</v>
      </c>
      <c r="D173" t="s">
        <v>504</v>
      </c>
      <c r="E173">
        <v>2025</v>
      </c>
      <c r="F173" t="s">
        <v>36</v>
      </c>
      <c r="G173" t="s">
        <v>505</v>
      </c>
      <c r="H173" t="s">
        <v>17</v>
      </c>
      <c r="I173" t="s">
        <v>462</v>
      </c>
      <c r="J173" s="4">
        <v>10000</v>
      </c>
      <c r="K173">
        <v>276.58</v>
      </c>
    </row>
    <row r="174" spans="1:11">
      <c r="A174" t="s">
        <v>506</v>
      </c>
      <c r="B174" t="s">
        <v>502</v>
      </c>
      <c r="C174" t="s">
        <v>503</v>
      </c>
      <c r="D174" t="s">
        <v>504</v>
      </c>
      <c r="E174">
        <v>2025</v>
      </c>
      <c r="F174" t="s">
        <v>26</v>
      </c>
      <c r="G174" t="s">
        <v>507</v>
      </c>
      <c r="H174" t="s">
        <v>17</v>
      </c>
      <c r="I174" t="s">
        <v>462</v>
      </c>
      <c r="J174" s="4">
        <v>10000</v>
      </c>
      <c r="K174">
        <v>225.29</v>
      </c>
    </row>
    <row r="175" spans="1:11">
      <c r="A175" t="s">
        <v>508</v>
      </c>
      <c r="B175" t="s">
        <v>502</v>
      </c>
      <c r="C175" t="s">
        <v>503</v>
      </c>
      <c r="D175" t="s">
        <v>504</v>
      </c>
      <c r="E175">
        <v>2025</v>
      </c>
      <c r="F175" t="s">
        <v>84</v>
      </c>
      <c r="G175" t="s">
        <v>509</v>
      </c>
      <c r="H175" t="s">
        <v>17</v>
      </c>
      <c r="I175" t="s">
        <v>462</v>
      </c>
      <c r="J175" s="4">
        <v>10000</v>
      </c>
      <c r="K175">
        <v>41.34</v>
      </c>
    </row>
    <row r="176" spans="1:11">
      <c r="A176" t="s">
        <v>510</v>
      </c>
      <c r="B176" t="s">
        <v>502</v>
      </c>
      <c r="C176" t="s">
        <v>503</v>
      </c>
      <c r="D176" t="s">
        <v>504</v>
      </c>
      <c r="E176">
        <v>2025</v>
      </c>
      <c r="F176" t="s">
        <v>276</v>
      </c>
      <c r="G176" t="s">
        <v>511</v>
      </c>
      <c r="H176" t="s">
        <v>17</v>
      </c>
      <c r="I176" t="s">
        <v>462</v>
      </c>
      <c r="J176" s="4">
        <v>10000</v>
      </c>
      <c r="K176">
        <v>108.29</v>
      </c>
    </row>
    <row r="177" spans="1:11">
      <c r="A177" t="s">
        <v>512</v>
      </c>
      <c r="B177" t="s">
        <v>502</v>
      </c>
      <c r="C177" t="s">
        <v>503</v>
      </c>
      <c r="D177" t="s">
        <v>504</v>
      </c>
      <c r="E177">
        <v>2025</v>
      </c>
      <c r="F177" t="s">
        <v>30</v>
      </c>
      <c r="G177" t="s">
        <v>513</v>
      </c>
      <c r="H177" t="s">
        <v>17</v>
      </c>
      <c r="I177" t="s">
        <v>462</v>
      </c>
      <c r="J177" s="4">
        <v>10000</v>
      </c>
      <c r="K177">
        <v>132.29</v>
      </c>
    </row>
    <row r="178" spans="1:11">
      <c r="A178" t="s">
        <v>514</v>
      </c>
      <c r="B178" t="s">
        <v>502</v>
      </c>
      <c r="C178" t="s">
        <v>503</v>
      </c>
      <c r="D178" t="s">
        <v>504</v>
      </c>
      <c r="E178">
        <v>2025</v>
      </c>
      <c r="F178" t="s">
        <v>300</v>
      </c>
      <c r="G178" t="s">
        <v>36</v>
      </c>
      <c r="H178" t="s">
        <v>17</v>
      </c>
      <c r="I178" t="s">
        <v>462</v>
      </c>
      <c r="J178" s="4">
        <v>10000</v>
      </c>
      <c r="K178">
        <v>141.5</v>
      </c>
    </row>
    <row r="179" spans="1:11">
      <c r="A179" t="s">
        <v>515</v>
      </c>
      <c r="B179" t="s">
        <v>502</v>
      </c>
      <c r="C179" t="s">
        <v>503</v>
      </c>
      <c r="D179" t="s">
        <v>504</v>
      </c>
      <c r="E179">
        <v>2025</v>
      </c>
      <c r="F179" t="s">
        <v>84</v>
      </c>
      <c r="G179" t="s">
        <v>516</v>
      </c>
      <c r="H179" t="s">
        <v>17</v>
      </c>
      <c r="I179" t="s">
        <v>462</v>
      </c>
      <c r="J179" s="4">
        <v>10000</v>
      </c>
      <c r="K179">
        <v>62.98</v>
      </c>
    </row>
    <row r="180" spans="1:11">
      <c r="A180" t="s">
        <v>517</v>
      </c>
      <c r="B180" t="s">
        <v>502</v>
      </c>
      <c r="C180" t="s">
        <v>503</v>
      </c>
      <c r="D180" t="s">
        <v>504</v>
      </c>
      <c r="E180">
        <v>2025</v>
      </c>
      <c r="F180" t="s">
        <v>300</v>
      </c>
      <c r="G180" t="s">
        <v>36</v>
      </c>
      <c r="H180" t="s">
        <v>17</v>
      </c>
      <c r="I180" t="s">
        <v>462</v>
      </c>
      <c r="J180" s="4">
        <v>10000</v>
      </c>
      <c r="K180">
        <v>98.65</v>
      </c>
    </row>
    <row r="181" spans="1:11">
      <c r="A181" t="s">
        <v>518</v>
      </c>
      <c r="B181" t="s">
        <v>502</v>
      </c>
      <c r="C181" t="s">
        <v>503</v>
      </c>
      <c r="D181" t="s">
        <v>504</v>
      </c>
      <c r="E181">
        <v>2025</v>
      </c>
      <c r="F181" t="s">
        <v>30</v>
      </c>
      <c r="G181" t="s">
        <v>519</v>
      </c>
      <c r="H181" t="s">
        <v>17</v>
      </c>
      <c r="I181" t="s">
        <v>462</v>
      </c>
      <c r="J181" s="4">
        <v>10000</v>
      </c>
      <c r="K181">
        <v>209.49</v>
      </c>
    </row>
    <row r="182" spans="1:11">
      <c r="A182" t="s">
        <v>520</v>
      </c>
      <c r="B182" t="s">
        <v>502</v>
      </c>
      <c r="C182" t="s">
        <v>503</v>
      </c>
      <c r="D182" t="s">
        <v>504</v>
      </c>
      <c r="E182">
        <v>2025</v>
      </c>
      <c r="F182" t="s">
        <v>521</v>
      </c>
      <c r="G182" t="s">
        <v>522</v>
      </c>
      <c r="H182" t="s">
        <v>17</v>
      </c>
      <c r="I182" t="s">
        <v>462</v>
      </c>
      <c r="J182" s="4">
        <v>10000</v>
      </c>
      <c r="K182">
        <v>146.47</v>
      </c>
    </row>
    <row r="183" spans="1:11">
      <c r="A183" t="s">
        <v>523</v>
      </c>
      <c r="B183" t="s">
        <v>459</v>
      </c>
      <c r="C183" t="s">
        <v>99</v>
      </c>
      <c r="D183" t="s">
        <v>524</v>
      </c>
      <c r="E183">
        <v>2025</v>
      </c>
      <c r="F183" t="s">
        <v>276</v>
      </c>
      <c r="G183" t="s">
        <v>525</v>
      </c>
      <c r="H183" t="s">
        <v>17</v>
      </c>
      <c r="I183" t="s">
        <v>462</v>
      </c>
      <c r="J183" s="4">
        <v>15000</v>
      </c>
      <c r="K183">
        <v>142.18</v>
      </c>
    </row>
    <row r="184" spans="1:11">
      <c r="A184" t="s">
        <v>526</v>
      </c>
      <c r="B184" t="s">
        <v>459</v>
      </c>
      <c r="C184" t="s">
        <v>99</v>
      </c>
      <c r="D184" t="s">
        <v>524</v>
      </c>
      <c r="E184">
        <v>2025</v>
      </c>
      <c r="F184" t="s">
        <v>94</v>
      </c>
      <c r="G184" t="s">
        <v>527</v>
      </c>
      <c r="H184" t="s">
        <v>17</v>
      </c>
      <c r="I184" t="s">
        <v>462</v>
      </c>
      <c r="J184" s="4">
        <v>15000</v>
      </c>
      <c r="K184">
        <v>231.83</v>
      </c>
    </row>
    <row r="185" spans="1:11">
      <c r="A185" t="s">
        <v>528</v>
      </c>
      <c r="B185" t="s">
        <v>459</v>
      </c>
      <c r="C185" t="s">
        <v>99</v>
      </c>
      <c r="D185" t="s">
        <v>524</v>
      </c>
      <c r="E185">
        <v>2025</v>
      </c>
      <c r="F185" t="s">
        <v>84</v>
      </c>
      <c r="G185" t="s">
        <v>529</v>
      </c>
      <c r="H185" t="s">
        <v>17</v>
      </c>
      <c r="I185" t="s">
        <v>462</v>
      </c>
      <c r="J185" s="4">
        <v>15000</v>
      </c>
      <c r="K185">
        <v>139.25</v>
      </c>
    </row>
    <row r="186" spans="1:11">
      <c r="A186" t="s">
        <v>530</v>
      </c>
      <c r="B186" t="s">
        <v>459</v>
      </c>
      <c r="C186" t="s">
        <v>99</v>
      </c>
      <c r="D186" t="s">
        <v>524</v>
      </c>
      <c r="E186">
        <v>2025</v>
      </c>
      <c r="F186" t="s">
        <v>531</v>
      </c>
      <c r="G186" t="s">
        <v>532</v>
      </c>
      <c r="H186" t="s">
        <v>17</v>
      </c>
      <c r="I186" t="s">
        <v>462</v>
      </c>
      <c r="J186" s="4">
        <v>15000</v>
      </c>
    </row>
    <row r="187" spans="1:11">
      <c r="A187" t="s">
        <v>533</v>
      </c>
      <c r="B187" t="s">
        <v>459</v>
      </c>
      <c r="C187" t="s">
        <v>99</v>
      </c>
      <c r="D187" t="s">
        <v>524</v>
      </c>
      <c r="E187">
        <v>2025</v>
      </c>
      <c r="F187" t="s">
        <v>75</v>
      </c>
      <c r="G187" t="s">
        <v>534</v>
      </c>
      <c r="H187" t="s">
        <v>17</v>
      </c>
      <c r="I187" t="s">
        <v>462</v>
      </c>
      <c r="J187" s="4">
        <v>15000</v>
      </c>
      <c r="K187">
        <v>124.06</v>
      </c>
    </row>
    <row r="188" spans="1:11">
      <c r="A188" t="s">
        <v>535</v>
      </c>
      <c r="B188" s="49" t="s">
        <v>459</v>
      </c>
      <c r="C188" s="49" t="s">
        <v>99</v>
      </c>
      <c r="D188" s="49" t="s">
        <v>524</v>
      </c>
      <c r="E188" s="3">
        <v>2025</v>
      </c>
      <c r="F188" s="49" t="s">
        <v>30</v>
      </c>
      <c r="G188" s="49" t="s">
        <v>536</v>
      </c>
      <c r="H188" s="49" t="s">
        <v>17</v>
      </c>
      <c r="I188" s="49" t="s">
        <v>462</v>
      </c>
      <c r="J188" s="4">
        <v>15000</v>
      </c>
      <c r="K188" s="3">
        <v>359.1</v>
      </c>
    </row>
    <row r="189" spans="1:11">
      <c r="A189" t="s">
        <v>537</v>
      </c>
      <c r="B189" t="s">
        <v>459</v>
      </c>
      <c r="C189" t="s">
        <v>99</v>
      </c>
      <c r="D189" t="s">
        <v>524</v>
      </c>
      <c r="E189">
        <v>2025</v>
      </c>
      <c r="F189" t="s">
        <v>486</v>
      </c>
      <c r="G189" t="s">
        <v>538</v>
      </c>
      <c r="H189" t="s">
        <v>17</v>
      </c>
      <c r="I189" t="s">
        <v>462</v>
      </c>
      <c r="J189" s="4">
        <v>15000</v>
      </c>
      <c r="K189">
        <v>210.78</v>
      </c>
    </row>
    <row r="190" spans="1:11">
      <c r="A190" t="s">
        <v>539</v>
      </c>
      <c r="B190" t="s">
        <v>459</v>
      </c>
      <c r="C190" t="s">
        <v>99</v>
      </c>
      <c r="D190" t="s">
        <v>524</v>
      </c>
      <c r="E190">
        <v>2025</v>
      </c>
      <c r="F190" t="s">
        <v>84</v>
      </c>
      <c r="G190" t="s">
        <v>489</v>
      </c>
      <c r="H190" t="s">
        <v>17</v>
      </c>
      <c r="I190" t="s">
        <v>462</v>
      </c>
      <c r="J190" s="4">
        <v>15000</v>
      </c>
      <c r="K190">
        <v>174.67</v>
      </c>
    </row>
    <row r="191" spans="1:11">
      <c r="A191" t="s">
        <v>540</v>
      </c>
      <c r="B191" t="s">
        <v>459</v>
      </c>
      <c r="C191" t="s">
        <v>99</v>
      </c>
      <c r="D191" t="s">
        <v>524</v>
      </c>
      <c r="E191">
        <v>2025</v>
      </c>
      <c r="F191" t="s">
        <v>104</v>
      </c>
      <c r="G191" t="s">
        <v>541</v>
      </c>
      <c r="H191" t="s">
        <v>17</v>
      </c>
      <c r="I191" t="s">
        <v>462</v>
      </c>
      <c r="J191" s="4">
        <v>15000</v>
      </c>
      <c r="K191">
        <v>217.79</v>
      </c>
    </row>
    <row r="192" spans="1:11">
      <c r="A192" t="s">
        <v>542</v>
      </c>
      <c r="B192" t="s">
        <v>459</v>
      </c>
      <c r="C192" t="s">
        <v>99</v>
      </c>
      <c r="D192" t="s">
        <v>524</v>
      </c>
      <c r="E192">
        <v>2025</v>
      </c>
      <c r="F192" t="s">
        <v>33</v>
      </c>
      <c r="G192" t="s">
        <v>543</v>
      </c>
      <c r="H192" t="s">
        <v>17</v>
      </c>
      <c r="I192" t="s">
        <v>462</v>
      </c>
      <c r="J192" s="4">
        <v>15000</v>
      </c>
      <c r="K192">
        <v>232.83</v>
      </c>
    </row>
    <row r="193" spans="1:11">
      <c r="A193" t="s">
        <v>544</v>
      </c>
      <c r="B193" t="s">
        <v>459</v>
      </c>
      <c r="C193" t="s">
        <v>545</v>
      </c>
      <c r="D193" t="s">
        <v>546</v>
      </c>
      <c r="E193">
        <v>2023</v>
      </c>
      <c r="H193" t="s">
        <v>17</v>
      </c>
      <c r="I193" t="s">
        <v>462</v>
      </c>
      <c r="J193" s="4">
        <v>15000</v>
      </c>
      <c r="K193">
        <v>70.44</v>
      </c>
    </row>
    <row r="194" spans="1:11">
      <c r="A194" t="s">
        <v>547</v>
      </c>
      <c r="B194" t="s">
        <v>459</v>
      </c>
      <c r="C194" t="s">
        <v>99</v>
      </c>
      <c r="D194" t="s">
        <v>460</v>
      </c>
      <c r="E194">
        <v>2026</v>
      </c>
      <c r="H194" t="s">
        <v>17</v>
      </c>
      <c r="I194" t="s">
        <v>462</v>
      </c>
      <c r="J194" s="4">
        <v>15000</v>
      </c>
      <c r="K194">
        <v>227.67</v>
      </c>
    </row>
    <row r="195" spans="1:11">
      <c r="A195" t="s">
        <v>548</v>
      </c>
      <c r="B195" t="s">
        <v>459</v>
      </c>
      <c r="C195" t="s">
        <v>99</v>
      </c>
      <c r="D195" t="s">
        <v>460</v>
      </c>
      <c r="E195">
        <v>2026</v>
      </c>
      <c r="H195" t="s">
        <v>17</v>
      </c>
      <c r="I195" t="s">
        <v>462</v>
      </c>
      <c r="J195" s="4">
        <v>15000</v>
      </c>
      <c r="K195" s="3">
        <v>0</v>
      </c>
    </row>
    <row r="196" spans="1:11">
      <c r="A196" t="s">
        <v>549</v>
      </c>
      <c r="B196" t="s">
        <v>459</v>
      </c>
      <c r="C196" t="s">
        <v>99</v>
      </c>
      <c r="D196" t="s">
        <v>460</v>
      </c>
      <c r="E196">
        <v>2026</v>
      </c>
      <c r="F196" t="s">
        <v>33</v>
      </c>
      <c r="G196" t="s">
        <v>550</v>
      </c>
      <c r="H196" t="s">
        <v>17</v>
      </c>
      <c r="I196" t="s">
        <v>462</v>
      </c>
      <c r="J196" s="4">
        <v>15000</v>
      </c>
      <c r="K196">
        <v>133.94999999999999</v>
      </c>
    </row>
    <row r="197" spans="1:11">
      <c r="A197" t="s">
        <v>551</v>
      </c>
      <c r="B197" t="s">
        <v>459</v>
      </c>
      <c r="C197" t="s">
        <v>99</v>
      </c>
      <c r="D197" t="s">
        <v>460</v>
      </c>
      <c r="E197">
        <v>2026</v>
      </c>
      <c r="H197" t="s">
        <v>17</v>
      </c>
      <c r="I197" t="s">
        <v>462</v>
      </c>
      <c r="J197" s="4">
        <v>15000</v>
      </c>
      <c r="K197">
        <v>164.67</v>
      </c>
    </row>
    <row r="198" spans="1:11">
      <c r="A198" t="s">
        <v>552</v>
      </c>
      <c r="B198" t="s">
        <v>459</v>
      </c>
      <c r="C198" t="s">
        <v>99</v>
      </c>
      <c r="D198" t="s">
        <v>460</v>
      </c>
      <c r="E198">
        <v>2026</v>
      </c>
      <c r="F198" t="s">
        <v>30</v>
      </c>
      <c r="G198" t="s">
        <v>553</v>
      </c>
      <c r="H198" t="s">
        <v>17</v>
      </c>
      <c r="I198" t="s">
        <v>462</v>
      </c>
      <c r="J198" s="4">
        <v>15000</v>
      </c>
      <c r="K198">
        <v>52.18</v>
      </c>
    </row>
    <row r="199" spans="1:11">
      <c r="A199" t="s">
        <v>554</v>
      </c>
      <c r="B199" t="s">
        <v>459</v>
      </c>
      <c r="C199" t="s">
        <v>99</v>
      </c>
      <c r="D199" t="s">
        <v>555</v>
      </c>
      <c r="E199">
        <v>2026</v>
      </c>
      <c r="H199" t="s">
        <v>17</v>
      </c>
      <c r="I199" t="s">
        <v>462</v>
      </c>
      <c r="J199" s="4">
        <v>15000</v>
      </c>
    </row>
    <row r="200" spans="1:11">
      <c r="A200" t="s">
        <v>556</v>
      </c>
      <c r="B200" t="s">
        <v>557</v>
      </c>
      <c r="C200" t="s">
        <v>55</v>
      </c>
      <c r="D200" t="s">
        <v>558</v>
      </c>
      <c r="E200">
        <v>2017</v>
      </c>
      <c r="F200" t="s">
        <v>26</v>
      </c>
      <c r="G200" t="s">
        <v>36</v>
      </c>
      <c r="H200" t="s">
        <v>17</v>
      </c>
      <c r="I200" t="s">
        <v>462</v>
      </c>
      <c r="J200" s="4">
        <v>15000</v>
      </c>
    </row>
    <row r="201" spans="1:11">
      <c r="A201" t="s">
        <v>559</v>
      </c>
      <c r="B201" t="s">
        <v>557</v>
      </c>
      <c r="C201" t="s">
        <v>55</v>
      </c>
      <c r="D201" t="s">
        <v>560</v>
      </c>
      <c r="E201">
        <v>2017</v>
      </c>
      <c r="F201" t="s">
        <v>23</v>
      </c>
      <c r="G201" t="s">
        <v>561</v>
      </c>
      <c r="H201" t="s">
        <v>17</v>
      </c>
      <c r="I201" t="s">
        <v>462</v>
      </c>
      <c r="J201" s="4">
        <v>15000</v>
      </c>
      <c r="K201">
        <v>373.2</v>
      </c>
    </row>
    <row r="202" spans="1:11">
      <c r="A202" t="s">
        <v>562</v>
      </c>
      <c r="B202" t="s">
        <v>557</v>
      </c>
      <c r="C202" t="s">
        <v>55</v>
      </c>
      <c r="D202" t="s">
        <v>563</v>
      </c>
      <c r="E202">
        <v>2020</v>
      </c>
      <c r="F202" t="s">
        <v>48</v>
      </c>
      <c r="G202" t="s">
        <v>564</v>
      </c>
      <c r="H202" t="s">
        <v>17</v>
      </c>
      <c r="I202" t="s">
        <v>462</v>
      </c>
      <c r="J202" s="4">
        <v>15000</v>
      </c>
    </row>
    <row r="203" spans="1:11">
      <c r="A203" t="s">
        <v>565</v>
      </c>
      <c r="B203" t="s">
        <v>459</v>
      </c>
      <c r="C203" t="s">
        <v>99</v>
      </c>
      <c r="D203" t="s">
        <v>566</v>
      </c>
      <c r="E203">
        <v>2021</v>
      </c>
      <c r="F203" t="s">
        <v>26</v>
      </c>
      <c r="G203" t="s">
        <v>567</v>
      </c>
      <c r="H203" t="s">
        <v>28</v>
      </c>
      <c r="I203" t="s">
        <v>462</v>
      </c>
      <c r="J203" s="4">
        <v>15000</v>
      </c>
    </row>
    <row r="204" spans="1:11">
      <c r="A204" t="s">
        <v>568</v>
      </c>
      <c r="B204" t="s">
        <v>459</v>
      </c>
      <c r="C204" t="s">
        <v>99</v>
      </c>
      <c r="D204" t="s">
        <v>569</v>
      </c>
      <c r="E204">
        <v>2021</v>
      </c>
      <c r="F204" t="s">
        <v>26</v>
      </c>
      <c r="G204" t="s">
        <v>570</v>
      </c>
      <c r="H204" t="s">
        <v>17</v>
      </c>
      <c r="I204" t="s">
        <v>462</v>
      </c>
      <c r="J204" s="4">
        <v>15000</v>
      </c>
      <c r="K204">
        <v>154.56</v>
      </c>
    </row>
    <row r="205" spans="1:11">
      <c r="A205" t="s">
        <v>571</v>
      </c>
      <c r="B205" t="s">
        <v>459</v>
      </c>
      <c r="C205" t="s">
        <v>99</v>
      </c>
      <c r="D205" t="s">
        <v>566</v>
      </c>
      <c r="E205">
        <v>2021</v>
      </c>
      <c r="H205" t="s">
        <v>28</v>
      </c>
      <c r="I205" t="s">
        <v>462</v>
      </c>
      <c r="J205" s="4">
        <v>15000</v>
      </c>
    </row>
    <row r="206" spans="1:11">
      <c r="A206" t="s">
        <v>572</v>
      </c>
      <c r="B206" t="s">
        <v>459</v>
      </c>
      <c r="C206" t="s">
        <v>99</v>
      </c>
      <c r="D206" t="s">
        <v>566</v>
      </c>
      <c r="E206">
        <v>2021</v>
      </c>
      <c r="F206" t="s">
        <v>26</v>
      </c>
      <c r="G206" t="s">
        <v>57</v>
      </c>
      <c r="H206" t="s">
        <v>17</v>
      </c>
      <c r="I206" t="s">
        <v>462</v>
      </c>
      <c r="J206" s="4">
        <v>15000</v>
      </c>
      <c r="K206">
        <v>149.51</v>
      </c>
    </row>
    <row r="207" spans="1:11">
      <c r="A207" t="s">
        <v>573</v>
      </c>
      <c r="B207" t="s">
        <v>459</v>
      </c>
      <c r="C207" t="s">
        <v>99</v>
      </c>
      <c r="D207" t="s">
        <v>569</v>
      </c>
      <c r="E207">
        <v>2021</v>
      </c>
      <c r="H207" t="s">
        <v>28</v>
      </c>
      <c r="I207" t="s">
        <v>462</v>
      </c>
      <c r="J207" s="4">
        <v>15000</v>
      </c>
    </row>
    <row r="208" spans="1:11">
      <c r="A208" t="s">
        <v>574</v>
      </c>
      <c r="B208" t="s">
        <v>459</v>
      </c>
      <c r="C208" t="s">
        <v>99</v>
      </c>
      <c r="D208" t="s">
        <v>566</v>
      </c>
      <c r="E208">
        <v>2021</v>
      </c>
      <c r="F208" t="s">
        <v>26</v>
      </c>
      <c r="G208" t="s">
        <v>57</v>
      </c>
      <c r="H208" t="s">
        <v>17</v>
      </c>
      <c r="I208" t="s">
        <v>462</v>
      </c>
      <c r="J208" s="4">
        <v>15000</v>
      </c>
      <c r="K208">
        <v>182.22</v>
      </c>
    </row>
    <row r="209" spans="1:11">
      <c r="A209" t="s">
        <v>575</v>
      </c>
      <c r="B209" t="s">
        <v>459</v>
      </c>
      <c r="C209" t="s">
        <v>99</v>
      </c>
      <c r="D209" t="s">
        <v>566</v>
      </c>
      <c r="E209">
        <v>2021</v>
      </c>
      <c r="F209" t="s">
        <v>26</v>
      </c>
      <c r="G209" t="s">
        <v>57</v>
      </c>
      <c r="H209" t="s">
        <v>28</v>
      </c>
      <c r="I209" t="s">
        <v>462</v>
      </c>
      <c r="J209" s="4">
        <v>15000</v>
      </c>
      <c r="K209">
        <v>127.59</v>
      </c>
    </row>
    <row r="210" spans="1:11">
      <c r="A210" t="s">
        <v>576</v>
      </c>
      <c r="B210" t="s">
        <v>459</v>
      </c>
      <c r="C210" t="s">
        <v>99</v>
      </c>
      <c r="D210" t="s">
        <v>566</v>
      </c>
      <c r="E210">
        <v>2021</v>
      </c>
      <c r="H210" t="s">
        <v>28</v>
      </c>
      <c r="I210" t="s">
        <v>462</v>
      </c>
      <c r="J210" s="4">
        <v>15000</v>
      </c>
    </row>
    <row r="211" spans="1:11">
      <c r="A211" t="s">
        <v>577</v>
      </c>
      <c r="B211" t="s">
        <v>459</v>
      </c>
      <c r="C211" t="s">
        <v>99</v>
      </c>
      <c r="D211" t="s">
        <v>566</v>
      </c>
      <c r="E211">
        <v>2021</v>
      </c>
      <c r="F211" t="s">
        <v>113</v>
      </c>
      <c r="G211" t="s">
        <v>578</v>
      </c>
      <c r="H211" t="s">
        <v>28</v>
      </c>
      <c r="I211" t="s">
        <v>462</v>
      </c>
      <c r="J211" s="4">
        <v>15000</v>
      </c>
      <c r="K211">
        <v>244.62</v>
      </c>
    </row>
    <row r="212" spans="1:11">
      <c r="A212" t="s">
        <v>579</v>
      </c>
      <c r="B212" t="s">
        <v>459</v>
      </c>
      <c r="C212" t="s">
        <v>99</v>
      </c>
      <c r="D212" t="s">
        <v>580</v>
      </c>
      <c r="E212">
        <v>2021</v>
      </c>
      <c r="H212" t="s">
        <v>28</v>
      </c>
      <c r="I212" t="s">
        <v>462</v>
      </c>
      <c r="J212" s="4">
        <v>15000</v>
      </c>
      <c r="K212" s="3"/>
    </row>
    <row r="213" spans="1:11">
      <c r="A213" t="s">
        <v>581</v>
      </c>
      <c r="B213" t="s">
        <v>459</v>
      </c>
      <c r="C213" t="s">
        <v>99</v>
      </c>
      <c r="D213" t="s">
        <v>580</v>
      </c>
      <c r="E213">
        <v>2021</v>
      </c>
      <c r="H213" t="s">
        <v>28</v>
      </c>
      <c r="I213" t="s">
        <v>462</v>
      </c>
      <c r="J213" s="4">
        <v>15000</v>
      </c>
      <c r="K213">
        <v>0</v>
      </c>
    </row>
    <row r="214" spans="1:11">
      <c r="A214" t="s">
        <v>582</v>
      </c>
      <c r="B214" t="s">
        <v>502</v>
      </c>
      <c r="C214" t="s">
        <v>55</v>
      </c>
      <c r="D214" t="s">
        <v>583</v>
      </c>
      <c r="E214">
        <v>2010</v>
      </c>
      <c r="F214" t="s">
        <v>26</v>
      </c>
      <c r="G214" t="s">
        <v>57</v>
      </c>
      <c r="H214" t="s">
        <v>28</v>
      </c>
      <c r="I214" t="s">
        <v>462</v>
      </c>
      <c r="J214" s="4">
        <v>15000</v>
      </c>
    </row>
    <row r="215" spans="1:11">
      <c r="A215" t="s">
        <v>584</v>
      </c>
      <c r="B215" t="s">
        <v>502</v>
      </c>
      <c r="C215" t="s">
        <v>55</v>
      </c>
      <c r="D215" t="s">
        <v>585</v>
      </c>
      <c r="E215">
        <v>2017</v>
      </c>
      <c r="H215" t="s">
        <v>28</v>
      </c>
      <c r="I215" t="s">
        <v>462</v>
      </c>
      <c r="J215" s="4">
        <v>15000</v>
      </c>
    </row>
    <row r="216" spans="1:11">
      <c r="A216" t="s">
        <v>586</v>
      </c>
      <c r="B216" t="s">
        <v>502</v>
      </c>
      <c r="C216" t="s">
        <v>55</v>
      </c>
      <c r="D216" t="s">
        <v>587</v>
      </c>
      <c r="E216">
        <v>2013</v>
      </c>
      <c r="H216" t="s">
        <v>28</v>
      </c>
      <c r="I216" t="s">
        <v>462</v>
      </c>
      <c r="J216" s="4">
        <v>15000</v>
      </c>
    </row>
    <row r="217" spans="1:11">
      <c r="A217" t="s">
        <v>588</v>
      </c>
      <c r="B217" t="s">
        <v>459</v>
      </c>
      <c r="C217" t="s">
        <v>589</v>
      </c>
      <c r="D217" t="s">
        <v>590</v>
      </c>
      <c r="E217">
        <v>2023</v>
      </c>
      <c r="H217" t="s">
        <v>28</v>
      </c>
      <c r="I217" t="s">
        <v>462</v>
      </c>
      <c r="J217" s="4">
        <v>15000</v>
      </c>
    </row>
    <row r="218" spans="1:11">
      <c r="A218" t="s">
        <v>591</v>
      </c>
      <c r="B218" t="s">
        <v>459</v>
      </c>
      <c r="C218" t="s">
        <v>589</v>
      </c>
      <c r="D218" t="s">
        <v>590</v>
      </c>
      <c r="E218">
        <v>2023</v>
      </c>
      <c r="F218" t="s">
        <v>26</v>
      </c>
      <c r="G218" t="s">
        <v>592</v>
      </c>
      <c r="H218" t="s">
        <v>28</v>
      </c>
      <c r="I218" t="s">
        <v>462</v>
      </c>
      <c r="J218" s="4">
        <v>15000</v>
      </c>
      <c r="K218">
        <v>131.58000000000001</v>
      </c>
    </row>
    <row r="219" spans="1:11">
      <c r="A219" t="s">
        <v>593</v>
      </c>
      <c r="B219" t="s">
        <v>459</v>
      </c>
      <c r="C219" t="s">
        <v>589</v>
      </c>
      <c r="D219" t="s">
        <v>590</v>
      </c>
      <c r="E219">
        <v>2023</v>
      </c>
      <c r="F219" t="s">
        <v>26</v>
      </c>
      <c r="G219" t="s">
        <v>53</v>
      </c>
      <c r="H219" t="s">
        <v>17</v>
      </c>
      <c r="I219" t="s">
        <v>462</v>
      </c>
      <c r="J219" s="4">
        <v>15000</v>
      </c>
      <c r="K219">
        <v>171.54</v>
      </c>
    </row>
    <row r="220" spans="1:11">
      <c r="A220" t="s">
        <v>594</v>
      </c>
      <c r="B220" t="s">
        <v>459</v>
      </c>
      <c r="C220" t="s">
        <v>589</v>
      </c>
      <c r="D220" t="s">
        <v>590</v>
      </c>
      <c r="E220">
        <v>2023</v>
      </c>
      <c r="F220" t="s">
        <v>113</v>
      </c>
      <c r="G220" t="s">
        <v>595</v>
      </c>
      <c r="H220" t="s">
        <v>17</v>
      </c>
      <c r="I220" t="s">
        <v>462</v>
      </c>
      <c r="J220" s="4">
        <v>15000</v>
      </c>
      <c r="K220">
        <v>300.36</v>
      </c>
    </row>
    <row r="221" spans="1:11">
      <c r="A221" t="s">
        <v>596</v>
      </c>
      <c r="B221" t="s">
        <v>459</v>
      </c>
      <c r="C221" t="s">
        <v>589</v>
      </c>
      <c r="D221" t="s">
        <v>590</v>
      </c>
      <c r="E221">
        <v>2023</v>
      </c>
      <c r="F221" t="s">
        <v>30</v>
      </c>
      <c r="G221" t="s">
        <v>597</v>
      </c>
      <c r="H221" t="s">
        <v>17</v>
      </c>
      <c r="I221" t="s">
        <v>462</v>
      </c>
      <c r="J221" s="4">
        <v>15000</v>
      </c>
      <c r="K221">
        <v>214.46</v>
      </c>
    </row>
    <row r="222" spans="1:11">
      <c r="A222" t="s">
        <v>598</v>
      </c>
      <c r="B222" t="s">
        <v>459</v>
      </c>
      <c r="C222" t="s">
        <v>589</v>
      </c>
      <c r="D222" t="s">
        <v>590</v>
      </c>
      <c r="E222">
        <v>2023</v>
      </c>
      <c r="F222" t="s">
        <v>26</v>
      </c>
      <c r="G222" t="s">
        <v>53</v>
      </c>
      <c r="H222" t="s">
        <v>17</v>
      </c>
      <c r="I222" t="s">
        <v>462</v>
      </c>
      <c r="J222" s="4">
        <v>15000</v>
      </c>
      <c r="K222">
        <v>228.06</v>
      </c>
    </row>
    <row r="223" spans="1:11">
      <c r="A223" t="s">
        <v>599</v>
      </c>
      <c r="B223" t="s">
        <v>502</v>
      </c>
      <c r="C223" t="s">
        <v>503</v>
      </c>
      <c r="D223" t="s">
        <v>600</v>
      </c>
      <c r="E223">
        <v>2015</v>
      </c>
      <c r="H223" t="s">
        <v>28</v>
      </c>
      <c r="I223" t="s">
        <v>462</v>
      </c>
      <c r="J223" s="4">
        <v>10000</v>
      </c>
    </row>
    <row r="224" spans="1:11">
      <c r="A224" t="s">
        <v>601</v>
      </c>
      <c r="B224" t="s">
        <v>502</v>
      </c>
      <c r="C224" t="s">
        <v>476</v>
      </c>
      <c r="D224" t="s">
        <v>602</v>
      </c>
      <c r="E224">
        <v>2019</v>
      </c>
      <c r="H224" t="s">
        <v>28</v>
      </c>
      <c r="I224" t="s">
        <v>462</v>
      </c>
      <c r="J224" s="4">
        <v>15000</v>
      </c>
    </row>
    <row r="225" spans="1:11">
      <c r="A225" t="s">
        <v>603</v>
      </c>
      <c r="B225" t="s">
        <v>459</v>
      </c>
      <c r="C225" t="s">
        <v>604</v>
      </c>
      <c r="D225" t="s">
        <v>605</v>
      </c>
      <c r="E225">
        <v>2018</v>
      </c>
      <c r="F225" t="s">
        <v>26</v>
      </c>
      <c r="G225" t="s">
        <v>313</v>
      </c>
      <c r="H225" t="s">
        <v>17</v>
      </c>
      <c r="I225" t="s">
        <v>462</v>
      </c>
      <c r="J225" s="4">
        <v>15000</v>
      </c>
      <c r="K225">
        <v>0</v>
      </c>
    </row>
    <row r="226" spans="1:11">
      <c r="A226" t="s">
        <v>606</v>
      </c>
      <c r="B226" t="s">
        <v>502</v>
      </c>
      <c r="C226" t="s">
        <v>118</v>
      </c>
      <c r="D226" t="s">
        <v>607</v>
      </c>
      <c r="E226">
        <v>2018</v>
      </c>
      <c r="F226" t="s">
        <v>26</v>
      </c>
      <c r="G226" t="s">
        <v>57</v>
      </c>
      <c r="H226" t="s">
        <v>28</v>
      </c>
      <c r="I226" t="s">
        <v>462</v>
      </c>
      <c r="J226" s="4">
        <v>15000</v>
      </c>
    </row>
    <row r="227" spans="1:11">
      <c r="A227" t="s">
        <v>608</v>
      </c>
      <c r="B227" t="s">
        <v>502</v>
      </c>
      <c r="C227" t="s">
        <v>118</v>
      </c>
      <c r="D227" t="s">
        <v>609</v>
      </c>
      <c r="E227">
        <v>2017</v>
      </c>
      <c r="F227" t="s">
        <v>101</v>
      </c>
      <c r="G227" t="s">
        <v>610</v>
      </c>
      <c r="H227" t="s">
        <v>17</v>
      </c>
      <c r="I227" t="s">
        <v>462</v>
      </c>
      <c r="J227" s="4">
        <v>15000</v>
      </c>
      <c r="K227">
        <v>138.94999999999999</v>
      </c>
    </row>
    <row r="228" spans="1:11">
      <c r="A228" t="s">
        <v>611</v>
      </c>
      <c r="B228" t="s">
        <v>502</v>
      </c>
      <c r="C228" t="s">
        <v>118</v>
      </c>
      <c r="D228" t="s">
        <v>609</v>
      </c>
      <c r="E228">
        <v>2017</v>
      </c>
      <c r="F228" t="s">
        <v>84</v>
      </c>
      <c r="G228" t="s">
        <v>612</v>
      </c>
      <c r="H228" t="s">
        <v>17</v>
      </c>
      <c r="I228" t="s">
        <v>462</v>
      </c>
      <c r="J228" s="4">
        <v>15000</v>
      </c>
      <c r="K228">
        <v>109.96</v>
      </c>
    </row>
    <row r="229" spans="1:11">
      <c r="A229" t="s">
        <v>613</v>
      </c>
      <c r="B229" t="s">
        <v>502</v>
      </c>
      <c r="C229" t="s">
        <v>118</v>
      </c>
      <c r="D229" t="s">
        <v>609</v>
      </c>
      <c r="E229">
        <v>2017</v>
      </c>
      <c r="H229" t="s">
        <v>28</v>
      </c>
      <c r="I229" t="s">
        <v>462</v>
      </c>
      <c r="J229" s="4">
        <v>15000</v>
      </c>
      <c r="K229">
        <v>0</v>
      </c>
    </row>
    <row r="230" spans="1:11">
      <c r="A230" t="s">
        <v>614</v>
      </c>
      <c r="B230" t="s">
        <v>459</v>
      </c>
      <c r="C230" t="s">
        <v>99</v>
      </c>
      <c r="D230" t="s">
        <v>566</v>
      </c>
      <c r="E230">
        <v>2023</v>
      </c>
      <c r="F230" t="s">
        <v>75</v>
      </c>
      <c r="G230" t="s">
        <v>615</v>
      </c>
      <c r="H230" t="s">
        <v>17</v>
      </c>
      <c r="I230" t="s">
        <v>462</v>
      </c>
      <c r="J230" s="4">
        <v>15000</v>
      </c>
      <c r="K230" s="3">
        <v>158.91</v>
      </c>
    </row>
    <row r="231" spans="1:11">
      <c r="A231" t="s">
        <v>616</v>
      </c>
      <c r="B231" t="s">
        <v>459</v>
      </c>
      <c r="C231" t="s">
        <v>99</v>
      </c>
      <c r="D231" t="s">
        <v>566</v>
      </c>
      <c r="E231">
        <v>2023</v>
      </c>
      <c r="F231" t="s">
        <v>48</v>
      </c>
      <c r="G231" t="s">
        <v>617</v>
      </c>
      <c r="H231" t="s">
        <v>17</v>
      </c>
      <c r="I231" t="s">
        <v>462</v>
      </c>
      <c r="J231" s="4">
        <v>15000</v>
      </c>
      <c r="K231">
        <v>175.46</v>
      </c>
    </row>
    <row r="232" spans="1:11">
      <c r="A232" t="s">
        <v>618</v>
      </c>
      <c r="B232" t="s">
        <v>459</v>
      </c>
      <c r="C232" t="s">
        <v>99</v>
      </c>
      <c r="D232" t="s">
        <v>566</v>
      </c>
      <c r="E232">
        <v>2023</v>
      </c>
      <c r="F232" t="s">
        <v>104</v>
      </c>
      <c r="G232" t="s">
        <v>619</v>
      </c>
      <c r="H232" t="s">
        <v>17</v>
      </c>
      <c r="I232" t="s">
        <v>462</v>
      </c>
      <c r="J232" s="4">
        <v>15000</v>
      </c>
      <c r="K232">
        <v>116.42</v>
      </c>
    </row>
    <row r="233" spans="1:11">
      <c r="A233" t="s">
        <v>620</v>
      </c>
      <c r="B233" t="s">
        <v>459</v>
      </c>
      <c r="C233" t="s">
        <v>99</v>
      </c>
      <c r="D233" t="s">
        <v>566</v>
      </c>
      <c r="E233">
        <v>2023</v>
      </c>
      <c r="F233" t="s">
        <v>300</v>
      </c>
      <c r="G233" t="s">
        <v>621</v>
      </c>
      <c r="H233" t="s">
        <v>17</v>
      </c>
      <c r="I233" t="s">
        <v>462</v>
      </c>
      <c r="J233" s="4">
        <v>15000</v>
      </c>
      <c r="K233">
        <v>144.59</v>
      </c>
    </row>
    <row r="234" spans="1:11">
      <c r="A234" t="s">
        <v>622</v>
      </c>
      <c r="B234" t="s">
        <v>459</v>
      </c>
      <c r="C234" t="s">
        <v>99</v>
      </c>
      <c r="D234" t="s">
        <v>566</v>
      </c>
      <c r="E234">
        <v>2023</v>
      </c>
      <c r="F234" t="s">
        <v>30</v>
      </c>
      <c r="G234" t="s">
        <v>623</v>
      </c>
      <c r="H234" t="s">
        <v>17</v>
      </c>
      <c r="I234" t="s">
        <v>462</v>
      </c>
      <c r="J234" s="4">
        <v>15000</v>
      </c>
      <c r="K234">
        <v>396.96</v>
      </c>
    </row>
    <row r="235" spans="1:11">
      <c r="A235" t="s">
        <v>624</v>
      </c>
      <c r="B235" t="s">
        <v>459</v>
      </c>
      <c r="C235" t="s">
        <v>99</v>
      </c>
      <c r="D235" t="s">
        <v>566</v>
      </c>
      <c r="E235">
        <v>2023</v>
      </c>
      <c r="F235" t="s">
        <v>272</v>
      </c>
      <c r="G235" t="s">
        <v>625</v>
      </c>
      <c r="H235" t="s">
        <v>17</v>
      </c>
      <c r="I235" t="s">
        <v>462</v>
      </c>
      <c r="J235" s="4">
        <v>15000</v>
      </c>
      <c r="K235">
        <v>152.69999999999999</v>
      </c>
    </row>
    <row r="236" spans="1:11">
      <c r="A236" t="s">
        <v>626</v>
      </c>
      <c r="B236" t="s">
        <v>459</v>
      </c>
      <c r="C236" t="s">
        <v>99</v>
      </c>
      <c r="D236" t="s">
        <v>566</v>
      </c>
      <c r="E236">
        <v>2023</v>
      </c>
      <c r="F236" t="s">
        <v>15</v>
      </c>
      <c r="G236" t="s">
        <v>627</v>
      </c>
      <c r="H236" t="s">
        <v>17</v>
      </c>
      <c r="I236" t="s">
        <v>462</v>
      </c>
      <c r="J236" s="4">
        <v>15000</v>
      </c>
      <c r="K236">
        <v>194.3</v>
      </c>
    </row>
    <row r="237" spans="1:11">
      <c r="A237" t="s">
        <v>628</v>
      </c>
      <c r="B237" t="s">
        <v>459</v>
      </c>
      <c r="C237" t="s">
        <v>99</v>
      </c>
      <c r="D237" t="s">
        <v>566</v>
      </c>
      <c r="E237">
        <v>2023</v>
      </c>
      <c r="F237" t="s">
        <v>33</v>
      </c>
      <c r="G237" t="s">
        <v>629</v>
      </c>
      <c r="H237" t="s">
        <v>17</v>
      </c>
      <c r="I237" t="s">
        <v>462</v>
      </c>
      <c r="J237" s="4">
        <v>15000</v>
      </c>
      <c r="K237">
        <v>112.09</v>
      </c>
    </row>
    <row r="238" spans="1:11">
      <c r="A238" t="s">
        <v>630</v>
      </c>
      <c r="B238" t="s">
        <v>459</v>
      </c>
      <c r="C238" t="s">
        <v>99</v>
      </c>
      <c r="D238" t="s">
        <v>566</v>
      </c>
      <c r="E238">
        <v>2023</v>
      </c>
      <c r="F238" t="s">
        <v>300</v>
      </c>
      <c r="G238" t="s">
        <v>631</v>
      </c>
      <c r="H238" t="s">
        <v>17</v>
      </c>
      <c r="I238" t="s">
        <v>462</v>
      </c>
      <c r="J238" s="4">
        <v>15000</v>
      </c>
      <c r="K238">
        <v>148.02000000000001</v>
      </c>
    </row>
    <row r="239" spans="1:11">
      <c r="A239" t="s">
        <v>632</v>
      </c>
      <c r="B239" t="s">
        <v>459</v>
      </c>
      <c r="C239" t="s">
        <v>99</v>
      </c>
      <c r="D239" t="s">
        <v>569</v>
      </c>
      <c r="E239">
        <v>2023</v>
      </c>
      <c r="F239" t="s">
        <v>36</v>
      </c>
      <c r="G239" t="s">
        <v>633</v>
      </c>
      <c r="H239" t="s">
        <v>17</v>
      </c>
      <c r="I239" t="s">
        <v>462</v>
      </c>
      <c r="J239" s="4">
        <v>15000</v>
      </c>
      <c r="K239">
        <v>0</v>
      </c>
    </row>
    <row r="240" spans="1:11">
      <c r="A240" t="s">
        <v>634</v>
      </c>
      <c r="B240" t="s">
        <v>459</v>
      </c>
      <c r="C240" t="s">
        <v>99</v>
      </c>
      <c r="D240" t="s">
        <v>566</v>
      </c>
      <c r="E240">
        <v>2023</v>
      </c>
      <c r="F240" t="s">
        <v>75</v>
      </c>
      <c r="G240" t="s">
        <v>635</v>
      </c>
      <c r="H240" t="s">
        <v>17</v>
      </c>
      <c r="I240" t="s">
        <v>462</v>
      </c>
      <c r="J240" s="4">
        <v>15000</v>
      </c>
      <c r="K240">
        <v>166.87</v>
      </c>
    </row>
    <row r="241" spans="1:11">
      <c r="A241" t="s">
        <v>636</v>
      </c>
      <c r="B241" t="s">
        <v>459</v>
      </c>
      <c r="C241" t="s">
        <v>99</v>
      </c>
      <c r="D241" t="s">
        <v>460</v>
      </c>
      <c r="E241">
        <v>2023</v>
      </c>
      <c r="F241" t="s">
        <v>26</v>
      </c>
      <c r="G241" t="s">
        <v>57</v>
      </c>
      <c r="H241" t="s">
        <v>28</v>
      </c>
      <c r="I241" t="s">
        <v>462</v>
      </c>
      <c r="J241" s="4">
        <v>15000</v>
      </c>
      <c r="K241">
        <v>310.25</v>
      </c>
    </row>
    <row r="242" spans="1:11">
      <c r="A242" t="s">
        <v>637</v>
      </c>
      <c r="B242" t="s">
        <v>459</v>
      </c>
      <c r="C242" t="s">
        <v>99</v>
      </c>
      <c r="D242" t="s">
        <v>460</v>
      </c>
      <c r="E242">
        <v>2023</v>
      </c>
      <c r="F242" t="s">
        <v>638</v>
      </c>
      <c r="G242" t="s">
        <v>639</v>
      </c>
      <c r="H242" t="s">
        <v>28</v>
      </c>
      <c r="I242" t="s">
        <v>462</v>
      </c>
      <c r="J242" s="4">
        <v>15000</v>
      </c>
      <c r="K242">
        <v>87.39</v>
      </c>
    </row>
    <row r="243" spans="1:11">
      <c r="A243" t="s">
        <v>640</v>
      </c>
      <c r="B243" t="s">
        <v>641</v>
      </c>
      <c r="C243" t="s">
        <v>642</v>
      </c>
      <c r="D243" t="s">
        <v>643</v>
      </c>
      <c r="E243">
        <v>1990</v>
      </c>
      <c r="F243" t="s">
        <v>26</v>
      </c>
      <c r="G243" t="s">
        <v>151</v>
      </c>
      <c r="H243" t="s">
        <v>17</v>
      </c>
      <c r="I243" t="s">
        <v>18</v>
      </c>
      <c r="J243" s="4">
        <v>250</v>
      </c>
    </row>
    <row r="244" spans="1:11">
      <c r="A244" t="s">
        <v>644</v>
      </c>
      <c r="B244" t="s">
        <v>641</v>
      </c>
      <c r="C244" t="s">
        <v>645</v>
      </c>
      <c r="D244" t="s">
        <v>646</v>
      </c>
      <c r="E244">
        <v>2007</v>
      </c>
      <c r="F244" t="s">
        <v>26</v>
      </c>
      <c r="G244" t="s">
        <v>151</v>
      </c>
      <c r="H244" t="s">
        <v>17</v>
      </c>
      <c r="I244" t="s">
        <v>18</v>
      </c>
      <c r="J244" s="4">
        <v>250</v>
      </c>
    </row>
    <row r="245" spans="1:11">
      <c r="A245" t="s">
        <v>647</v>
      </c>
      <c r="B245" t="s">
        <v>641</v>
      </c>
      <c r="C245" t="s">
        <v>648</v>
      </c>
      <c r="D245" t="s">
        <v>649</v>
      </c>
      <c r="E245">
        <v>2010</v>
      </c>
      <c r="F245" t="s">
        <v>26</v>
      </c>
      <c r="G245" t="s">
        <v>151</v>
      </c>
      <c r="H245" t="s">
        <v>17</v>
      </c>
      <c r="I245" t="s">
        <v>18</v>
      </c>
      <c r="J245" s="4">
        <v>250</v>
      </c>
    </row>
    <row r="246" spans="1:11">
      <c r="A246" t="s">
        <v>650</v>
      </c>
      <c r="B246" t="s">
        <v>641</v>
      </c>
      <c r="C246" t="s">
        <v>651</v>
      </c>
      <c r="D246" t="s">
        <v>652</v>
      </c>
      <c r="E246">
        <v>2010</v>
      </c>
      <c r="F246" t="s">
        <v>26</v>
      </c>
      <c r="G246" t="s">
        <v>151</v>
      </c>
      <c r="H246" t="s">
        <v>17</v>
      </c>
      <c r="I246" t="s">
        <v>18</v>
      </c>
      <c r="J246" s="4">
        <v>250</v>
      </c>
    </row>
    <row r="247" spans="1:11">
      <c r="A247" t="s">
        <v>653</v>
      </c>
      <c r="B247" t="s">
        <v>459</v>
      </c>
      <c r="C247" t="s">
        <v>99</v>
      </c>
      <c r="D247" t="s">
        <v>654</v>
      </c>
      <c r="E247">
        <v>2022</v>
      </c>
      <c r="H247" t="s">
        <v>17</v>
      </c>
      <c r="I247" t="s">
        <v>462</v>
      </c>
      <c r="J247" s="4">
        <v>15000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98"/>
  <sheetViews>
    <sheetView zoomScaleNormal="100" workbookViewId="0">
      <pane ySplit="3" topLeftCell="A112" activePane="bottomLeft" state="frozen"/>
      <selection pane="bottomLeft" activeCell="F4002" sqref="F4002"/>
    </sheetView>
  </sheetViews>
  <sheetFormatPr baseColWidth="10" defaultColWidth="9.140625" defaultRowHeight="15" customHeight="1"/>
  <cols>
    <col min="1" max="1" width="12" style="41" customWidth="1"/>
    <col min="2" max="2" width="12" customWidth="1"/>
    <col min="3" max="3" width="13" customWidth="1"/>
    <col min="4" max="4" width="15" customWidth="1"/>
    <col min="5" max="5" width="20" customWidth="1"/>
    <col min="6" max="6" width="34.5703125" bestFit="1" customWidth="1"/>
    <col min="7" max="7" width="37.140625" bestFit="1" customWidth="1"/>
  </cols>
  <sheetData>
    <row r="1" spans="1:7" ht="18.75" customHeight="1">
      <c r="A1" s="85" t="s">
        <v>655</v>
      </c>
      <c r="B1" s="85"/>
      <c r="C1" s="85"/>
      <c r="D1" s="85"/>
      <c r="E1" s="85"/>
      <c r="F1" s="85"/>
      <c r="G1" s="85"/>
    </row>
    <row r="3" spans="1:7">
      <c r="A3" s="7" t="s">
        <v>656</v>
      </c>
      <c r="B3" s="1" t="s">
        <v>1</v>
      </c>
      <c r="C3" s="1" t="s">
        <v>657</v>
      </c>
      <c r="D3" s="1" t="s">
        <v>658</v>
      </c>
      <c r="E3" s="1" t="s">
        <v>659</v>
      </c>
      <c r="F3" s="1" t="s">
        <v>7</v>
      </c>
      <c r="G3" s="1" t="s">
        <v>660</v>
      </c>
    </row>
    <row r="4" spans="1:7">
      <c r="A4" s="41">
        <v>45992</v>
      </c>
      <c r="B4" t="s">
        <v>19</v>
      </c>
      <c r="C4">
        <v>9760</v>
      </c>
      <c r="D4">
        <v>243430</v>
      </c>
    </row>
    <row r="5" spans="1:7">
      <c r="A5" s="41">
        <v>45992</v>
      </c>
      <c r="B5" t="s">
        <v>32</v>
      </c>
      <c r="C5">
        <v>10176</v>
      </c>
      <c r="D5">
        <v>242917</v>
      </c>
    </row>
    <row r="6" spans="1:7">
      <c r="A6" s="41">
        <v>45992</v>
      </c>
      <c r="B6" t="s">
        <v>35</v>
      </c>
      <c r="C6">
        <v>8086</v>
      </c>
      <c r="D6">
        <v>160815</v>
      </c>
    </row>
    <row r="7" spans="1:7">
      <c r="A7" s="41">
        <v>45992</v>
      </c>
      <c r="B7" t="s">
        <v>44</v>
      </c>
      <c r="D7">
        <v>185393</v>
      </c>
    </row>
    <row r="8" spans="1:7">
      <c r="A8" s="41">
        <v>45992</v>
      </c>
      <c r="B8" t="s">
        <v>78</v>
      </c>
      <c r="D8">
        <v>499939</v>
      </c>
    </row>
    <row r="9" spans="1:7">
      <c r="A9" s="41">
        <v>45992</v>
      </c>
      <c r="B9" t="s">
        <v>81</v>
      </c>
    </row>
    <row r="10" spans="1:7">
      <c r="A10" s="41">
        <v>45992</v>
      </c>
      <c r="B10" t="s">
        <v>86</v>
      </c>
      <c r="C10">
        <v>3060</v>
      </c>
      <c r="D10">
        <v>73204</v>
      </c>
    </row>
    <row r="11" spans="1:7">
      <c r="A11" s="41">
        <v>45992</v>
      </c>
      <c r="B11" t="s">
        <v>89</v>
      </c>
      <c r="C11">
        <v>3066</v>
      </c>
      <c r="D11">
        <v>78773</v>
      </c>
    </row>
    <row r="12" spans="1:7">
      <c r="A12" s="41">
        <v>45992</v>
      </c>
      <c r="B12" t="s">
        <v>91</v>
      </c>
      <c r="C12">
        <v>3226</v>
      </c>
    </row>
    <row r="13" spans="1:7">
      <c r="A13" s="41">
        <v>45992</v>
      </c>
      <c r="B13" t="s">
        <v>93</v>
      </c>
      <c r="C13">
        <v>3247</v>
      </c>
      <c r="D13">
        <v>91853</v>
      </c>
    </row>
    <row r="14" spans="1:7">
      <c r="A14" s="41">
        <v>45992</v>
      </c>
      <c r="B14" t="s">
        <v>106</v>
      </c>
      <c r="D14">
        <v>110496</v>
      </c>
    </row>
    <row r="15" spans="1:7">
      <c r="A15" s="41">
        <v>45992</v>
      </c>
      <c r="B15" t="s">
        <v>121</v>
      </c>
      <c r="C15">
        <v>7197</v>
      </c>
      <c r="D15">
        <v>180015</v>
      </c>
    </row>
    <row r="16" spans="1:7">
      <c r="A16" s="41">
        <v>45992</v>
      </c>
      <c r="B16" t="s">
        <v>126</v>
      </c>
      <c r="D16">
        <v>55357</v>
      </c>
    </row>
    <row r="17" spans="1:4">
      <c r="A17" s="41">
        <v>45992</v>
      </c>
      <c r="B17" t="s">
        <v>145</v>
      </c>
      <c r="D17">
        <v>801969</v>
      </c>
    </row>
    <row r="18" spans="1:4">
      <c r="A18" s="81">
        <v>43886</v>
      </c>
      <c r="B18" t="s">
        <v>339</v>
      </c>
      <c r="C18">
        <v>14728</v>
      </c>
    </row>
    <row r="19" spans="1:4">
      <c r="A19" s="41">
        <v>45992</v>
      </c>
      <c r="B19" t="s">
        <v>661</v>
      </c>
      <c r="D19">
        <v>292374</v>
      </c>
    </row>
    <row r="20" spans="1:4">
      <c r="A20" s="41">
        <v>45992</v>
      </c>
      <c r="B20" t="s">
        <v>169</v>
      </c>
      <c r="C20">
        <v>9048</v>
      </c>
      <c r="D20">
        <v>191998</v>
      </c>
    </row>
    <row r="21" spans="1:4">
      <c r="A21" s="41">
        <v>45992</v>
      </c>
      <c r="B21" t="s">
        <v>173</v>
      </c>
      <c r="C21">
        <v>8330</v>
      </c>
      <c r="D21">
        <v>160933</v>
      </c>
    </row>
    <row r="22" spans="1:4">
      <c r="A22" s="41">
        <v>45992</v>
      </c>
      <c r="B22" t="s">
        <v>175</v>
      </c>
      <c r="C22">
        <v>8851</v>
      </c>
      <c r="D22">
        <v>200968</v>
      </c>
    </row>
    <row r="23" spans="1:4">
      <c r="A23" s="41">
        <v>45992</v>
      </c>
      <c r="B23" t="s">
        <v>182</v>
      </c>
      <c r="C23">
        <v>8546</v>
      </c>
      <c r="D23">
        <v>161780</v>
      </c>
    </row>
    <row r="24" spans="1:4">
      <c r="A24" s="41">
        <v>45992</v>
      </c>
      <c r="B24" t="s">
        <v>234</v>
      </c>
      <c r="C24">
        <v>1825</v>
      </c>
    </row>
    <row r="25" spans="1:4">
      <c r="A25" s="41">
        <v>45992</v>
      </c>
      <c r="B25" t="s">
        <v>246</v>
      </c>
      <c r="C25">
        <v>6245</v>
      </c>
    </row>
    <row r="26" spans="1:4">
      <c r="A26" s="41">
        <v>45992</v>
      </c>
      <c r="B26" t="s">
        <v>249</v>
      </c>
      <c r="C26">
        <v>4667</v>
      </c>
    </row>
    <row r="27" spans="1:4">
      <c r="A27" s="41">
        <v>45992</v>
      </c>
      <c r="B27" t="s">
        <v>254</v>
      </c>
      <c r="C27">
        <v>15287</v>
      </c>
    </row>
    <row r="28" spans="1:4">
      <c r="A28" s="41">
        <v>45992</v>
      </c>
      <c r="B28" t="s">
        <v>278</v>
      </c>
      <c r="C28">
        <v>687</v>
      </c>
    </row>
    <row r="29" spans="1:4">
      <c r="A29" s="41">
        <v>45992</v>
      </c>
      <c r="B29" t="s">
        <v>288</v>
      </c>
      <c r="C29">
        <v>890</v>
      </c>
    </row>
    <row r="30" spans="1:4">
      <c r="A30" s="41">
        <v>45992</v>
      </c>
      <c r="B30" t="s">
        <v>301</v>
      </c>
      <c r="C30">
        <v>14311</v>
      </c>
    </row>
    <row r="31" spans="1:4">
      <c r="A31" s="41">
        <v>45992</v>
      </c>
      <c r="B31" t="s">
        <v>314</v>
      </c>
    </row>
    <row r="32" spans="1:4">
      <c r="A32" s="41">
        <v>45992</v>
      </c>
      <c r="B32" t="s">
        <v>414</v>
      </c>
      <c r="C32" s="50">
        <v>10065</v>
      </c>
    </row>
    <row r="33" spans="1:4">
      <c r="A33" s="41">
        <v>45992</v>
      </c>
      <c r="B33" t="s">
        <v>417</v>
      </c>
      <c r="C33">
        <v>7826</v>
      </c>
    </row>
    <row r="34" spans="1:4">
      <c r="A34" s="41">
        <v>45992</v>
      </c>
      <c r="B34" t="s">
        <v>420</v>
      </c>
      <c r="C34">
        <v>5415</v>
      </c>
    </row>
    <row r="35" spans="1:4">
      <c r="A35" s="41">
        <v>45992</v>
      </c>
      <c r="B35" t="s">
        <v>430</v>
      </c>
      <c r="C35">
        <v>6347</v>
      </c>
    </row>
    <row r="36" spans="1:4">
      <c r="A36" s="41">
        <v>45992</v>
      </c>
      <c r="B36" t="s">
        <v>447</v>
      </c>
      <c r="C36">
        <v>1445</v>
      </c>
    </row>
    <row r="37" spans="1:4">
      <c r="A37" s="41">
        <v>45992</v>
      </c>
      <c r="B37" t="s">
        <v>456</v>
      </c>
      <c r="C37">
        <v>1777</v>
      </c>
    </row>
    <row r="38" spans="1:4">
      <c r="A38" s="41">
        <v>45992</v>
      </c>
      <c r="B38" t="s">
        <v>465</v>
      </c>
      <c r="D38">
        <v>84917</v>
      </c>
    </row>
    <row r="39" spans="1:4">
      <c r="A39" s="41">
        <v>45992</v>
      </c>
      <c r="B39" t="s">
        <v>469</v>
      </c>
      <c r="D39">
        <v>66693</v>
      </c>
    </row>
    <row r="40" spans="1:4">
      <c r="A40" s="41">
        <v>45992</v>
      </c>
      <c r="B40" t="s">
        <v>485</v>
      </c>
      <c r="D40">
        <v>66531</v>
      </c>
    </row>
    <row r="41" spans="1:4">
      <c r="A41" s="41">
        <v>45992</v>
      </c>
      <c r="B41" t="s">
        <v>496</v>
      </c>
      <c r="D41">
        <v>102655</v>
      </c>
    </row>
    <row r="42" spans="1:4">
      <c r="A42" s="41">
        <v>45992</v>
      </c>
      <c r="B42" t="s">
        <v>501</v>
      </c>
      <c r="D42">
        <v>66920</v>
      </c>
    </row>
    <row r="43" spans="1:4">
      <c r="A43" s="41">
        <v>45992</v>
      </c>
      <c r="B43" t="s">
        <v>514</v>
      </c>
      <c r="D43">
        <v>49635</v>
      </c>
    </row>
    <row r="44" spans="1:4">
      <c r="A44" s="41">
        <v>45992</v>
      </c>
      <c r="B44" t="s">
        <v>526</v>
      </c>
      <c r="D44">
        <v>47750</v>
      </c>
    </row>
    <row r="45" spans="1:4">
      <c r="A45" s="41">
        <v>45992</v>
      </c>
      <c r="B45" t="s">
        <v>535</v>
      </c>
      <c r="D45">
        <v>44392</v>
      </c>
    </row>
    <row r="46" spans="1:4">
      <c r="A46" s="41">
        <v>45992</v>
      </c>
      <c r="B46" t="s">
        <v>535</v>
      </c>
      <c r="D46">
        <v>44392</v>
      </c>
    </row>
    <row r="47" spans="1:4">
      <c r="A47" s="41">
        <v>45992</v>
      </c>
      <c r="B47" t="s">
        <v>535</v>
      </c>
      <c r="D47">
        <v>44525</v>
      </c>
    </row>
    <row r="48" spans="1:4">
      <c r="A48" s="41">
        <v>45992</v>
      </c>
      <c r="B48" t="s">
        <v>549</v>
      </c>
      <c r="D48">
        <v>1354</v>
      </c>
    </row>
    <row r="49" spans="1:4">
      <c r="A49" s="41">
        <v>45992</v>
      </c>
      <c r="B49" t="s">
        <v>575</v>
      </c>
      <c r="D49">
        <v>226410</v>
      </c>
    </row>
    <row r="50" spans="1:4">
      <c r="A50" s="41">
        <v>45992</v>
      </c>
      <c r="B50" t="s">
        <v>591</v>
      </c>
      <c r="D50">
        <v>131499</v>
      </c>
    </row>
    <row r="51" spans="1:4">
      <c r="A51" s="41">
        <v>45992</v>
      </c>
      <c r="B51" t="s">
        <v>596</v>
      </c>
      <c r="D51">
        <v>123825</v>
      </c>
    </row>
    <row r="52" spans="1:4">
      <c r="A52" s="41">
        <v>45992</v>
      </c>
      <c r="B52" t="s">
        <v>608</v>
      </c>
      <c r="D52">
        <v>289345</v>
      </c>
    </row>
    <row r="53" spans="1:4">
      <c r="A53" s="41">
        <v>45992</v>
      </c>
      <c r="B53" t="s">
        <v>616</v>
      </c>
      <c r="D53">
        <v>106327</v>
      </c>
    </row>
    <row r="54" spans="1:4">
      <c r="A54" s="41">
        <v>45992</v>
      </c>
      <c r="B54" t="s">
        <v>620</v>
      </c>
      <c r="D54">
        <v>113058</v>
      </c>
    </row>
    <row r="55" spans="1:4">
      <c r="A55" s="41">
        <v>45992</v>
      </c>
      <c r="B55" t="s">
        <v>626</v>
      </c>
      <c r="D55">
        <v>95104</v>
      </c>
    </row>
    <row r="56" spans="1:4">
      <c r="A56" s="41">
        <v>45992</v>
      </c>
      <c r="B56" t="s">
        <v>630</v>
      </c>
      <c r="D56">
        <v>129291</v>
      </c>
    </row>
    <row r="57" spans="1:4">
      <c r="A57" s="41">
        <v>45992</v>
      </c>
      <c r="B57" t="s">
        <v>634</v>
      </c>
      <c r="D57">
        <v>93850</v>
      </c>
    </row>
    <row r="58" spans="1:4">
      <c r="A58" s="41">
        <v>45992</v>
      </c>
      <c r="B58" t="s">
        <v>636</v>
      </c>
      <c r="D58">
        <v>99997</v>
      </c>
    </row>
    <row r="59" spans="1:4">
      <c r="A59" s="41">
        <v>45992</v>
      </c>
      <c r="B59" t="s">
        <v>637</v>
      </c>
      <c r="D59">
        <v>94790</v>
      </c>
    </row>
    <row r="60" spans="1:4">
      <c r="A60" s="41">
        <v>45993</v>
      </c>
      <c r="B60" t="s">
        <v>12</v>
      </c>
      <c r="C60">
        <v>28522</v>
      </c>
    </row>
    <row r="61" spans="1:4">
      <c r="A61" s="41">
        <v>45993</v>
      </c>
      <c r="B61" t="s">
        <v>29</v>
      </c>
      <c r="C61">
        <v>10366</v>
      </c>
    </row>
    <row r="62" spans="1:4">
      <c r="A62" s="41">
        <v>45993</v>
      </c>
      <c r="B62" t="s">
        <v>32</v>
      </c>
      <c r="C62">
        <v>10183</v>
      </c>
      <c r="D62">
        <v>243198</v>
      </c>
    </row>
    <row r="63" spans="1:4">
      <c r="A63" s="41">
        <v>45993</v>
      </c>
      <c r="B63" t="s">
        <v>35</v>
      </c>
      <c r="C63">
        <v>8092</v>
      </c>
      <c r="D63">
        <v>161045</v>
      </c>
    </row>
    <row r="64" spans="1:4">
      <c r="A64" s="41">
        <v>45993</v>
      </c>
      <c r="B64" t="s">
        <v>35</v>
      </c>
      <c r="C64">
        <v>8096</v>
      </c>
      <c r="D64">
        <v>161269</v>
      </c>
    </row>
    <row r="65" spans="1:4">
      <c r="A65" s="41">
        <v>45993</v>
      </c>
      <c r="B65" t="s">
        <v>50</v>
      </c>
      <c r="D65">
        <v>268298</v>
      </c>
    </row>
    <row r="66" spans="1:4">
      <c r="A66" s="41">
        <v>45993</v>
      </c>
      <c r="B66" t="s">
        <v>68</v>
      </c>
      <c r="D66">
        <v>319659</v>
      </c>
    </row>
    <row r="67" spans="1:4">
      <c r="A67" s="41">
        <v>45993</v>
      </c>
      <c r="B67" t="s">
        <v>89</v>
      </c>
      <c r="C67">
        <v>3079</v>
      </c>
      <c r="D67">
        <v>79041</v>
      </c>
    </row>
    <row r="68" spans="1:4">
      <c r="A68" s="41">
        <v>45993</v>
      </c>
      <c r="B68" t="s">
        <v>93</v>
      </c>
      <c r="C68">
        <v>3307</v>
      </c>
      <c r="D68">
        <v>92063</v>
      </c>
    </row>
    <row r="69" spans="1:4">
      <c r="A69" s="41">
        <v>45993</v>
      </c>
      <c r="B69" t="s">
        <v>106</v>
      </c>
      <c r="D69">
        <v>110883</v>
      </c>
    </row>
    <row r="70" spans="1:4">
      <c r="A70" s="41">
        <v>45993</v>
      </c>
      <c r="B70" t="s">
        <v>121</v>
      </c>
      <c r="C70">
        <v>7204</v>
      </c>
      <c r="D70">
        <v>180250</v>
      </c>
    </row>
    <row r="71" spans="1:4">
      <c r="A71" s="41">
        <v>45993</v>
      </c>
      <c r="B71" t="s">
        <v>152</v>
      </c>
      <c r="D71">
        <v>259682</v>
      </c>
    </row>
    <row r="72" spans="1:4">
      <c r="A72" s="41">
        <v>45993</v>
      </c>
      <c r="B72" t="s">
        <v>159</v>
      </c>
      <c r="D72">
        <v>138682</v>
      </c>
    </row>
    <row r="73" spans="1:4">
      <c r="A73" s="41">
        <v>45993</v>
      </c>
      <c r="B73" t="s">
        <v>169</v>
      </c>
      <c r="C73">
        <v>9061</v>
      </c>
      <c r="D73">
        <v>192278</v>
      </c>
    </row>
    <row r="74" spans="1:4">
      <c r="A74" s="41">
        <v>45993</v>
      </c>
      <c r="B74" t="s">
        <v>171</v>
      </c>
      <c r="C74">
        <v>1556</v>
      </c>
      <c r="D74">
        <v>193602</v>
      </c>
    </row>
    <row r="75" spans="1:4">
      <c r="A75" s="41">
        <v>45993</v>
      </c>
      <c r="B75" t="s">
        <v>175</v>
      </c>
      <c r="C75">
        <v>8865</v>
      </c>
      <c r="D75">
        <v>201248</v>
      </c>
    </row>
    <row r="76" spans="1:4">
      <c r="A76" s="41">
        <v>45993</v>
      </c>
      <c r="B76" t="s">
        <v>177</v>
      </c>
      <c r="C76">
        <v>8534</v>
      </c>
      <c r="D76">
        <v>188652</v>
      </c>
    </row>
    <row r="77" spans="1:4">
      <c r="A77" s="41">
        <v>45993</v>
      </c>
      <c r="B77" t="s">
        <v>210</v>
      </c>
      <c r="C77">
        <v>115</v>
      </c>
    </row>
    <row r="78" spans="1:4">
      <c r="A78" s="41">
        <v>45993</v>
      </c>
      <c r="B78" t="s">
        <v>243</v>
      </c>
      <c r="C78">
        <v>5053</v>
      </c>
    </row>
    <row r="79" spans="1:4">
      <c r="A79" s="41">
        <v>45993</v>
      </c>
      <c r="B79" t="s">
        <v>254</v>
      </c>
      <c r="C79">
        <v>15298</v>
      </c>
    </row>
    <row r="80" spans="1:4">
      <c r="A80" s="41">
        <v>45993</v>
      </c>
      <c r="B80" t="s">
        <v>258</v>
      </c>
      <c r="C80">
        <v>2163</v>
      </c>
    </row>
    <row r="81" spans="1:4">
      <c r="A81" s="41">
        <v>45993</v>
      </c>
      <c r="B81" t="s">
        <v>268</v>
      </c>
      <c r="C81">
        <v>5318</v>
      </c>
    </row>
    <row r="82" spans="1:4">
      <c r="A82" s="41">
        <v>45993</v>
      </c>
      <c r="B82" t="s">
        <v>275</v>
      </c>
      <c r="C82">
        <v>1180</v>
      </c>
    </row>
    <row r="83" spans="1:4">
      <c r="A83" s="41">
        <v>45993</v>
      </c>
      <c r="B83" t="s">
        <v>278</v>
      </c>
      <c r="C83">
        <v>698</v>
      </c>
    </row>
    <row r="84" spans="1:4">
      <c r="A84" s="41">
        <v>45993</v>
      </c>
      <c r="B84" t="s">
        <v>288</v>
      </c>
      <c r="C84">
        <v>903</v>
      </c>
    </row>
    <row r="85" spans="1:4">
      <c r="A85" s="41">
        <v>45993</v>
      </c>
      <c r="B85" t="s">
        <v>305</v>
      </c>
      <c r="C85">
        <v>16672</v>
      </c>
    </row>
    <row r="86" spans="1:4">
      <c r="A86" s="41">
        <v>45993</v>
      </c>
      <c r="B86" t="s">
        <v>321</v>
      </c>
      <c r="C86">
        <v>8812</v>
      </c>
    </row>
    <row r="87" spans="1:4">
      <c r="A87" s="41">
        <v>45993</v>
      </c>
      <c r="B87" t="s">
        <v>324</v>
      </c>
      <c r="C87">
        <v>6914</v>
      </c>
    </row>
    <row r="88" spans="1:4">
      <c r="A88" s="41">
        <v>45993</v>
      </c>
      <c r="B88" t="s">
        <v>333</v>
      </c>
      <c r="C88">
        <v>11699</v>
      </c>
    </row>
    <row r="89" spans="1:4">
      <c r="A89" s="41">
        <v>45993</v>
      </c>
      <c r="B89" t="s">
        <v>408</v>
      </c>
      <c r="C89">
        <v>4181</v>
      </c>
    </row>
    <row r="90" spans="1:4">
      <c r="A90" s="41">
        <v>45993</v>
      </c>
      <c r="B90" t="s">
        <v>417</v>
      </c>
      <c r="C90">
        <v>7834</v>
      </c>
    </row>
    <row r="91" spans="1:4">
      <c r="A91" s="41">
        <v>45993</v>
      </c>
      <c r="B91" t="s">
        <v>424</v>
      </c>
      <c r="C91">
        <v>403</v>
      </c>
    </row>
    <row r="92" spans="1:4">
      <c r="A92" s="41">
        <v>45993</v>
      </c>
      <c r="B92" t="s">
        <v>443</v>
      </c>
      <c r="C92">
        <v>2051</v>
      </c>
    </row>
    <row r="93" spans="1:4">
      <c r="A93" s="41">
        <v>45993</v>
      </c>
      <c r="B93" t="s">
        <v>465</v>
      </c>
      <c r="D93">
        <v>85563</v>
      </c>
    </row>
    <row r="94" spans="1:4">
      <c r="A94" s="41">
        <v>45993</v>
      </c>
      <c r="B94" t="s">
        <v>481</v>
      </c>
      <c r="D94">
        <v>67700</v>
      </c>
    </row>
    <row r="95" spans="1:4">
      <c r="A95" s="41">
        <v>45993</v>
      </c>
      <c r="B95" t="s">
        <v>493</v>
      </c>
      <c r="D95">
        <v>50223</v>
      </c>
    </row>
    <row r="96" spans="1:4">
      <c r="A96" s="41">
        <v>45993</v>
      </c>
      <c r="B96" t="s">
        <v>496</v>
      </c>
      <c r="D96">
        <v>102835</v>
      </c>
    </row>
    <row r="97" spans="1:4">
      <c r="A97" s="41">
        <v>45993</v>
      </c>
      <c r="B97" t="s">
        <v>499</v>
      </c>
      <c r="D97">
        <v>49566</v>
      </c>
    </row>
    <row r="98" spans="1:4">
      <c r="A98" s="41">
        <v>45993</v>
      </c>
      <c r="B98" t="s">
        <v>501</v>
      </c>
      <c r="D98">
        <v>67433</v>
      </c>
    </row>
    <row r="99" spans="1:4">
      <c r="A99" s="41">
        <v>45993</v>
      </c>
      <c r="B99" t="s">
        <v>508</v>
      </c>
      <c r="D99">
        <v>38912</v>
      </c>
    </row>
    <row r="100" spans="1:4">
      <c r="A100" s="41">
        <v>45993</v>
      </c>
      <c r="B100" t="s">
        <v>512</v>
      </c>
      <c r="D100">
        <v>39119</v>
      </c>
    </row>
    <row r="101" spans="1:4">
      <c r="A101" s="41">
        <v>45993</v>
      </c>
      <c r="B101" t="s">
        <v>520</v>
      </c>
      <c r="D101">
        <v>39392</v>
      </c>
    </row>
    <row r="102" spans="1:4">
      <c r="A102" s="41">
        <v>45993</v>
      </c>
      <c r="B102" t="s">
        <v>523</v>
      </c>
      <c r="D102">
        <v>47784</v>
      </c>
    </row>
    <row r="103" spans="1:4">
      <c r="A103" s="41">
        <v>45993</v>
      </c>
      <c r="B103" t="s">
        <v>533</v>
      </c>
      <c r="D103">
        <v>62317</v>
      </c>
    </row>
    <row r="104" spans="1:4">
      <c r="A104" s="41">
        <v>45993</v>
      </c>
      <c r="B104" t="s">
        <v>535</v>
      </c>
      <c r="D104">
        <v>44970</v>
      </c>
    </row>
    <row r="105" spans="1:4">
      <c r="A105" s="41">
        <v>45993</v>
      </c>
      <c r="B105" t="s">
        <v>535</v>
      </c>
      <c r="D105">
        <v>44970</v>
      </c>
    </row>
    <row r="106" spans="1:4">
      <c r="A106" s="41">
        <v>45993</v>
      </c>
      <c r="B106" t="s">
        <v>537</v>
      </c>
      <c r="D106">
        <v>78182</v>
      </c>
    </row>
    <row r="107" spans="1:4">
      <c r="A107" s="41">
        <v>45993</v>
      </c>
      <c r="B107" t="s">
        <v>542</v>
      </c>
      <c r="D107">
        <v>69663</v>
      </c>
    </row>
    <row r="108" spans="1:4">
      <c r="A108" s="41">
        <v>45993</v>
      </c>
      <c r="B108" t="s">
        <v>596</v>
      </c>
      <c r="D108">
        <v>124202</v>
      </c>
    </row>
    <row r="109" spans="1:4">
      <c r="A109" s="41">
        <v>45993</v>
      </c>
      <c r="B109" t="s">
        <v>598</v>
      </c>
      <c r="D109">
        <v>123997</v>
      </c>
    </row>
    <row r="110" spans="1:4">
      <c r="A110" s="41">
        <v>45993</v>
      </c>
      <c r="B110" t="s">
        <v>611</v>
      </c>
      <c r="D110">
        <v>248505</v>
      </c>
    </row>
    <row r="111" spans="1:4">
      <c r="A111" s="41">
        <v>45993</v>
      </c>
      <c r="B111" t="s">
        <v>613</v>
      </c>
      <c r="D111">
        <v>133930</v>
      </c>
    </row>
    <row r="112" spans="1:4">
      <c r="A112" s="41">
        <v>45993</v>
      </c>
      <c r="B112" t="s">
        <v>618</v>
      </c>
      <c r="D112">
        <v>101161</v>
      </c>
    </row>
    <row r="113" spans="1:4">
      <c r="A113" s="41">
        <v>45993</v>
      </c>
      <c r="B113" t="s">
        <v>634</v>
      </c>
      <c r="D113">
        <v>94054</v>
      </c>
    </row>
    <row r="114" spans="1:4">
      <c r="A114" s="41">
        <v>45993</v>
      </c>
      <c r="B114" t="s">
        <v>636</v>
      </c>
      <c r="D114">
        <v>100503</v>
      </c>
    </row>
    <row r="115" spans="1:4">
      <c r="A115" s="41">
        <v>45994</v>
      </c>
      <c r="B115" t="s">
        <v>29</v>
      </c>
      <c r="C115">
        <v>10330</v>
      </c>
      <c r="D115">
        <v>245655</v>
      </c>
    </row>
    <row r="116" spans="1:4">
      <c r="A116" s="41">
        <v>45994</v>
      </c>
      <c r="B116" t="s">
        <v>32</v>
      </c>
      <c r="C116">
        <v>10194</v>
      </c>
      <c r="D116">
        <v>243499</v>
      </c>
    </row>
    <row r="117" spans="1:4">
      <c r="A117" s="41">
        <v>45994</v>
      </c>
      <c r="B117" t="s">
        <v>61</v>
      </c>
      <c r="D117">
        <v>802920</v>
      </c>
    </row>
    <row r="118" spans="1:4">
      <c r="A118" s="41">
        <v>45994</v>
      </c>
      <c r="B118" t="s">
        <v>65</v>
      </c>
      <c r="C118">
        <v>3659</v>
      </c>
    </row>
    <row r="119" spans="1:4">
      <c r="A119" s="41">
        <v>45994</v>
      </c>
      <c r="B119" t="s">
        <v>78</v>
      </c>
      <c r="D119">
        <v>500502</v>
      </c>
    </row>
    <row r="120" spans="1:4">
      <c r="A120" s="41">
        <v>45994</v>
      </c>
      <c r="B120" t="s">
        <v>86</v>
      </c>
      <c r="C120">
        <v>3069</v>
      </c>
      <c r="D120">
        <v>73434</v>
      </c>
    </row>
    <row r="121" spans="1:4">
      <c r="A121" s="41">
        <v>45994</v>
      </c>
      <c r="B121" t="s">
        <v>517</v>
      </c>
      <c r="D121">
        <v>32414</v>
      </c>
    </row>
    <row r="122" spans="1:4">
      <c r="A122" s="41">
        <v>45994</v>
      </c>
      <c r="B122" t="s">
        <v>93</v>
      </c>
      <c r="C122">
        <v>3317</v>
      </c>
      <c r="D122">
        <v>92211</v>
      </c>
    </row>
    <row r="123" spans="1:4">
      <c r="A123" s="41">
        <v>45994</v>
      </c>
      <c r="B123" t="s">
        <v>106</v>
      </c>
      <c r="D123">
        <v>111249</v>
      </c>
    </row>
    <row r="124" spans="1:4">
      <c r="A124" s="41">
        <v>45994</v>
      </c>
      <c r="B124" t="s">
        <v>121</v>
      </c>
      <c r="C124">
        <v>7215</v>
      </c>
      <c r="D124">
        <v>180607</v>
      </c>
    </row>
    <row r="125" spans="1:4">
      <c r="A125" s="41">
        <v>45994</v>
      </c>
      <c r="B125" t="s">
        <v>138</v>
      </c>
      <c r="D125">
        <v>280376</v>
      </c>
    </row>
    <row r="126" spans="1:4">
      <c r="A126" s="81">
        <v>43900</v>
      </c>
      <c r="B126" t="s">
        <v>1182</v>
      </c>
      <c r="C126">
        <v>6157</v>
      </c>
    </row>
    <row r="127" spans="1:4">
      <c r="A127" s="41">
        <v>45994</v>
      </c>
      <c r="B127" t="s">
        <v>173</v>
      </c>
      <c r="C127">
        <v>8342</v>
      </c>
      <c r="D127">
        <v>161093</v>
      </c>
    </row>
    <row r="128" spans="1:4">
      <c r="A128" s="41">
        <v>45994</v>
      </c>
      <c r="B128" t="s">
        <v>182</v>
      </c>
      <c r="C128">
        <v>8557</v>
      </c>
      <c r="D128">
        <v>161938</v>
      </c>
    </row>
    <row r="129" spans="1:4">
      <c r="A129" s="41">
        <v>45994</v>
      </c>
      <c r="B129" t="s">
        <v>187</v>
      </c>
      <c r="D129">
        <v>525767</v>
      </c>
    </row>
    <row r="130" spans="1:4">
      <c r="A130" s="41">
        <v>45994</v>
      </c>
      <c r="B130" t="s">
        <v>247</v>
      </c>
      <c r="C130">
        <v>3712</v>
      </c>
    </row>
    <row r="131" spans="1:4">
      <c r="A131" s="41">
        <v>45994</v>
      </c>
      <c r="B131" t="s">
        <v>258</v>
      </c>
      <c r="C131">
        <v>2191</v>
      </c>
    </row>
    <row r="132" spans="1:4">
      <c r="A132" s="41">
        <v>45994</v>
      </c>
      <c r="B132" t="s">
        <v>263</v>
      </c>
      <c r="C132">
        <v>9623</v>
      </c>
    </row>
    <row r="133" spans="1:4">
      <c r="A133" s="41">
        <v>45994</v>
      </c>
      <c r="B133" t="s">
        <v>288</v>
      </c>
      <c r="C133">
        <v>912</v>
      </c>
    </row>
    <row r="134" spans="1:4">
      <c r="A134" s="41">
        <v>45994</v>
      </c>
      <c r="B134" t="s">
        <v>314</v>
      </c>
      <c r="C134">
        <v>27496</v>
      </c>
    </row>
    <row r="135" spans="1:4">
      <c r="A135" s="41">
        <v>45994</v>
      </c>
      <c r="B135" t="s">
        <v>378</v>
      </c>
      <c r="C135">
        <v>3537</v>
      </c>
    </row>
    <row r="136" spans="1:4">
      <c r="A136" s="41">
        <v>45994</v>
      </c>
      <c r="B136" t="s">
        <v>417</v>
      </c>
      <c r="C136">
        <v>7845</v>
      </c>
    </row>
    <row r="137" spans="1:4">
      <c r="A137" s="41">
        <v>45994</v>
      </c>
      <c r="B137" t="s">
        <v>420</v>
      </c>
      <c r="C137">
        <v>5427</v>
      </c>
    </row>
    <row r="138" spans="1:4">
      <c r="A138" s="41">
        <v>45994</v>
      </c>
      <c r="B138" t="s">
        <v>430</v>
      </c>
      <c r="C138">
        <v>6349</v>
      </c>
    </row>
    <row r="139" spans="1:4">
      <c r="A139" s="41">
        <v>45994</v>
      </c>
      <c r="B139" t="s">
        <v>431</v>
      </c>
      <c r="C139">
        <v>9702</v>
      </c>
    </row>
    <row r="140" spans="1:4">
      <c r="A140" s="41">
        <v>45994</v>
      </c>
      <c r="B140" t="s">
        <v>437</v>
      </c>
      <c r="C140">
        <v>1733</v>
      </c>
    </row>
    <row r="141" spans="1:4">
      <c r="A141" s="41">
        <v>45994</v>
      </c>
      <c r="B141" t="s">
        <v>447</v>
      </c>
      <c r="C141">
        <v>1456</v>
      </c>
    </row>
    <row r="142" spans="1:4">
      <c r="A142" s="41">
        <v>45994</v>
      </c>
      <c r="B142" t="s">
        <v>455</v>
      </c>
      <c r="C142">
        <v>2363</v>
      </c>
    </row>
    <row r="143" spans="1:4">
      <c r="A143" s="41">
        <v>45994</v>
      </c>
      <c r="B143" t="s">
        <v>456</v>
      </c>
      <c r="C143">
        <v>1787</v>
      </c>
    </row>
    <row r="144" spans="1:4">
      <c r="A144" s="41">
        <v>45994</v>
      </c>
      <c r="B144" t="s">
        <v>479</v>
      </c>
      <c r="D144">
        <v>66902</v>
      </c>
    </row>
    <row r="145" spans="1:4">
      <c r="A145" s="41">
        <v>45994</v>
      </c>
      <c r="B145" t="s">
        <v>485</v>
      </c>
      <c r="D145">
        <v>66902</v>
      </c>
    </row>
    <row r="146" spans="1:4">
      <c r="A146" s="41">
        <v>45994</v>
      </c>
      <c r="B146" t="s">
        <v>496</v>
      </c>
      <c r="D146">
        <v>102981</v>
      </c>
    </row>
    <row r="147" spans="1:4">
      <c r="A147" s="41">
        <v>45994</v>
      </c>
      <c r="B147" t="s">
        <v>501</v>
      </c>
      <c r="D147">
        <v>67947</v>
      </c>
    </row>
    <row r="148" spans="1:4">
      <c r="A148" s="41">
        <v>45994</v>
      </c>
      <c r="B148" t="s">
        <v>506</v>
      </c>
      <c r="D148">
        <v>46832</v>
      </c>
    </row>
    <row r="149" spans="1:4">
      <c r="A149" s="41">
        <v>45994</v>
      </c>
      <c r="B149" t="s">
        <v>515</v>
      </c>
      <c r="D149">
        <v>55515</v>
      </c>
    </row>
    <row r="150" spans="1:4">
      <c r="A150" s="41">
        <v>45994</v>
      </c>
      <c r="B150" t="s">
        <v>518</v>
      </c>
      <c r="D150">
        <v>58718</v>
      </c>
    </row>
    <row r="151" spans="1:4">
      <c r="A151" s="41">
        <v>45994</v>
      </c>
      <c r="B151" t="s">
        <v>518</v>
      </c>
      <c r="D151">
        <v>58718</v>
      </c>
    </row>
    <row r="152" spans="1:4">
      <c r="A152" s="41">
        <v>45994</v>
      </c>
      <c r="B152" t="s">
        <v>528</v>
      </c>
      <c r="D152">
        <v>54692</v>
      </c>
    </row>
    <row r="153" spans="1:4">
      <c r="A153" s="41">
        <v>45994</v>
      </c>
      <c r="B153" t="s">
        <v>533</v>
      </c>
      <c r="D153">
        <v>62422</v>
      </c>
    </row>
    <row r="154" spans="1:4">
      <c r="A154" s="41">
        <v>45994</v>
      </c>
      <c r="B154" t="s">
        <v>535</v>
      </c>
      <c r="D154">
        <v>45647</v>
      </c>
    </row>
    <row r="155" spans="1:4">
      <c r="A155" s="41">
        <v>45994</v>
      </c>
      <c r="B155" t="s">
        <v>542</v>
      </c>
      <c r="D155">
        <v>69923</v>
      </c>
    </row>
    <row r="156" spans="1:4">
      <c r="A156" s="41">
        <v>45994</v>
      </c>
      <c r="B156" t="s">
        <v>568</v>
      </c>
      <c r="D156">
        <v>145689</v>
      </c>
    </row>
    <row r="157" spans="1:4">
      <c r="A157" s="41">
        <v>45994</v>
      </c>
      <c r="B157" t="s">
        <v>575</v>
      </c>
      <c r="D157">
        <v>226672</v>
      </c>
    </row>
    <row r="158" spans="1:4">
      <c r="A158" s="41">
        <v>45994</v>
      </c>
      <c r="B158" t="s">
        <v>591</v>
      </c>
      <c r="D158">
        <v>131990</v>
      </c>
    </row>
    <row r="159" spans="1:4">
      <c r="A159" s="41">
        <v>45994</v>
      </c>
      <c r="B159" t="s">
        <v>593</v>
      </c>
      <c r="D159">
        <v>151672</v>
      </c>
    </row>
    <row r="160" spans="1:4">
      <c r="A160" s="41">
        <v>45994</v>
      </c>
      <c r="B160" t="s">
        <v>596</v>
      </c>
      <c r="D160">
        <v>124536</v>
      </c>
    </row>
    <row r="161" spans="1:4">
      <c r="A161" s="41">
        <v>45994</v>
      </c>
      <c r="B161" t="s">
        <v>608</v>
      </c>
      <c r="D161">
        <v>289800</v>
      </c>
    </row>
    <row r="162" spans="1:4">
      <c r="A162" s="41">
        <v>45994</v>
      </c>
      <c r="B162" t="s">
        <v>611</v>
      </c>
      <c r="D162">
        <v>248751</v>
      </c>
    </row>
    <row r="163" spans="1:4">
      <c r="A163" s="41">
        <v>45994</v>
      </c>
      <c r="B163" t="s">
        <v>620</v>
      </c>
      <c r="D163">
        <v>113358</v>
      </c>
    </row>
    <row r="164" spans="1:4">
      <c r="A164" s="41">
        <v>45994</v>
      </c>
      <c r="B164" t="s">
        <v>622</v>
      </c>
      <c r="D164">
        <v>102037</v>
      </c>
    </row>
    <row r="165" spans="1:4">
      <c r="A165" s="41">
        <v>45994</v>
      </c>
      <c r="B165" t="s">
        <v>628</v>
      </c>
      <c r="D165">
        <v>81331</v>
      </c>
    </row>
    <row r="166" spans="1:4">
      <c r="A166" s="41">
        <v>45994</v>
      </c>
      <c r="B166" t="s">
        <v>630</v>
      </c>
      <c r="D166">
        <v>129877</v>
      </c>
    </row>
    <row r="167" spans="1:4">
      <c r="A167" s="41">
        <v>45994</v>
      </c>
      <c r="B167" t="s">
        <v>634</v>
      </c>
      <c r="D167">
        <v>94271</v>
      </c>
    </row>
    <row r="168" spans="1:4">
      <c r="A168" s="41">
        <v>45994</v>
      </c>
      <c r="B168" t="s">
        <v>637</v>
      </c>
      <c r="D168">
        <v>95040</v>
      </c>
    </row>
    <row r="169" spans="1:4">
      <c r="A169" s="41">
        <v>45995</v>
      </c>
      <c r="B169" t="s">
        <v>19</v>
      </c>
      <c r="C169">
        <v>9790</v>
      </c>
    </row>
    <row r="170" spans="1:4">
      <c r="A170" s="41">
        <v>45995</v>
      </c>
      <c r="B170" t="s">
        <v>29</v>
      </c>
      <c r="C170">
        <v>10337</v>
      </c>
      <c r="D170">
        <v>245861</v>
      </c>
    </row>
    <row r="171" spans="1:4">
      <c r="A171" s="41">
        <v>45995</v>
      </c>
      <c r="B171" t="s">
        <v>32</v>
      </c>
      <c r="C171">
        <v>10201</v>
      </c>
      <c r="D171">
        <v>243805</v>
      </c>
    </row>
    <row r="172" spans="1:4">
      <c r="A172" s="41">
        <v>45995</v>
      </c>
      <c r="B172" t="s">
        <v>35</v>
      </c>
      <c r="C172">
        <v>8114</v>
      </c>
      <c r="D172">
        <v>161736</v>
      </c>
    </row>
    <row r="173" spans="1:4">
      <c r="A173" s="41">
        <v>45995</v>
      </c>
      <c r="B173" t="s">
        <v>41</v>
      </c>
    </row>
    <row r="174" spans="1:4">
      <c r="A174" s="41">
        <v>45995</v>
      </c>
      <c r="B174" t="s">
        <v>41</v>
      </c>
    </row>
    <row r="175" spans="1:4">
      <c r="A175" s="41">
        <v>45995</v>
      </c>
      <c r="B175" t="s">
        <v>50</v>
      </c>
      <c r="D175">
        <v>268560</v>
      </c>
    </row>
    <row r="176" spans="1:4">
      <c r="A176" s="41">
        <v>45995</v>
      </c>
      <c r="B176" t="s">
        <v>68</v>
      </c>
      <c r="C176">
        <v>320119</v>
      </c>
    </row>
    <row r="177" spans="1:4">
      <c r="A177" s="41">
        <v>45995</v>
      </c>
      <c r="B177" t="s">
        <v>68</v>
      </c>
      <c r="D177">
        <v>320119</v>
      </c>
    </row>
    <row r="178" spans="1:4">
      <c r="A178" s="41">
        <v>45995</v>
      </c>
      <c r="B178" t="s">
        <v>78</v>
      </c>
      <c r="D178">
        <v>500706</v>
      </c>
    </row>
    <row r="179" spans="1:4">
      <c r="A179" s="41">
        <v>45995</v>
      </c>
      <c r="B179" t="s">
        <v>81</v>
      </c>
      <c r="D179">
        <v>185798</v>
      </c>
    </row>
    <row r="180" spans="1:4">
      <c r="A180" s="41">
        <v>45995</v>
      </c>
      <c r="B180" t="s">
        <v>89</v>
      </c>
      <c r="C180">
        <v>3091</v>
      </c>
      <c r="D180">
        <v>79245</v>
      </c>
    </row>
    <row r="181" spans="1:4">
      <c r="A181" s="41">
        <v>45995</v>
      </c>
      <c r="B181" t="s">
        <v>91</v>
      </c>
      <c r="D181">
        <v>85902</v>
      </c>
    </row>
    <row r="182" spans="1:4">
      <c r="A182" s="41">
        <v>45995</v>
      </c>
      <c r="B182" t="s">
        <v>106</v>
      </c>
      <c r="D182">
        <v>511388</v>
      </c>
    </row>
    <row r="183" spans="1:4">
      <c r="A183" s="41">
        <v>45995</v>
      </c>
      <c r="B183" t="s">
        <v>121</v>
      </c>
      <c r="C183">
        <v>7223</v>
      </c>
      <c r="D183">
        <v>180852</v>
      </c>
    </row>
    <row r="184" spans="1:4">
      <c r="A184" s="41">
        <v>45995</v>
      </c>
      <c r="B184" t="s">
        <v>138</v>
      </c>
      <c r="D184">
        <v>280506</v>
      </c>
    </row>
    <row r="185" spans="1:4">
      <c r="A185" s="41">
        <v>45995</v>
      </c>
      <c r="B185" t="s">
        <v>152</v>
      </c>
      <c r="D185">
        <v>259773</v>
      </c>
    </row>
    <row r="186" spans="1:4">
      <c r="A186" s="81">
        <v>43900</v>
      </c>
      <c r="B186" t="s">
        <v>359</v>
      </c>
      <c r="C186">
        <v>8060</v>
      </c>
    </row>
    <row r="187" spans="1:4">
      <c r="A187" s="41">
        <v>45995</v>
      </c>
      <c r="B187" t="s">
        <v>661</v>
      </c>
      <c r="D187">
        <v>293616</v>
      </c>
    </row>
    <row r="188" spans="1:4">
      <c r="A188" s="41">
        <v>45995</v>
      </c>
      <c r="B188" t="s">
        <v>169</v>
      </c>
      <c r="C188">
        <v>9076</v>
      </c>
      <c r="D188">
        <v>192563</v>
      </c>
    </row>
    <row r="189" spans="1:4">
      <c r="A189" s="41">
        <v>45995</v>
      </c>
      <c r="B189" t="s">
        <v>171</v>
      </c>
      <c r="C189">
        <v>1573</v>
      </c>
      <c r="D189">
        <v>193920</v>
      </c>
    </row>
    <row r="190" spans="1:4">
      <c r="A190" s="41">
        <v>45995</v>
      </c>
      <c r="B190" t="s">
        <v>173</v>
      </c>
      <c r="C190">
        <v>8353</v>
      </c>
      <c r="D190">
        <v>161315</v>
      </c>
    </row>
    <row r="191" spans="1:4">
      <c r="A191" s="41">
        <v>45995</v>
      </c>
      <c r="B191" t="s">
        <v>175</v>
      </c>
      <c r="C191">
        <v>8875</v>
      </c>
      <c r="D191">
        <v>201451</v>
      </c>
    </row>
    <row r="192" spans="1:4">
      <c r="A192" s="41">
        <v>45995</v>
      </c>
      <c r="B192" t="s">
        <v>182</v>
      </c>
      <c r="C192">
        <v>8568</v>
      </c>
      <c r="D192">
        <v>162130</v>
      </c>
    </row>
    <row r="193" spans="1:4">
      <c r="A193" s="41">
        <v>45995</v>
      </c>
      <c r="B193" t="s">
        <v>185</v>
      </c>
      <c r="C193">
        <v>8185</v>
      </c>
      <c r="D193">
        <v>557900</v>
      </c>
    </row>
    <row r="194" spans="1:4">
      <c r="A194" s="41">
        <v>45995</v>
      </c>
      <c r="B194" t="s">
        <v>234</v>
      </c>
      <c r="C194">
        <v>1836</v>
      </c>
    </row>
    <row r="195" spans="1:4">
      <c r="A195" s="41">
        <v>45995</v>
      </c>
      <c r="B195" t="s">
        <v>246</v>
      </c>
      <c r="C195">
        <v>6528</v>
      </c>
    </row>
    <row r="196" spans="1:4">
      <c r="A196" s="41">
        <v>45995</v>
      </c>
      <c r="B196" t="s">
        <v>249</v>
      </c>
      <c r="C196">
        <v>4679</v>
      </c>
    </row>
    <row r="197" spans="1:4">
      <c r="A197" s="41">
        <v>45995</v>
      </c>
      <c r="B197" t="s">
        <v>268</v>
      </c>
      <c r="C197">
        <v>5333</v>
      </c>
    </row>
    <row r="198" spans="1:4">
      <c r="A198" s="41">
        <v>45995</v>
      </c>
      <c r="B198" t="s">
        <v>288</v>
      </c>
      <c r="C198">
        <v>923</v>
      </c>
    </row>
    <row r="199" spans="1:4">
      <c r="A199" s="41">
        <v>45995</v>
      </c>
      <c r="B199" t="s">
        <v>305</v>
      </c>
      <c r="C199">
        <v>16679</v>
      </c>
    </row>
    <row r="200" spans="1:4">
      <c r="A200" s="41">
        <v>45995</v>
      </c>
      <c r="B200" t="s">
        <v>314</v>
      </c>
      <c r="C200">
        <v>27509</v>
      </c>
    </row>
    <row r="201" spans="1:4">
      <c r="A201" s="41">
        <v>45995</v>
      </c>
      <c r="B201" t="s">
        <v>321</v>
      </c>
      <c r="C201">
        <v>8828</v>
      </c>
    </row>
    <row r="202" spans="1:4">
      <c r="A202" s="41">
        <v>45995</v>
      </c>
      <c r="B202" t="s">
        <v>324</v>
      </c>
      <c r="C202">
        <v>6917</v>
      </c>
    </row>
    <row r="203" spans="1:4">
      <c r="A203" s="41">
        <v>45995</v>
      </c>
      <c r="B203" t="s">
        <v>364</v>
      </c>
      <c r="C203">
        <v>16711</v>
      </c>
    </row>
    <row r="204" spans="1:4">
      <c r="A204" s="41">
        <v>45995</v>
      </c>
      <c r="B204" t="s">
        <v>396</v>
      </c>
      <c r="C204">
        <v>8485</v>
      </c>
    </row>
    <row r="205" spans="1:4">
      <c r="A205" s="41">
        <v>45995</v>
      </c>
      <c r="B205" t="s">
        <v>414</v>
      </c>
      <c r="C205">
        <v>10071</v>
      </c>
    </row>
    <row r="206" spans="1:4">
      <c r="A206" s="41">
        <v>45995</v>
      </c>
      <c r="B206" t="s">
        <v>417</v>
      </c>
      <c r="C206">
        <v>7874</v>
      </c>
    </row>
    <row r="207" spans="1:4">
      <c r="A207" s="41">
        <v>45995</v>
      </c>
      <c r="B207" t="s">
        <v>424</v>
      </c>
      <c r="C207">
        <v>415</v>
      </c>
    </row>
    <row r="208" spans="1:4">
      <c r="A208" s="41">
        <v>45995</v>
      </c>
      <c r="B208" t="s">
        <v>443</v>
      </c>
      <c r="C208">
        <v>2058</v>
      </c>
    </row>
    <row r="209" spans="1:4">
      <c r="A209" s="41">
        <v>45995</v>
      </c>
      <c r="B209" t="s">
        <v>456</v>
      </c>
      <c r="C209">
        <v>1798</v>
      </c>
    </row>
    <row r="210" spans="1:4">
      <c r="A210" s="41">
        <v>45995</v>
      </c>
      <c r="B210" t="s">
        <v>488</v>
      </c>
      <c r="D210">
        <v>89220</v>
      </c>
    </row>
    <row r="211" spans="1:4">
      <c r="A211" s="41">
        <v>45995</v>
      </c>
      <c r="B211" t="s">
        <v>496</v>
      </c>
    </row>
    <row r="212" spans="1:4">
      <c r="A212" s="41">
        <v>45995</v>
      </c>
      <c r="B212" t="s">
        <v>512</v>
      </c>
      <c r="D212">
        <v>39302</v>
      </c>
    </row>
    <row r="213" spans="1:4">
      <c r="A213" s="41">
        <v>45995</v>
      </c>
      <c r="B213" t="s">
        <v>520</v>
      </c>
      <c r="D213">
        <v>40006</v>
      </c>
    </row>
    <row r="214" spans="1:4">
      <c r="A214" s="41">
        <v>45995</v>
      </c>
      <c r="B214" t="s">
        <v>537</v>
      </c>
      <c r="D214">
        <v>78675</v>
      </c>
    </row>
    <row r="215" spans="1:4">
      <c r="A215" s="41">
        <v>45995</v>
      </c>
      <c r="B215" t="s">
        <v>540</v>
      </c>
      <c r="D215">
        <v>52972</v>
      </c>
    </row>
    <row r="216" spans="1:4">
      <c r="A216" s="41">
        <v>45995</v>
      </c>
      <c r="B216" t="s">
        <v>572</v>
      </c>
      <c r="D216">
        <v>137090</v>
      </c>
    </row>
    <row r="217" spans="1:4">
      <c r="A217" s="41">
        <v>45995</v>
      </c>
      <c r="B217" t="s">
        <v>596</v>
      </c>
      <c r="D217">
        <v>124873</v>
      </c>
    </row>
    <row r="218" spans="1:4">
      <c r="A218" s="41">
        <v>45995</v>
      </c>
      <c r="B218" t="s">
        <v>626</v>
      </c>
      <c r="D218">
        <v>95571</v>
      </c>
    </row>
    <row r="219" spans="1:4">
      <c r="A219" s="41">
        <v>45995</v>
      </c>
      <c r="B219" t="s">
        <v>634</v>
      </c>
      <c r="D219">
        <v>94457</v>
      </c>
    </row>
    <row r="220" spans="1:4">
      <c r="A220" s="41">
        <v>45996</v>
      </c>
      <c r="B220" t="s">
        <v>35</v>
      </c>
      <c r="C220">
        <v>8123</v>
      </c>
      <c r="D220">
        <v>162051</v>
      </c>
    </row>
    <row r="221" spans="1:4">
      <c r="A221" s="41">
        <v>45996</v>
      </c>
      <c r="B221" t="s">
        <v>35</v>
      </c>
      <c r="C221">
        <v>8127</v>
      </c>
      <c r="D221">
        <v>162250</v>
      </c>
    </row>
    <row r="222" spans="1:4">
      <c r="A222" s="41">
        <v>45996</v>
      </c>
      <c r="B222" t="s">
        <v>50</v>
      </c>
      <c r="D222">
        <v>268709</v>
      </c>
    </row>
    <row r="223" spans="1:4">
      <c r="A223" s="41">
        <v>45996</v>
      </c>
      <c r="B223" t="s">
        <v>50</v>
      </c>
    </row>
    <row r="224" spans="1:4">
      <c r="A224" s="41">
        <v>45996</v>
      </c>
      <c r="B224" t="s">
        <v>65</v>
      </c>
      <c r="C224">
        <v>3669</v>
      </c>
    </row>
    <row r="225" spans="1:4">
      <c r="A225" s="41">
        <v>45996</v>
      </c>
      <c r="B225" t="s">
        <v>78</v>
      </c>
      <c r="D225">
        <v>500377</v>
      </c>
    </row>
    <row r="226" spans="1:4">
      <c r="A226" s="41">
        <v>45996</v>
      </c>
      <c r="B226" t="s">
        <v>81</v>
      </c>
      <c r="C226">
        <v>2345</v>
      </c>
    </row>
    <row r="227" spans="1:4">
      <c r="A227" s="41">
        <v>45996</v>
      </c>
      <c r="B227" t="s">
        <v>89</v>
      </c>
      <c r="C227">
        <v>3104</v>
      </c>
      <c r="D227">
        <v>79549</v>
      </c>
    </row>
    <row r="228" spans="1:4">
      <c r="A228" s="41">
        <v>45996</v>
      </c>
      <c r="B228" t="s">
        <v>106</v>
      </c>
      <c r="D228">
        <v>111679</v>
      </c>
    </row>
    <row r="229" spans="1:4">
      <c r="A229" s="41">
        <v>45996</v>
      </c>
      <c r="B229" t="s">
        <v>117</v>
      </c>
      <c r="D229">
        <v>79323</v>
      </c>
    </row>
    <row r="230" spans="1:4">
      <c r="A230" s="41">
        <v>45996</v>
      </c>
      <c r="B230" t="s">
        <v>121</v>
      </c>
      <c r="C230">
        <v>7235</v>
      </c>
      <c r="D230">
        <v>181212</v>
      </c>
    </row>
    <row r="231" spans="1:4">
      <c r="A231" s="41">
        <v>45996</v>
      </c>
      <c r="B231" t="s">
        <v>126</v>
      </c>
      <c r="D231">
        <v>55923</v>
      </c>
    </row>
    <row r="232" spans="1:4">
      <c r="A232" s="41">
        <v>45996</v>
      </c>
      <c r="B232" t="s">
        <v>152</v>
      </c>
      <c r="D232">
        <v>259841</v>
      </c>
    </row>
    <row r="233" spans="1:4">
      <c r="A233" s="41">
        <v>45996</v>
      </c>
      <c r="B233" t="s">
        <v>173</v>
      </c>
      <c r="C233">
        <v>8366</v>
      </c>
      <c r="D233">
        <v>161562</v>
      </c>
    </row>
    <row r="234" spans="1:4">
      <c r="A234" s="41">
        <v>45996</v>
      </c>
      <c r="B234" t="s">
        <v>177</v>
      </c>
      <c r="C234">
        <v>8546</v>
      </c>
    </row>
    <row r="235" spans="1:4">
      <c r="A235" s="41">
        <v>45996</v>
      </c>
      <c r="B235" t="s">
        <v>193</v>
      </c>
      <c r="D235">
        <v>130815</v>
      </c>
    </row>
    <row r="236" spans="1:4">
      <c r="A236" s="41">
        <v>45996</v>
      </c>
      <c r="B236" t="s">
        <v>263</v>
      </c>
      <c r="C236">
        <v>9642</v>
      </c>
    </row>
    <row r="237" spans="1:4">
      <c r="A237" s="41">
        <v>45996</v>
      </c>
      <c r="B237" t="s">
        <v>268</v>
      </c>
      <c r="C237">
        <v>5341</v>
      </c>
    </row>
    <row r="238" spans="1:4">
      <c r="A238" s="41">
        <v>45996</v>
      </c>
      <c r="B238" t="s">
        <v>275</v>
      </c>
      <c r="C238">
        <v>1102</v>
      </c>
    </row>
    <row r="239" spans="1:4">
      <c r="A239" s="41">
        <v>45996</v>
      </c>
      <c r="B239" t="s">
        <v>305</v>
      </c>
      <c r="C239">
        <v>16684</v>
      </c>
    </row>
    <row r="240" spans="1:4">
      <c r="A240" s="41">
        <v>45996</v>
      </c>
      <c r="B240" t="s">
        <v>306</v>
      </c>
      <c r="C240">
        <v>21291</v>
      </c>
    </row>
    <row r="241" spans="1:4">
      <c r="A241" s="41">
        <v>45996</v>
      </c>
      <c r="B241" t="s">
        <v>314</v>
      </c>
      <c r="C241">
        <v>27521</v>
      </c>
    </row>
    <row r="242" spans="1:4">
      <c r="A242" s="41">
        <v>45996</v>
      </c>
      <c r="B242" t="s">
        <v>365</v>
      </c>
      <c r="C242">
        <v>4594</v>
      </c>
    </row>
    <row r="243" spans="1:4">
      <c r="A243" s="41">
        <v>45996</v>
      </c>
      <c r="B243" t="s">
        <v>379</v>
      </c>
      <c r="C243">
        <v>3315</v>
      </c>
    </row>
    <row r="244" spans="1:4">
      <c r="A244" s="41">
        <v>45996</v>
      </c>
      <c r="B244" t="s">
        <v>390</v>
      </c>
      <c r="D244">
        <v>227056</v>
      </c>
    </row>
    <row r="245" spans="1:4">
      <c r="A245" s="41">
        <v>45996</v>
      </c>
      <c r="B245" t="s">
        <v>405</v>
      </c>
      <c r="C245" s="50">
        <v>12456</v>
      </c>
    </row>
    <row r="246" spans="1:4">
      <c r="A246" s="41">
        <v>45996</v>
      </c>
      <c r="B246" t="s">
        <v>408</v>
      </c>
      <c r="C246">
        <v>4195</v>
      </c>
    </row>
    <row r="247" spans="1:4">
      <c r="A247" s="41">
        <v>45996</v>
      </c>
      <c r="B247" t="s">
        <v>414</v>
      </c>
      <c r="C247">
        <v>10079</v>
      </c>
    </row>
    <row r="248" spans="1:4">
      <c r="A248" s="41">
        <v>45996</v>
      </c>
      <c r="B248" t="s">
        <v>417</v>
      </c>
      <c r="C248">
        <v>7862</v>
      </c>
    </row>
    <row r="249" spans="1:4">
      <c r="A249" s="41">
        <v>45996</v>
      </c>
      <c r="B249" t="s">
        <v>420</v>
      </c>
      <c r="C249">
        <v>5431</v>
      </c>
    </row>
    <row r="250" spans="1:4">
      <c r="A250" s="41">
        <v>45996</v>
      </c>
      <c r="B250" t="s">
        <v>424</v>
      </c>
      <c r="C250">
        <v>425</v>
      </c>
    </row>
    <row r="251" spans="1:4">
      <c r="A251" s="41">
        <v>45996</v>
      </c>
      <c r="B251" t="s">
        <v>431</v>
      </c>
      <c r="C251">
        <v>9718</v>
      </c>
    </row>
    <row r="252" spans="1:4">
      <c r="A252" s="41">
        <v>45996</v>
      </c>
      <c r="B252" t="s">
        <v>440</v>
      </c>
      <c r="C252">
        <v>1743</v>
      </c>
    </row>
    <row r="253" spans="1:4">
      <c r="A253" s="41">
        <v>45996</v>
      </c>
      <c r="B253" t="s">
        <v>443</v>
      </c>
      <c r="C253">
        <v>2061</v>
      </c>
    </row>
    <row r="254" spans="1:4">
      <c r="A254" s="41">
        <v>45996</v>
      </c>
      <c r="B254" t="s">
        <v>456</v>
      </c>
      <c r="C254">
        <v>1809</v>
      </c>
    </row>
    <row r="255" spans="1:4">
      <c r="A255" s="41">
        <v>45996</v>
      </c>
      <c r="B255" t="s">
        <v>465</v>
      </c>
      <c r="D255">
        <v>86964</v>
      </c>
    </row>
    <row r="256" spans="1:4">
      <c r="A256" s="41">
        <v>45996</v>
      </c>
      <c r="B256" t="s">
        <v>488</v>
      </c>
      <c r="D256">
        <v>89599</v>
      </c>
    </row>
    <row r="257" spans="1:4">
      <c r="A257" s="41">
        <v>45996</v>
      </c>
      <c r="B257" t="s">
        <v>496</v>
      </c>
      <c r="D257">
        <v>103403</v>
      </c>
    </row>
    <row r="258" spans="1:4">
      <c r="A258" s="41">
        <v>45996</v>
      </c>
      <c r="B258" t="s">
        <v>508</v>
      </c>
      <c r="D258">
        <v>37524</v>
      </c>
    </row>
    <row r="259" spans="1:4">
      <c r="A259" s="41">
        <v>45996</v>
      </c>
      <c r="B259" t="s">
        <v>510</v>
      </c>
      <c r="D259">
        <v>34781</v>
      </c>
    </row>
    <row r="260" spans="1:4">
      <c r="A260" s="41">
        <v>45996</v>
      </c>
      <c r="B260" t="s">
        <v>518</v>
      </c>
      <c r="D260">
        <v>59470</v>
      </c>
    </row>
    <row r="261" spans="1:4">
      <c r="A261" s="41">
        <v>45996</v>
      </c>
      <c r="B261" t="s">
        <v>518</v>
      </c>
      <c r="D261">
        <v>59470</v>
      </c>
    </row>
    <row r="262" spans="1:4">
      <c r="A262" s="41">
        <v>45996</v>
      </c>
      <c r="B262" t="s">
        <v>520</v>
      </c>
      <c r="D262">
        <v>40206</v>
      </c>
    </row>
    <row r="263" spans="1:4">
      <c r="A263" s="41">
        <v>45996</v>
      </c>
      <c r="B263" t="s">
        <v>523</v>
      </c>
      <c r="D263">
        <v>48144</v>
      </c>
    </row>
    <row r="264" spans="1:4">
      <c r="A264" s="41">
        <v>45996</v>
      </c>
      <c r="B264" t="s">
        <v>526</v>
      </c>
      <c r="D264">
        <v>48671</v>
      </c>
    </row>
    <row r="265" spans="1:4">
      <c r="A265" s="41">
        <v>45996</v>
      </c>
      <c r="B265" t="s">
        <v>528</v>
      </c>
      <c r="D265">
        <v>54885</v>
      </c>
    </row>
    <row r="266" spans="1:4">
      <c r="A266" s="41">
        <v>45996</v>
      </c>
      <c r="B266" t="s">
        <v>533</v>
      </c>
      <c r="D266">
        <v>62961</v>
      </c>
    </row>
    <row r="267" spans="1:4">
      <c r="A267" s="41">
        <v>45996</v>
      </c>
      <c r="B267" t="s">
        <v>535</v>
      </c>
      <c r="D267">
        <v>46451</v>
      </c>
    </row>
    <row r="268" spans="1:4">
      <c r="A268" s="41">
        <v>45996</v>
      </c>
      <c r="B268" t="s">
        <v>535</v>
      </c>
      <c r="D268">
        <v>46451</v>
      </c>
    </row>
    <row r="269" spans="1:4">
      <c r="A269" s="41">
        <v>45996</v>
      </c>
      <c r="B269" t="s">
        <v>540</v>
      </c>
      <c r="D269">
        <v>53360</v>
      </c>
    </row>
    <row r="270" spans="1:4">
      <c r="A270" s="41">
        <v>45996</v>
      </c>
      <c r="B270" t="s">
        <v>549</v>
      </c>
      <c r="D270">
        <v>1978</v>
      </c>
    </row>
    <row r="271" spans="1:4">
      <c r="A271" s="41">
        <v>45996</v>
      </c>
      <c r="B271" t="s">
        <v>552</v>
      </c>
      <c r="D271">
        <v>75</v>
      </c>
    </row>
    <row r="272" spans="1:4">
      <c r="A272" s="41">
        <v>45996</v>
      </c>
      <c r="B272" t="s">
        <v>568</v>
      </c>
      <c r="D272">
        <v>146116</v>
      </c>
    </row>
    <row r="273" spans="1:5">
      <c r="A273" s="41">
        <v>45996</v>
      </c>
      <c r="B273" t="s">
        <v>591</v>
      </c>
      <c r="D273">
        <v>123102</v>
      </c>
    </row>
    <row r="274" spans="1:5">
      <c r="A274" s="41">
        <v>45996</v>
      </c>
      <c r="B274" t="s">
        <v>596</v>
      </c>
      <c r="D274">
        <v>125182</v>
      </c>
    </row>
    <row r="275" spans="1:5">
      <c r="A275" s="41">
        <v>45996</v>
      </c>
      <c r="B275" t="s">
        <v>598</v>
      </c>
      <c r="D275">
        <v>124363</v>
      </c>
    </row>
    <row r="276" spans="1:5">
      <c r="A276" s="41">
        <v>45996</v>
      </c>
      <c r="B276" t="s">
        <v>620</v>
      </c>
      <c r="D276">
        <v>113559</v>
      </c>
    </row>
    <row r="277" spans="1:5">
      <c r="A277" s="41">
        <v>45996</v>
      </c>
      <c r="B277" t="s">
        <v>622</v>
      </c>
      <c r="D277">
        <v>78001</v>
      </c>
    </row>
    <row r="278" spans="1:5">
      <c r="A278" s="41">
        <v>45996</v>
      </c>
      <c r="B278" t="s">
        <v>626</v>
      </c>
      <c r="D278">
        <v>95797</v>
      </c>
    </row>
    <row r="279" spans="1:5">
      <c r="A279" s="41">
        <v>45996</v>
      </c>
      <c r="B279" t="s">
        <v>630</v>
      </c>
      <c r="D279">
        <v>130103</v>
      </c>
    </row>
    <row r="280" spans="1:5">
      <c r="A280" s="41">
        <v>45996</v>
      </c>
      <c r="B280" t="s">
        <v>634</v>
      </c>
      <c r="D280">
        <v>94634</v>
      </c>
    </row>
    <row r="281" spans="1:5">
      <c r="A281" s="41">
        <v>45996</v>
      </c>
      <c r="B281" t="s">
        <v>637</v>
      </c>
      <c r="D281">
        <v>95489</v>
      </c>
    </row>
    <row r="282" spans="1:5">
      <c r="A282" s="41">
        <v>45997</v>
      </c>
      <c r="B282" t="s">
        <v>91</v>
      </c>
      <c r="C282">
        <v>3258</v>
      </c>
    </row>
    <row r="283" spans="1:5">
      <c r="A283" s="81">
        <v>43909</v>
      </c>
      <c r="B283" t="s">
        <v>301</v>
      </c>
      <c r="C283">
        <v>10942</v>
      </c>
    </row>
    <row r="284" spans="1:5">
      <c r="A284" s="41">
        <v>45997</v>
      </c>
      <c r="B284" t="s">
        <v>187</v>
      </c>
      <c r="D284">
        <v>527498</v>
      </c>
    </row>
    <row r="285" spans="1:5">
      <c r="A285" s="41">
        <v>45997</v>
      </c>
      <c r="B285" t="s">
        <v>202</v>
      </c>
      <c r="C285">
        <v>353.7</v>
      </c>
      <c r="E285" t="s">
        <v>300</v>
      </c>
    </row>
    <row r="286" spans="1:5">
      <c r="A286" s="41">
        <v>45997</v>
      </c>
      <c r="B286" t="s">
        <v>339</v>
      </c>
    </row>
    <row r="287" spans="1:5">
      <c r="A287" s="41">
        <v>45997</v>
      </c>
      <c r="B287" t="s">
        <v>451</v>
      </c>
      <c r="C287">
        <v>1821</v>
      </c>
    </row>
    <row r="288" spans="1:5">
      <c r="A288" s="41">
        <v>45997</v>
      </c>
      <c r="B288" t="s">
        <v>499</v>
      </c>
      <c r="D288">
        <v>49815</v>
      </c>
    </row>
    <row r="289" spans="1:4">
      <c r="A289" s="41">
        <v>45997</v>
      </c>
      <c r="B289" t="s">
        <v>528</v>
      </c>
      <c r="D289">
        <v>55362</v>
      </c>
    </row>
    <row r="290" spans="1:4">
      <c r="A290" s="41">
        <v>45997</v>
      </c>
      <c r="B290" t="s">
        <v>540</v>
      </c>
      <c r="D290">
        <v>53617</v>
      </c>
    </row>
    <row r="291" spans="1:4">
      <c r="A291" s="41">
        <v>45997</v>
      </c>
      <c r="B291" t="s">
        <v>542</v>
      </c>
      <c r="D291">
        <v>70562</v>
      </c>
    </row>
    <row r="292" spans="1:4">
      <c r="A292" s="41">
        <v>45997</v>
      </c>
      <c r="B292" t="s">
        <v>577</v>
      </c>
      <c r="D292">
        <v>211815</v>
      </c>
    </row>
    <row r="293" spans="1:4">
      <c r="A293" s="41">
        <v>45997</v>
      </c>
      <c r="B293" t="s">
        <v>598</v>
      </c>
      <c r="D293">
        <v>124800</v>
      </c>
    </row>
    <row r="294" spans="1:4">
      <c r="A294" s="41">
        <v>45997</v>
      </c>
      <c r="B294" t="s">
        <v>616</v>
      </c>
      <c r="D294">
        <v>106654</v>
      </c>
    </row>
    <row r="295" spans="1:4">
      <c r="A295" s="41">
        <v>45997</v>
      </c>
      <c r="B295" t="s">
        <v>618</v>
      </c>
      <c r="D295">
        <v>101350</v>
      </c>
    </row>
    <row r="296" spans="1:4">
      <c r="A296" s="41">
        <v>45997</v>
      </c>
      <c r="B296" t="s">
        <v>626</v>
      </c>
      <c r="D296">
        <v>95981</v>
      </c>
    </row>
    <row r="297" spans="1:4">
      <c r="A297" s="41">
        <v>45997</v>
      </c>
      <c r="B297" t="s">
        <v>628</v>
      </c>
      <c r="D297">
        <v>81587</v>
      </c>
    </row>
    <row r="298" spans="1:4">
      <c r="A298" s="41">
        <v>45997</v>
      </c>
      <c r="B298" t="s">
        <v>636</v>
      </c>
      <c r="D298">
        <v>101436</v>
      </c>
    </row>
    <row r="299" spans="1:4">
      <c r="A299" s="41">
        <v>46000</v>
      </c>
      <c r="B299" t="s">
        <v>19</v>
      </c>
      <c r="C299">
        <v>9802</v>
      </c>
    </row>
    <row r="300" spans="1:4">
      <c r="A300" s="41">
        <v>46000</v>
      </c>
      <c r="B300" t="s">
        <v>29</v>
      </c>
      <c r="C300">
        <v>10352</v>
      </c>
      <c r="D300">
        <v>246446</v>
      </c>
    </row>
    <row r="301" spans="1:4">
      <c r="A301" s="41">
        <v>46000</v>
      </c>
      <c r="B301" t="s">
        <v>35</v>
      </c>
      <c r="C301">
        <v>8137</v>
      </c>
      <c r="D301">
        <v>162512</v>
      </c>
    </row>
    <row r="302" spans="1:4">
      <c r="A302" s="41">
        <v>46000</v>
      </c>
      <c r="B302" t="s">
        <v>65</v>
      </c>
      <c r="D302">
        <v>50662</v>
      </c>
    </row>
    <row r="303" spans="1:4">
      <c r="A303" s="41">
        <v>46000</v>
      </c>
      <c r="B303" t="s">
        <v>68</v>
      </c>
      <c r="D303">
        <v>320033</v>
      </c>
    </row>
    <row r="304" spans="1:4">
      <c r="A304" s="41">
        <v>46000</v>
      </c>
      <c r="B304" t="s">
        <v>78</v>
      </c>
      <c r="D304">
        <v>500608</v>
      </c>
    </row>
    <row r="305" spans="1:4">
      <c r="A305" s="41">
        <v>46000</v>
      </c>
      <c r="B305" t="s">
        <v>81</v>
      </c>
      <c r="C305">
        <v>2354</v>
      </c>
    </row>
    <row r="306" spans="1:4">
      <c r="A306" s="41">
        <v>46000</v>
      </c>
      <c r="B306" t="s">
        <v>517</v>
      </c>
      <c r="D306">
        <v>33119</v>
      </c>
    </row>
    <row r="307" spans="1:4">
      <c r="A307" s="41">
        <v>46000</v>
      </c>
      <c r="B307" t="s">
        <v>120</v>
      </c>
      <c r="D307">
        <v>79675</v>
      </c>
    </row>
    <row r="308" spans="1:4">
      <c r="A308" s="41">
        <v>46000</v>
      </c>
      <c r="B308" t="s">
        <v>121</v>
      </c>
      <c r="C308">
        <v>7241</v>
      </c>
      <c r="D308">
        <v>181453</v>
      </c>
    </row>
    <row r="309" spans="1:4">
      <c r="A309" s="41">
        <v>46000</v>
      </c>
      <c r="B309" t="s">
        <v>138</v>
      </c>
      <c r="D309">
        <v>280998</v>
      </c>
    </row>
    <row r="310" spans="1:4">
      <c r="A310" s="81">
        <v>43913</v>
      </c>
      <c r="B310" t="s">
        <v>1184</v>
      </c>
      <c r="C310">
        <v>6217</v>
      </c>
    </row>
    <row r="311" spans="1:4">
      <c r="A311" s="41">
        <v>46000</v>
      </c>
      <c r="B311" t="s">
        <v>169</v>
      </c>
      <c r="C311">
        <v>9088</v>
      </c>
      <c r="D311">
        <v>192755</v>
      </c>
    </row>
    <row r="312" spans="1:4">
      <c r="A312" s="41">
        <v>46000</v>
      </c>
      <c r="B312" t="s">
        <v>171</v>
      </c>
      <c r="C312">
        <v>1581</v>
      </c>
      <c r="D312">
        <v>194171</v>
      </c>
    </row>
    <row r="313" spans="1:4">
      <c r="A313" s="41">
        <v>46000</v>
      </c>
      <c r="B313" t="s">
        <v>173</v>
      </c>
      <c r="C313">
        <v>8373</v>
      </c>
      <c r="D313">
        <v>161693</v>
      </c>
    </row>
    <row r="314" spans="1:4">
      <c r="A314" s="41">
        <v>46000</v>
      </c>
      <c r="B314" t="s">
        <v>175</v>
      </c>
      <c r="C314">
        <v>8889</v>
      </c>
      <c r="D314">
        <v>201703</v>
      </c>
    </row>
    <row r="315" spans="1:4">
      <c r="A315" s="41">
        <v>46000</v>
      </c>
      <c r="B315" t="s">
        <v>182</v>
      </c>
      <c r="C315">
        <v>8577</v>
      </c>
      <c r="D315">
        <v>162246</v>
      </c>
    </row>
    <row r="316" spans="1:4">
      <c r="A316" s="41">
        <v>46000</v>
      </c>
      <c r="B316" t="s">
        <v>185</v>
      </c>
      <c r="C316">
        <v>8273</v>
      </c>
      <c r="D316">
        <v>558790</v>
      </c>
    </row>
    <row r="317" spans="1:4">
      <c r="A317" s="41">
        <v>46000</v>
      </c>
      <c r="B317" t="s">
        <v>193</v>
      </c>
      <c r="D317">
        <v>34424</v>
      </c>
    </row>
    <row r="318" spans="1:4">
      <c r="A318" s="41">
        <v>46000</v>
      </c>
      <c r="B318" t="s">
        <v>210</v>
      </c>
      <c r="C318">
        <v>122</v>
      </c>
    </row>
    <row r="319" spans="1:4">
      <c r="A319" s="41">
        <v>46000</v>
      </c>
      <c r="B319" t="s">
        <v>258</v>
      </c>
      <c r="C319">
        <v>2217</v>
      </c>
    </row>
    <row r="320" spans="1:4">
      <c r="A320" s="41">
        <v>46000</v>
      </c>
      <c r="B320" t="s">
        <v>314</v>
      </c>
      <c r="C320">
        <v>27529</v>
      </c>
    </row>
    <row r="321" spans="1:4">
      <c r="A321" s="41">
        <v>46000</v>
      </c>
      <c r="B321" t="s">
        <v>321</v>
      </c>
      <c r="C321">
        <v>8843</v>
      </c>
    </row>
    <row r="322" spans="1:4">
      <c r="A322" s="41">
        <v>46000</v>
      </c>
      <c r="B322" t="s">
        <v>324</v>
      </c>
      <c r="C322">
        <v>6924</v>
      </c>
    </row>
    <row r="323" spans="1:4">
      <c r="A323" s="41">
        <v>46000</v>
      </c>
      <c r="B323" t="s">
        <v>359</v>
      </c>
      <c r="C323">
        <v>13529</v>
      </c>
    </row>
    <row r="324" spans="1:4">
      <c r="A324" s="41">
        <v>46000</v>
      </c>
      <c r="B324" t="s">
        <v>379</v>
      </c>
      <c r="C324">
        <v>3318</v>
      </c>
    </row>
    <row r="325" spans="1:4">
      <c r="A325" s="41">
        <v>46000</v>
      </c>
      <c r="B325" t="s">
        <v>396</v>
      </c>
      <c r="C325">
        <v>8490</v>
      </c>
    </row>
    <row r="326" spans="1:4">
      <c r="A326" s="41">
        <v>46000</v>
      </c>
      <c r="B326" t="s">
        <v>405</v>
      </c>
      <c r="C326">
        <v>12470</v>
      </c>
    </row>
    <row r="327" spans="1:4">
      <c r="A327" s="41">
        <v>46000</v>
      </c>
      <c r="B327" t="s">
        <v>420</v>
      </c>
      <c r="C327">
        <v>5438</v>
      </c>
    </row>
    <row r="328" spans="1:4">
      <c r="A328" s="41">
        <v>46000</v>
      </c>
      <c r="B328" t="s">
        <v>430</v>
      </c>
      <c r="C328">
        <v>6365</v>
      </c>
    </row>
    <row r="329" spans="1:4">
      <c r="A329" s="41">
        <v>46000</v>
      </c>
      <c r="B329" t="s">
        <v>431</v>
      </c>
      <c r="C329">
        <v>9728</v>
      </c>
    </row>
    <row r="330" spans="1:4">
      <c r="A330" s="41">
        <v>46000</v>
      </c>
      <c r="B330" t="s">
        <v>447</v>
      </c>
      <c r="C330">
        <v>1472</v>
      </c>
    </row>
    <row r="331" spans="1:4">
      <c r="A331" s="41">
        <v>46000</v>
      </c>
      <c r="B331" t="s">
        <v>456</v>
      </c>
      <c r="C331">
        <v>1812</v>
      </c>
    </row>
    <row r="332" spans="1:4">
      <c r="A332" s="41">
        <v>46000</v>
      </c>
      <c r="B332" t="s">
        <v>485</v>
      </c>
      <c r="D332">
        <v>67661</v>
      </c>
    </row>
    <row r="333" spans="1:4">
      <c r="A333" s="41">
        <v>46000</v>
      </c>
      <c r="B333" t="s">
        <v>488</v>
      </c>
      <c r="D333">
        <v>90413</v>
      </c>
    </row>
    <row r="334" spans="1:4">
      <c r="A334" s="41">
        <v>46000</v>
      </c>
      <c r="B334" t="s">
        <v>496</v>
      </c>
      <c r="D334">
        <v>103854</v>
      </c>
    </row>
    <row r="335" spans="1:4">
      <c r="A335" s="41">
        <v>46000</v>
      </c>
      <c r="B335" t="s">
        <v>501</v>
      </c>
      <c r="D335">
        <v>69001</v>
      </c>
    </row>
    <row r="336" spans="1:4">
      <c r="A336" s="41">
        <v>46000</v>
      </c>
      <c r="B336" t="s">
        <v>506</v>
      </c>
      <c r="D336">
        <v>47495</v>
      </c>
    </row>
    <row r="337" spans="1:4">
      <c r="A337" s="41">
        <v>46000</v>
      </c>
      <c r="B337" t="s">
        <v>514</v>
      </c>
      <c r="D337">
        <v>49996</v>
      </c>
    </row>
    <row r="338" spans="1:4">
      <c r="A338" s="41">
        <v>46000</v>
      </c>
      <c r="B338" t="s">
        <v>518</v>
      </c>
      <c r="D338">
        <v>59577</v>
      </c>
    </row>
    <row r="339" spans="1:4">
      <c r="A339" s="41">
        <v>46000</v>
      </c>
      <c r="B339" t="s">
        <v>526</v>
      </c>
      <c r="D339">
        <v>49212</v>
      </c>
    </row>
    <row r="340" spans="1:4">
      <c r="A340" s="41">
        <v>46000</v>
      </c>
      <c r="B340" t="s">
        <v>528</v>
      </c>
      <c r="D340">
        <v>55760</v>
      </c>
    </row>
    <row r="341" spans="1:4">
      <c r="A341" s="41">
        <v>46000</v>
      </c>
      <c r="B341" t="s">
        <v>535</v>
      </c>
      <c r="D341">
        <v>47127</v>
      </c>
    </row>
    <row r="342" spans="1:4">
      <c r="A342" s="41">
        <v>46000</v>
      </c>
      <c r="B342" t="s">
        <v>535</v>
      </c>
      <c r="D342">
        <v>47127</v>
      </c>
    </row>
    <row r="343" spans="1:4">
      <c r="A343" s="41">
        <v>46000</v>
      </c>
      <c r="B343" t="s">
        <v>535</v>
      </c>
      <c r="D343">
        <v>47375</v>
      </c>
    </row>
    <row r="344" spans="1:4">
      <c r="A344" s="41">
        <v>46000</v>
      </c>
      <c r="B344" t="s">
        <v>540</v>
      </c>
      <c r="D344">
        <v>54023</v>
      </c>
    </row>
    <row r="345" spans="1:4">
      <c r="A345" s="41">
        <v>46000</v>
      </c>
      <c r="B345" t="s">
        <v>542</v>
      </c>
      <c r="D345">
        <v>71340</v>
      </c>
    </row>
    <row r="346" spans="1:4">
      <c r="A346" s="41">
        <v>46000</v>
      </c>
      <c r="B346" t="s">
        <v>549</v>
      </c>
      <c r="D346">
        <v>2362</v>
      </c>
    </row>
    <row r="347" spans="1:4">
      <c r="A347" s="41">
        <v>46000</v>
      </c>
      <c r="B347" t="s">
        <v>572</v>
      </c>
      <c r="D347">
        <v>137952</v>
      </c>
    </row>
    <row r="348" spans="1:4">
      <c r="A348" s="41">
        <v>46000</v>
      </c>
      <c r="B348" t="s">
        <v>577</v>
      </c>
      <c r="D348">
        <v>212429</v>
      </c>
    </row>
    <row r="349" spans="1:4">
      <c r="A349" s="41">
        <v>46000</v>
      </c>
      <c r="B349" t="s">
        <v>591</v>
      </c>
      <c r="D349">
        <v>132365</v>
      </c>
    </row>
    <row r="350" spans="1:4">
      <c r="A350" s="41">
        <v>46000</v>
      </c>
      <c r="B350" t="s">
        <v>593</v>
      </c>
      <c r="D350">
        <v>152603</v>
      </c>
    </row>
    <row r="351" spans="1:4">
      <c r="A351" s="41">
        <v>46000</v>
      </c>
      <c r="B351" t="s">
        <v>596</v>
      </c>
      <c r="D351">
        <v>125760</v>
      </c>
    </row>
    <row r="352" spans="1:4">
      <c r="A352" s="41">
        <v>46000</v>
      </c>
      <c r="B352" t="s">
        <v>598</v>
      </c>
      <c r="D352">
        <v>125531</v>
      </c>
    </row>
    <row r="353" spans="1:4">
      <c r="A353" s="41">
        <v>46000</v>
      </c>
      <c r="B353" t="s">
        <v>611</v>
      </c>
      <c r="D353">
        <v>249185</v>
      </c>
    </row>
    <row r="354" spans="1:4">
      <c r="A354" s="41">
        <v>46000</v>
      </c>
      <c r="B354" t="s">
        <v>614</v>
      </c>
      <c r="D354">
        <v>135202</v>
      </c>
    </row>
    <row r="355" spans="1:4">
      <c r="A355" s="41">
        <v>46000</v>
      </c>
      <c r="B355" t="s">
        <v>616</v>
      </c>
      <c r="D355">
        <v>107597</v>
      </c>
    </row>
    <row r="356" spans="1:4">
      <c r="A356" s="41">
        <v>46000</v>
      </c>
      <c r="B356" t="s">
        <v>620</v>
      </c>
      <c r="D356">
        <v>114079</v>
      </c>
    </row>
    <row r="357" spans="1:4">
      <c r="A357" s="41">
        <v>46000</v>
      </c>
      <c r="B357" t="s">
        <v>622</v>
      </c>
      <c r="D357">
        <v>102369</v>
      </c>
    </row>
    <row r="358" spans="1:4">
      <c r="A358" s="41">
        <v>46000</v>
      </c>
      <c r="B358" t="s">
        <v>630</v>
      </c>
      <c r="D358">
        <v>130573</v>
      </c>
    </row>
    <row r="359" spans="1:4">
      <c r="A359" s="41">
        <v>46000</v>
      </c>
      <c r="B359" t="s">
        <v>636</v>
      </c>
      <c r="D359">
        <v>102236</v>
      </c>
    </row>
    <row r="360" spans="1:4">
      <c r="A360" s="41">
        <v>46000</v>
      </c>
      <c r="B360" t="s">
        <v>637</v>
      </c>
      <c r="D360">
        <v>95914</v>
      </c>
    </row>
    <row r="361" spans="1:4">
      <c r="A361" s="41">
        <v>46001</v>
      </c>
      <c r="B361" t="s">
        <v>29</v>
      </c>
      <c r="C361">
        <v>10356</v>
      </c>
      <c r="D361">
        <v>246556</v>
      </c>
    </row>
    <row r="362" spans="1:4">
      <c r="A362" s="41">
        <v>46001</v>
      </c>
      <c r="B362" t="s">
        <v>35</v>
      </c>
      <c r="C362">
        <v>8147</v>
      </c>
      <c r="D362">
        <v>162948</v>
      </c>
    </row>
    <row r="363" spans="1:4">
      <c r="A363" s="41">
        <v>46001</v>
      </c>
      <c r="B363" t="s">
        <v>50</v>
      </c>
      <c r="D363">
        <v>268939</v>
      </c>
    </row>
    <row r="364" spans="1:4">
      <c r="A364" s="41">
        <v>46001</v>
      </c>
      <c r="B364" t="s">
        <v>86</v>
      </c>
      <c r="D364">
        <v>173890</v>
      </c>
    </row>
    <row r="365" spans="1:4">
      <c r="A365" s="41">
        <v>46001</v>
      </c>
      <c r="B365" t="s">
        <v>91</v>
      </c>
      <c r="C365">
        <v>3272</v>
      </c>
      <c r="D365">
        <v>86555</v>
      </c>
    </row>
    <row r="366" spans="1:4">
      <c r="A366" s="41">
        <v>46001</v>
      </c>
      <c r="B366" t="s">
        <v>121</v>
      </c>
      <c r="C366">
        <v>7254</v>
      </c>
      <c r="D366">
        <v>181819</v>
      </c>
    </row>
    <row r="367" spans="1:4">
      <c r="A367" s="41">
        <v>46001</v>
      </c>
      <c r="B367" t="s">
        <v>126</v>
      </c>
      <c r="D367">
        <v>56363</v>
      </c>
    </row>
    <row r="368" spans="1:4">
      <c r="A368" s="41">
        <v>46001</v>
      </c>
      <c r="B368" t="s">
        <v>152</v>
      </c>
      <c r="D368">
        <v>259933</v>
      </c>
    </row>
    <row r="369" spans="1:4">
      <c r="A369" s="41">
        <v>46001</v>
      </c>
      <c r="B369" t="s">
        <v>177</v>
      </c>
      <c r="C369">
        <v>8552</v>
      </c>
      <c r="D369">
        <v>188841</v>
      </c>
    </row>
    <row r="370" spans="1:4">
      <c r="A370" s="41">
        <v>46001</v>
      </c>
      <c r="B370" t="s">
        <v>198</v>
      </c>
      <c r="C370">
        <v>609</v>
      </c>
    </row>
    <row r="371" spans="1:4">
      <c r="A371" s="41">
        <v>46001</v>
      </c>
      <c r="B371" t="s">
        <v>243</v>
      </c>
      <c r="C371">
        <v>507880</v>
      </c>
    </row>
    <row r="372" spans="1:4">
      <c r="A372" s="41">
        <v>46001</v>
      </c>
      <c r="B372" t="s">
        <v>247</v>
      </c>
      <c r="C372">
        <v>3723</v>
      </c>
    </row>
    <row r="373" spans="1:4">
      <c r="A373" s="41">
        <v>46001</v>
      </c>
      <c r="B373" t="s">
        <v>263</v>
      </c>
      <c r="C373">
        <v>9655</v>
      </c>
    </row>
    <row r="374" spans="1:4">
      <c r="A374" s="41">
        <v>46001</v>
      </c>
      <c r="B374" t="s">
        <v>268</v>
      </c>
      <c r="C374">
        <v>5353</v>
      </c>
    </row>
    <row r="375" spans="1:4">
      <c r="A375" s="41">
        <v>46001</v>
      </c>
      <c r="B375" t="s">
        <v>275</v>
      </c>
      <c r="C375">
        <v>1212</v>
      </c>
    </row>
    <row r="376" spans="1:4">
      <c r="A376" s="41">
        <v>46001</v>
      </c>
      <c r="B376" t="s">
        <v>288</v>
      </c>
      <c r="C376">
        <v>939</v>
      </c>
    </row>
    <row r="377" spans="1:4">
      <c r="A377" s="41">
        <v>46001</v>
      </c>
      <c r="B377" t="s">
        <v>301</v>
      </c>
      <c r="C377">
        <v>14332</v>
      </c>
    </row>
    <row r="378" spans="1:4">
      <c r="A378" s="41">
        <v>46001</v>
      </c>
      <c r="B378" t="s">
        <v>305</v>
      </c>
      <c r="C378">
        <v>16693</v>
      </c>
    </row>
    <row r="379" spans="1:4">
      <c r="A379" s="41">
        <v>46001</v>
      </c>
      <c r="B379" t="s">
        <v>314</v>
      </c>
      <c r="C379">
        <v>27537</v>
      </c>
    </row>
    <row r="380" spans="1:4">
      <c r="A380" s="41">
        <v>46001</v>
      </c>
      <c r="B380" t="s">
        <v>333</v>
      </c>
      <c r="C380">
        <v>11722</v>
      </c>
    </row>
    <row r="381" spans="1:4">
      <c r="A381" s="41">
        <v>46001</v>
      </c>
      <c r="B381" t="s">
        <v>353</v>
      </c>
      <c r="C381">
        <v>5130</v>
      </c>
    </row>
    <row r="382" spans="1:4">
      <c r="A382" s="41">
        <v>46001</v>
      </c>
      <c r="B382" t="s">
        <v>364</v>
      </c>
      <c r="C382">
        <v>16728</v>
      </c>
    </row>
    <row r="383" spans="1:4">
      <c r="A383" s="41">
        <v>46001</v>
      </c>
      <c r="B383" t="s">
        <v>378</v>
      </c>
      <c r="C383">
        <v>3547</v>
      </c>
    </row>
    <row r="384" spans="1:4">
      <c r="A384" s="41">
        <v>46001</v>
      </c>
      <c r="B384" t="s">
        <v>414</v>
      </c>
      <c r="C384">
        <v>10092</v>
      </c>
    </row>
    <row r="385" spans="1:4">
      <c r="A385" s="41">
        <v>46001</v>
      </c>
      <c r="B385" t="s">
        <v>417</v>
      </c>
      <c r="C385">
        <v>7886</v>
      </c>
    </row>
    <row r="386" spans="1:4">
      <c r="A386" s="41">
        <v>46001</v>
      </c>
      <c r="B386" t="s">
        <v>424</v>
      </c>
      <c r="C386">
        <v>437</v>
      </c>
    </row>
    <row r="387" spans="1:4">
      <c r="A387" s="41">
        <v>46001</v>
      </c>
      <c r="B387" t="s">
        <v>440</v>
      </c>
      <c r="C387">
        <v>1751</v>
      </c>
    </row>
    <row r="388" spans="1:4">
      <c r="A388" s="41">
        <v>46001</v>
      </c>
      <c r="B388" t="s">
        <v>456</v>
      </c>
      <c r="C388">
        <v>1820</v>
      </c>
    </row>
    <row r="389" spans="1:4">
      <c r="A389" s="41">
        <v>46001</v>
      </c>
      <c r="B389" t="s">
        <v>458</v>
      </c>
      <c r="D389">
        <v>89430</v>
      </c>
    </row>
    <row r="390" spans="1:4">
      <c r="A390" s="41">
        <v>46001</v>
      </c>
      <c r="B390" t="s">
        <v>501</v>
      </c>
      <c r="D390">
        <v>69503</v>
      </c>
    </row>
    <row r="391" spans="1:4">
      <c r="A391" s="41">
        <v>46001</v>
      </c>
      <c r="B391" t="s">
        <v>506</v>
      </c>
      <c r="D391">
        <v>47997</v>
      </c>
    </row>
    <row r="392" spans="1:4">
      <c r="A392" s="41">
        <v>46001</v>
      </c>
      <c r="B392" t="s">
        <v>508</v>
      </c>
      <c r="D392">
        <v>40254</v>
      </c>
    </row>
    <row r="393" spans="1:4">
      <c r="A393" s="41">
        <v>46001</v>
      </c>
      <c r="B393" t="s">
        <v>510</v>
      </c>
      <c r="D393">
        <v>35073</v>
      </c>
    </row>
    <row r="394" spans="1:4">
      <c r="A394" s="41">
        <v>46001</v>
      </c>
      <c r="B394" t="s">
        <v>512</v>
      </c>
      <c r="D394">
        <v>39700</v>
      </c>
    </row>
    <row r="395" spans="1:4">
      <c r="A395" s="41">
        <v>46001</v>
      </c>
      <c r="B395" t="s">
        <v>514</v>
      </c>
      <c r="D395">
        <v>50346</v>
      </c>
    </row>
    <row r="396" spans="1:4">
      <c r="A396" s="41">
        <v>46001</v>
      </c>
      <c r="B396" t="s">
        <v>515</v>
      </c>
      <c r="D396">
        <v>56030</v>
      </c>
    </row>
    <row r="397" spans="1:4">
      <c r="A397" s="41">
        <v>46001</v>
      </c>
      <c r="B397" t="s">
        <v>518</v>
      </c>
      <c r="D397">
        <v>60068</v>
      </c>
    </row>
    <row r="398" spans="1:4">
      <c r="A398" s="41">
        <v>46001</v>
      </c>
      <c r="B398" t="s">
        <v>518</v>
      </c>
      <c r="D398">
        <v>60068</v>
      </c>
    </row>
    <row r="399" spans="1:4">
      <c r="A399" s="41">
        <v>46001</v>
      </c>
      <c r="B399" t="s">
        <v>520</v>
      </c>
      <c r="D399">
        <v>40672</v>
      </c>
    </row>
    <row r="400" spans="1:4">
      <c r="A400" s="41">
        <v>46001</v>
      </c>
      <c r="B400" t="s">
        <v>523</v>
      </c>
      <c r="D400">
        <v>48659</v>
      </c>
    </row>
    <row r="401" spans="1:4">
      <c r="A401" s="41">
        <v>46001</v>
      </c>
      <c r="B401" t="s">
        <v>526</v>
      </c>
      <c r="D401">
        <v>49464</v>
      </c>
    </row>
    <row r="402" spans="1:4">
      <c r="A402" s="41">
        <v>46001</v>
      </c>
      <c r="B402" t="s">
        <v>533</v>
      </c>
      <c r="D402">
        <v>63252</v>
      </c>
    </row>
    <row r="403" spans="1:4">
      <c r="A403" s="41">
        <v>46001</v>
      </c>
      <c r="B403" t="s">
        <v>549</v>
      </c>
      <c r="D403">
        <v>2571</v>
      </c>
    </row>
    <row r="404" spans="1:4">
      <c r="A404" s="41">
        <v>46001</v>
      </c>
      <c r="B404" t="s">
        <v>568</v>
      </c>
      <c r="D404">
        <v>146792</v>
      </c>
    </row>
    <row r="405" spans="1:4">
      <c r="A405" s="41">
        <v>46001</v>
      </c>
      <c r="B405" t="s">
        <v>575</v>
      </c>
      <c r="D405">
        <v>228422</v>
      </c>
    </row>
    <row r="406" spans="1:4">
      <c r="A406" s="41">
        <v>46001</v>
      </c>
      <c r="B406" t="s">
        <v>591</v>
      </c>
      <c r="D406">
        <v>132530</v>
      </c>
    </row>
    <row r="407" spans="1:4">
      <c r="A407" s="41">
        <v>46001</v>
      </c>
      <c r="B407" t="s">
        <v>596</v>
      </c>
      <c r="D407">
        <v>126120</v>
      </c>
    </row>
    <row r="408" spans="1:4">
      <c r="A408" s="41">
        <v>46001</v>
      </c>
      <c r="B408" t="s">
        <v>624</v>
      </c>
      <c r="D408">
        <v>78957</v>
      </c>
    </row>
    <row r="409" spans="1:4">
      <c r="A409" s="41">
        <v>46001</v>
      </c>
      <c r="B409" t="s">
        <v>626</v>
      </c>
      <c r="D409">
        <v>96398</v>
      </c>
    </row>
    <row r="410" spans="1:4">
      <c r="A410" s="41">
        <v>46001</v>
      </c>
      <c r="B410" t="s">
        <v>634</v>
      </c>
      <c r="D410">
        <v>95070</v>
      </c>
    </row>
    <row r="411" spans="1:4">
      <c r="A411" s="41">
        <v>46002</v>
      </c>
      <c r="B411" t="s">
        <v>19</v>
      </c>
      <c r="C411">
        <v>9820</v>
      </c>
      <c r="D411">
        <v>244982</v>
      </c>
    </row>
    <row r="412" spans="1:4">
      <c r="A412" s="41">
        <v>46002</v>
      </c>
      <c r="B412" t="s">
        <v>29</v>
      </c>
      <c r="C412">
        <v>10365</v>
      </c>
      <c r="D412">
        <v>246911</v>
      </c>
    </row>
    <row r="413" spans="1:4">
      <c r="A413" s="41">
        <v>46002</v>
      </c>
      <c r="B413" t="s">
        <v>44</v>
      </c>
      <c r="D413">
        <v>185960</v>
      </c>
    </row>
    <row r="414" spans="1:4">
      <c r="A414" s="41">
        <v>46002</v>
      </c>
      <c r="B414" t="s">
        <v>78</v>
      </c>
      <c r="D414">
        <v>510120</v>
      </c>
    </row>
    <row r="415" spans="1:4">
      <c r="A415" s="41">
        <v>46002</v>
      </c>
      <c r="B415" t="s">
        <v>81</v>
      </c>
      <c r="C415">
        <v>2369</v>
      </c>
      <c r="D415">
        <v>186634</v>
      </c>
    </row>
    <row r="416" spans="1:4">
      <c r="A416" s="41">
        <v>46002</v>
      </c>
      <c r="B416" t="s">
        <v>89</v>
      </c>
      <c r="C416">
        <v>3125</v>
      </c>
      <c r="D416">
        <v>79987</v>
      </c>
    </row>
    <row r="417" spans="1:4">
      <c r="A417" s="41">
        <v>46002</v>
      </c>
      <c r="B417" t="s">
        <v>93</v>
      </c>
      <c r="D417">
        <v>92485</v>
      </c>
    </row>
    <row r="418" spans="1:4">
      <c r="A418" s="41">
        <v>46002</v>
      </c>
      <c r="B418" t="s">
        <v>106</v>
      </c>
      <c r="D418">
        <v>111888</v>
      </c>
    </row>
    <row r="419" spans="1:4">
      <c r="A419" s="41">
        <v>46002</v>
      </c>
      <c r="B419" t="s">
        <v>121</v>
      </c>
      <c r="C419">
        <v>7264</v>
      </c>
      <c r="D419">
        <v>182176</v>
      </c>
    </row>
    <row r="420" spans="1:4">
      <c r="A420" s="41">
        <v>46002</v>
      </c>
      <c r="B420" t="s">
        <v>138</v>
      </c>
      <c r="D420">
        <v>281636</v>
      </c>
    </row>
    <row r="421" spans="1:4">
      <c r="A421" s="41">
        <v>46002</v>
      </c>
      <c r="B421" t="s">
        <v>145</v>
      </c>
      <c r="D421">
        <v>802397</v>
      </c>
    </row>
    <row r="422" spans="1:4">
      <c r="A422" s="41">
        <v>46002</v>
      </c>
      <c r="B422" t="s">
        <v>169</v>
      </c>
      <c r="C422">
        <v>9100</v>
      </c>
      <c r="D422">
        <v>192960</v>
      </c>
    </row>
    <row r="423" spans="1:4">
      <c r="A423" s="41">
        <v>46002</v>
      </c>
      <c r="B423" t="s">
        <v>175</v>
      </c>
      <c r="C423">
        <v>8899</v>
      </c>
      <c r="D423">
        <v>201961</v>
      </c>
    </row>
    <row r="424" spans="1:4">
      <c r="A424" s="41">
        <v>46002</v>
      </c>
      <c r="B424" t="s">
        <v>185</v>
      </c>
      <c r="C424">
        <v>2991</v>
      </c>
      <c r="D424">
        <v>559695</v>
      </c>
    </row>
    <row r="425" spans="1:4">
      <c r="A425" s="41">
        <v>46002</v>
      </c>
      <c r="B425" t="s">
        <v>187</v>
      </c>
      <c r="D425">
        <v>528215</v>
      </c>
    </row>
    <row r="426" spans="1:4">
      <c r="A426" s="41">
        <v>46002</v>
      </c>
      <c r="B426" t="s">
        <v>258</v>
      </c>
      <c r="C426">
        <v>2236</v>
      </c>
    </row>
    <row r="427" spans="1:4">
      <c r="A427" s="41">
        <v>46002</v>
      </c>
      <c r="B427" t="s">
        <v>288</v>
      </c>
      <c r="C427">
        <v>950</v>
      </c>
    </row>
    <row r="428" spans="1:4">
      <c r="A428" s="41">
        <v>46002</v>
      </c>
      <c r="B428" t="s">
        <v>321</v>
      </c>
      <c r="C428">
        <v>8855</v>
      </c>
    </row>
    <row r="429" spans="1:4">
      <c r="A429" s="41">
        <v>46002</v>
      </c>
      <c r="B429" t="s">
        <v>324</v>
      </c>
      <c r="C429">
        <v>6932</v>
      </c>
    </row>
    <row r="430" spans="1:4">
      <c r="A430" s="41">
        <v>46002</v>
      </c>
      <c r="B430" t="s">
        <v>359</v>
      </c>
      <c r="C430">
        <v>13529</v>
      </c>
    </row>
    <row r="431" spans="1:4">
      <c r="A431" s="41">
        <v>46002</v>
      </c>
      <c r="B431" t="s">
        <v>379</v>
      </c>
      <c r="C431">
        <v>3332</v>
      </c>
    </row>
    <row r="432" spans="1:4">
      <c r="A432" s="41">
        <v>46002</v>
      </c>
      <c r="B432" t="s">
        <v>405</v>
      </c>
      <c r="C432">
        <v>12488</v>
      </c>
    </row>
    <row r="433" spans="1:4">
      <c r="A433" s="41">
        <v>46002</v>
      </c>
      <c r="B433" t="s">
        <v>420</v>
      </c>
      <c r="C433">
        <v>5453</v>
      </c>
    </row>
    <row r="434" spans="1:4">
      <c r="A434" s="41">
        <v>46002</v>
      </c>
      <c r="B434" t="s">
        <v>430</v>
      </c>
      <c r="C434">
        <v>6376</v>
      </c>
    </row>
    <row r="435" spans="1:4">
      <c r="A435" s="41">
        <v>46002</v>
      </c>
      <c r="B435" t="s">
        <v>447</v>
      </c>
      <c r="C435">
        <v>1482</v>
      </c>
    </row>
    <row r="436" spans="1:4">
      <c r="A436" s="41">
        <v>46002</v>
      </c>
      <c r="B436" t="s">
        <v>465</v>
      </c>
      <c r="D436">
        <v>87349</v>
      </c>
    </row>
    <row r="437" spans="1:4">
      <c r="A437" s="41">
        <v>46002</v>
      </c>
      <c r="B437" t="s">
        <v>481</v>
      </c>
      <c r="D437">
        <v>68790</v>
      </c>
    </row>
    <row r="438" spans="1:4">
      <c r="A438" s="41">
        <v>46002</v>
      </c>
      <c r="B438" t="s">
        <v>485</v>
      </c>
      <c r="D438">
        <v>68023</v>
      </c>
    </row>
    <row r="439" spans="1:4">
      <c r="A439" s="41">
        <v>46002</v>
      </c>
      <c r="B439" t="s">
        <v>488</v>
      </c>
      <c r="D439">
        <v>91040</v>
      </c>
    </row>
    <row r="440" spans="1:4">
      <c r="A440" s="41">
        <v>46002</v>
      </c>
      <c r="B440" t="s">
        <v>490</v>
      </c>
      <c r="D440">
        <v>65773</v>
      </c>
    </row>
    <row r="441" spans="1:4">
      <c r="A441" s="41">
        <v>46002</v>
      </c>
      <c r="B441" t="s">
        <v>496</v>
      </c>
      <c r="D441">
        <v>104085</v>
      </c>
    </row>
    <row r="442" spans="1:4">
      <c r="A442" s="41">
        <v>46002</v>
      </c>
      <c r="B442" t="s">
        <v>501</v>
      </c>
      <c r="D442">
        <v>70028</v>
      </c>
    </row>
    <row r="443" spans="1:4">
      <c r="A443" s="41">
        <v>46002</v>
      </c>
      <c r="B443" t="s">
        <v>506</v>
      </c>
      <c r="D443">
        <v>48710</v>
      </c>
    </row>
    <row r="444" spans="1:4">
      <c r="A444" s="41">
        <v>46002</v>
      </c>
      <c r="B444" t="s">
        <v>514</v>
      </c>
      <c r="D444">
        <v>50561</v>
      </c>
    </row>
    <row r="445" spans="1:4">
      <c r="A445" s="41">
        <v>46002</v>
      </c>
      <c r="B445" t="s">
        <v>518</v>
      </c>
      <c r="D445">
        <v>60651</v>
      </c>
    </row>
    <row r="446" spans="1:4">
      <c r="A446" s="41">
        <v>46002</v>
      </c>
      <c r="B446" t="s">
        <v>518</v>
      </c>
      <c r="D446">
        <v>62651</v>
      </c>
    </row>
    <row r="447" spans="1:4">
      <c r="A447" s="41">
        <v>46002</v>
      </c>
      <c r="B447" t="s">
        <v>533</v>
      </c>
      <c r="D447">
        <v>63455</v>
      </c>
    </row>
    <row r="448" spans="1:4">
      <c r="A448" s="41">
        <v>46002</v>
      </c>
      <c r="B448" t="s">
        <v>535</v>
      </c>
      <c r="D448">
        <v>48017</v>
      </c>
    </row>
    <row r="449" spans="1:4">
      <c r="A449" s="41">
        <v>46002</v>
      </c>
      <c r="B449" t="s">
        <v>535</v>
      </c>
      <c r="D449">
        <v>48017</v>
      </c>
    </row>
    <row r="450" spans="1:4">
      <c r="A450" s="41">
        <v>46002</v>
      </c>
      <c r="B450" t="s">
        <v>537</v>
      </c>
      <c r="D450">
        <v>80051</v>
      </c>
    </row>
    <row r="451" spans="1:4">
      <c r="A451" s="41">
        <v>46002</v>
      </c>
      <c r="B451" t="s">
        <v>540</v>
      </c>
      <c r="D451">
        <v>54396</v>
      </c>
    </row>
    <row r="452" spans="1:4">
      <c r="A452" s="41">
        <v>46002</v>
      </c>
      <c r="B452" t="s">
        <v>559</v>
      </c>
      <c r="D452">
        <v>552570</v>
      </c>
    </row>
    <row r="453" spans="1:4">
      <c r="A453" s="41">
        <v>46002</v>
      </c>
      <c r="B453" t="s">
        <v>574</v>
      </c>
      <c r="D453">
        <v>181200</v>
      </c>
    </row>
    <row r="454" spans="1:4">
      <c r="A454" s="41">
        <v>46002</v>
      </c>
      <c r="B454" t="s">
        <v>577</v>
      </c>
      <c r="D454">
        <v>212902</v>
      </c>
    </row>
    <row r="455" spans="1:4">
      <c r="A455" s="41">
        <v>46002</v>
      </c>
      <c r="B455" t="s">
        <v>596</v>
      </c>
      <c r="D455">
        <v>126502</v>
      </c>
    </row>
    <row r="456" spans="1:4">
      <c r="A456" s="41">
        <v>46002</v>
      </c>
      <c r="B456" t="s">
        <v>608</v>
      </c>
      <c r="D456">
        <v>290870</v>
      </c>
    </row>
    <row r="457" spans="1:4">
      <c r="A457" s="41">
        <v>46002</v>
      </c>
      <c r="B457" t="s">
        <v>611</v>
      </c>
      <c r="D457">
        <v>250033</v>
      </c>
    </row>
    <row r="458" spans="1:4">
      <c r="A458" s="41">
        <v>46002</v>
      </c>
      <c r="B458" t="s">
        <v>614</v>
      </c>
      <c r="D458">
        <v>135810</v>
      </c>
    </row>
    <row r="459" spans="1:4">
      <c r="A459" s="41">
        <v>46002</v>
      </c>
      <c r="B459" t="s">
        <v>618</v>
      </c>
      <c r="D459">
        <v>101980</v>
      </c>
    </row>
    <row r="460" spans="1:4">
      <c r="A460" s="41">
        <v>46002</v>
      </c>
      <c r="B460" t="s">
        <v>620</v>
      </c>
      <c r="D460">
        <v>114336</v>
      </c>
    </row>
    <row r="461" spans="1:4">
      <c r="A461" s="41">
        <v>46002</v>
      </c>
      <c r="B461" t="s">
        <v>628</v>
      </c>
      <c r="D461">
        <v>82046</v>
      </c>
    </row>
    <row r="462" spans="1:4">
      <c r="A462" s="41">
        <v>46002</v>
      </c>
      <c r="B462" t="s">
        <v>634</v>
      </c>
      <c r="D462">
        <v>96336</v>
      </c>
    </row>
    <row r="463" spans="1:4">
      <c r="A463" s="41">
        <v>46002</v>
      </c>
      <c r="B463" t="s">
        <v>636</v>
      </c>
      <c r="D463">
        <v>102679</v>
      </c>
    </row>
    <row r="464" spans="1:4">
      <c r="A464" s="41">
        <v>46003</v>
      </c>
      <c r="B464" t="s">
        <v>29</v>
      </c>
      <c r="C464">
        <v>10372</v>
      </c>
      <c r="D464">
        <v>247147</v>
      </c>
    </row>
    <row r="465" spans="1:4">
      <c r="A465" s="41">
        <v>46003</v>
      </c>
      <c r="B465" t="s">
        <v>35</v>
      </c>
      <c r="C465">
        <v>8156</v>
      </c>
      <c r="D465">
        <v>163207</v>
      </c>
    </row>
    <row r="466" spans="1:4">
      <c r="A466" s="41">
        <v>46003</v>
      </c>
      <c r="B466" t="s">
        <v>41</v>
      </c>
      <c r="D466">
        <v>98349</v>
      </c>
    </row>
    <row r="467" spans="1:4">
      <c r="A467" s="41">
        <v>46003</v>
      </c>
      <c r="B467" t="s">
        <v>50</v>
      </c>
      <c r="D467">
        <v>269140</v>
      </c>
    </row>
    <row r="468" spans="1:4">
      <c r="A468" s="41">
        <v>46003</v>
      </c>
      <c r="B468" t="s">
        <v>65</v>
      </c>
      <c r="C468">
        <v>3680</v>
      </c>
    </row>
    <row r="469" spans="1:4">
      <c r="A469" s="41">
        <v>46003</v>
      </c>
      <c r="B469" t="s">
        <v>68</v>
      </c>
      <c r="D469">
        <v>322478</v>
      </c>
    </row>
    <row r="470" spans="1:4">
      <c r="A470" s="41">
        <v>46003</v>
      </c>
      <c r="B470" t="s">
        <v>78</v>
      </c>
      <c r="D470">
        <v>502118</v>
      </c>
    </row>
    <row r="471" spans="1:4">
      <c r="A471" s="41">
        <v>46003</v>
      </c>
      <c r="B471" t="s">
        <v>86</v>
      </c>
      <c r="D471">
        <v>74317</v>
      </c>
    </row>
    <row r="472" spans="1:4">
      <c r="A472" s="41">
        <v>46003</v>
      </c>
      <c r="B472" t="s">
        <v>89</v>
      </c>
      <c r="C472">
        <v>3138</v>
      </c>
      <c r="D472">
        <v>80391</v>
      </c>
    </row>
    <row r="473" spans="1:4">
      <c r="A473" s="41">
        <v>46003</v>
      </c>
      <c r="B473" t="s">
        <v>120</v>
      </c>
      <c r="D473">
        <v>80500</v>
      </c>
    </row>
    <row r="474" spans="1:4">
      <c r="A474" s="41">
        <v>46003</v>
      </c>
      <c r="B474" t="s">
        <v>121</v>
      </c>
      <c r="C474">
        <v>7270</v>
      </c>
      <c r="D474">
        <v>182405</v>
      </c>
    </row>
    <row r="475" spans="1:4">
      <c r="A475" s="41">
        <v>46003</v>
      </c>
      <c r="B475" t="s">
        <v>138</v>
      </c>
      <c r="D475">
        <v>282279</v>
      </c>
    </row>
    <row r="476" spans="1:4">
      <c r="A476" s="41">
        <v>46003</v>
      </c>
      <c r="B476" t="s">
        <v>138</v>
      </c>
      <c r="D476">
        <v>281970</v>
      </c>
    </row>
    <row r="477" spans="1:4">
      <c r="A477" s="41">
        <v>46003</v>
      </c>
      <c r="B477" t="s">
        <v>171</v>
      </c>
      <c r="C477">
        <v>1591</v>
      </c>
      <c r="D477">
        <v>194435</v>
      </c>
    </row>
    <row r="478" spans="1:4">
      <c r="A478" s="41">
        <v>46003</v>
      </c>
      <c r="B478" t="s">
        <v>210</v>
      </c>
      <c r="C478">
        <v>128</v>
      </c>
    </row>
    <row r="479" spans="1:4">
      <c r="A479" s="41">
        <v>46003</v>
      </c>
      <c r="B479" t="s">
        <v>249</v>
      </c>
      <c r="C479">
        <v>4701</v>
      </c>
    </row>
    <row r="480" spans="1:4">
      <c r="A480" s="41">
        <v>46003</v>
      </c>
      <c r="B480" t="s">
        <v>268</v>
      </c>
      <c r="C480">
        <v>5363</v>
      </c>
    </row>
    <row r="481" spans="1:4">
      <c r="A481" s="41">
        <v>46003</v>
      </c>
      <c r="B481" t="s">
        <v>275</v>
      </c>
      <c r="C481">
        <v>1229</v>
      </c>
    </row>
    <row r="482" spans="1:4">
      <c r="A482" s="41">
        <v>46003</v>
      </c>
      <c r="B482" t="s">
        <v>288</v>
      </c>
      <c r="C482">
        <v>962</v>
      </c>
    </row>
    <row r="483" spans="1:4">
      <c r="A483" s="41">
        <v>46003</v>
      </c>
      <c r="B483" t="s">
        <v>301</v>
      </c>
      <c r="C483">
        <v>14340</v>
      </c>
    </row>
    <row r="484" spans="1:4">
      <c r="A484" s="41">
        <v>46003</v>
      </c>
      <c r="B484" t="s">
        <v>305</v>
      </c>
      <c r="C484">
        <v>16699</v>
      </c>
    </row>
    <row r="485" spans="1:4">
      <c r="A485" s="41">
        <v>46003</v>
      </c>
      <c r="B485" t="s">
        <v>314</v>
      </c>
      <c r="C485">
        <v>27546</v>
      </c>
    </row>
    <row r="486" spans="1:4">
      <c r="A486" s="41">
        <v>46003</v>
      </c>
      <c r="B486" t="s">
        <v>333</v>
      </c>
      <c r="C486">
        <v>11735</v>
      </c>
    </row>
    <row r="487" spans="1:4">
      <c r="A487" s="41">
        <v>46003</v>
      </c>
      <c r="B487" t="s">
        <v>339</v>
      </c>
      <c r="C487">
        <v>1919</v>
      </c>
    </row>
    <row r="488" spans="1:4">
      <c r="A488" s="41">
        <v>46003</v>
      </c>
      <c r="B488" t="s">
        <v>353</v>
      </c>
      <c r="C488">
        <v>5134</v>
      </c>
    </row>
    <row r="489" spans="1:4">
      <c r="A489" s="41">
        <v>46003</v>
      </c>
      <c r="B489" t="s">
        <v>382</v>
      </c>
      <c r="C489">
        <v>12927</v>
      </c>
    </row>
    <row r="490" spans="1:4">
      <c r="A490" s="41">
        <v>46003</v>
      </c>
      <c r="B490" t="s">
        <v>424</v>
      </c>
      <c r="C490">
        <v>445</v>
      </c>
    </row>
    <row r="491" spans="1:4">
      <c r="A491" s="41">
        <v>46003</v>
      </c>
      <c r="B491" t="s">
        <v>443</v>
      </c>
      <c r="C491">
        <v>2080</v>
      </c>
    </row>
    <row r="492" spans="1:4">
      <c r="A492" s="41">
        <v>46003</v>
      </c>
      <c r="B492" t="s">
        <v>449</v>
      </c>
      <c r="C492">
        <v>1513</v>
      </c>
    </row>
    <row r="493" spans="1:4">
      <c r="A493" s="41">
        <v>46003</v>
      </c>
      <c r="B493" t="s">
        <v>456</v>
      </c>
      <c r="C493">
        <v>1827</v>
      </c>
    </row>
    <row r="494" spans="1:4">
      <c r="A494" s="41">
        <v>46003</v>
      </c>
      <c r="B494" t="s">
        <v>465</v>
      </c>
      <c r="D494">
        <v>87962</v>
      </c>
    </row>
    <row r="495" spans="1:4">
      <c r="A495" s="41">
        <v>46003</v>
      </c>
      <c r="B495" t="s">
        <v>485</v>
      </c>
      <c r="D495">
        <v>68389</v>
      </c>
    </row>
    <row r="496" spans="1:4">
      <c r="A496" s="41">
        <v>46003</v>
      </c>
      <c r="B496" t="s">
        <v>499</v>
      </c>
      <c r="D496">
        <v>50818</v>
      </c>
    </row>
    <row r="497" spans="1:4">
      <c r="A497" s="41">
        <v>46003</v>
      </c>
      <c r="B497" t="s">
        <v>501</v>
      </c>
      <c r="D497">
        <v>70571</v>
      </c>
    </row>
    <row r="498" spans="1:4">
      <c r="A498" s="41">
        <v>46003</v>
      </c>
      <c r="B498" t="s">
        <v>506</v>
      </c>
      <c r="D498">
        <v>49136</v>
      </c>
    </row>
    <row r="499" spans="1:4">
      <c r="A499" s="41">
        <v>46003</v>
      </c>
      <c r="B499" t="s">
        <v>508</v>
      </c>
      <c r="D499">
        <v>40724</v>
      </c>
    </row>
    <row r="500" spans="1:4">
      <c r="A500" s="41">
        <v>46003</v>
      </c>
      <c r="B500" t="s">
        <v>510</v>
      </c>
      <c r="D500">
        <v>35862</v>
      </c>
    </row>
    <row r="501" spans="1:4">
      <c r="A501" s="41">
        <v>46003</v>
      </c>
      <c r="B501" t="s">
        <v>512</v>
      </c>
      <c r="D501">
        <v>40085</v>
      </c>
    </row>
    <row r="502" spans="1:4">
      <c r="A502" s="41">
        <v>46003</v>
      </c>
      <c r="B502" t="s">
        <v>523</v>
      </c>
      <c r="D502">
        <v>48998</v>
      </c>
    </row>
    <row r="503" spans="1:4">
      <c r="A503" s="41">
        <v>46003</v>
      </c>
      <c r="B503" t="s">
        <v>526</v>
      </c>
      <c r="D503">
        <v>50144</v>
      </c>
    </row>
    <row r="504" spans="1:4">
      <c r="A504" s="41">
        <v>46003</v>
      </c>
      <c r="B504" t="s">
        <v>528</v>
      </c>
      <c r="D504">
        <v>56072</v>
      </c>
    </row>
    <row r="505" spans="1:4">
      <c r="A505" s="41">
        <v>46003</v>
      </c>
      <c r="B505" t="s">
        <v>533</v>
      </c>
      <c r="D505">
        <v>63990</v>
      </c>
    </row>
    <row r="506" spans="1:4">
      <c r="A506" s="41">
        <v>46003</v>
      </c>
      <c r="B506" t="s">
        <v>540</v>
      </c>
      <c r="D506">
        <v>54789</v>
      </c>
    </row>
    <row r="507" spans="1:4">
      <c r="A507" s="41">
        <v>46003</v>
      </c>
      <c r="B507" t="s">
        <v>542</v>
      </c>
      <c r="D507">
        <v>71791</v>
      </c>
    </row>
    <row r="508" spans="1:4">
      <c r="A508" s="41">
        <v>46003</v>
      </c>
      <c r="B508" t="s">
        <v>542</v>
      </c>
      <c r="D508">
        <v>71906</v>
      </c>
    </row>
    <row r="509" spans="1:4">
      <c r="A509" s="41">
        <v>46003</v>
      </c>
      <c r="B509" t="s">
        <v>549</v>
      </c>
      <c r="D509">
        <v>3036</v>
      </c>
    </row>
    <row r="510" spans="1:4">
      <c r="A510" s="41">
        <v>46003</v>
      </c>
      <c r="B510" t="s">
        <v>549</v>
      </c>
      <c r="D510">
        <v>3436</v>
      </c>
    </row>
    <row r="511" spans="1:4">
      <c r="A511" s="41">
        <v>46003</v>
      </c>
      <c r="B511" t="s">
        <v>568</v>
      </c>
      <c r="D511">
        <v>146970</v>
      </c>
    </row>
    <row r="512" spans="1:4">
      <c r="A512" s="41">
        <v>46003</v>
      </c>
      <c r="B512" t="s">
        <v>572</v>
      </c>
      <c r="D512">
        <v>138152</v>
      </c>
    </row>
    <row r="513" spans="1:4">
      <c r="A513" s="41">
        <v>46003</v>
      </c>
      <c r="B513" t="s">
        <v>591</v>
      </c>
      <c r="D513">
        <v>132811</v>
      </c>
    </row>
    <row r="514" spans="1:4">
      <c r="A514" s="41">
        <v>46003</v>
      </c>
      <c r="B514" t="s">
        <v>593</v>
      </c>
      <c r="D514">
        <v>153264</v>
      </c>
    </row>
    <row r="515" spans="1:4">
      <c r="A515" s="41">
        <v>46003</v>
      </c>
      <c r="B515" t="s">
        <v>596</v>
      </c>
      <c r="D515">
        <v>126872</v>
      </c>
    </row>
    <row r="516" spans="1:4">
      <c r="A516" s="41">
        <v>46003</v>
      </c>
      <c r="B516" t="s">
        <v>596</v>
      </c>
      <c r="D516">
        <v>127271</v>
      </c>
    </row>
    <row r="517" spans="1:4">
      <c r="A517" s="41">
        <v>46003</v>
      </c>
      <c r="B517" t="s">
        <v>598</v>
      </c>
      <c r="D517">
        <v>126079</v>
      </c>
    </row>
    <row r="518" spans="1:4">
      <c r="A518" s="41">
        <v>46003</v>
      </c>
      <c r="B518" t="s">
        <v>616</v>
      </c>
      <c r="D518">
        <v>107827</v>
      </c>
    </row>
    <row r="519" spans="1:4">
      <c r="A519" s="41">
        <v>46003</v>
      </c>
      <c r="B519" t="s">
        <v>618</v>
      </c>
      <c r="D519">
        <v>102083</v>
      </c>
    </row>
    <row r="520" spans="1:4">
      <c r="A520" s="41">
        <v>46003</v>
      </c>
      <c r="B520" t="s">
        <v>622</v>
      </c>
      <c r="D520">
        <v>79369</v>
      </c>
    </row>
    <row r="521" spans="1:4">
      <c r="A521" s="41">
        <v>46003</v>
      </c>
      <c r="B521" t="s">
        <v>628</v>
      </c>
      <c r="D521">
        <v>82176</v>
      </c>
    </row>
    <row r="522" spans="1:4">
      <c r="A522" s="41">
        <v>46003</v>
      </c>
      <c r="B522" t="s">
        <v>634</v>
      </c>
      <c r="D522">
        <v>95539</v>
      </c>
    </row>
    <row r="523" spans="1:4">
      <c r="A523" s="41">
        <v>46003</v>
      </c>
      <c r="B523" t="s">
        <v>636</v>
      </c>
      <c r="D523">
        <v>102384</v>
      </c>
    </row>
    <row r="524" spans="1:4">
      <c r="A524" s="41">
        <v>46003</v>
      </c>
      <c r="B524" t="s">
        <v>637</v>
      </c>
      <c r="D524">
        <v>96340</v>
      </c>
    </row>
    <row r="525" spans="1:4">
      <c r="A525" s="41">
        <v>46006</v>
      </c>
      <c r="B525" t="s">
        <v>29</v>
      </c>
      <c r="C525">
        <v>10377</v>
      </c>
      <c r="D525">
        <v>247352</v>
      </c>
    </row>
    <row r="526" spans="1:4">
      <c r="A526" s="41">
        <v>46006</v>
      </c>
      <c r="B526" t="s">
        <v>32</v>
      </c>
      <c r="C526">
        <v>10216</v>
      </c>
      <c r="D526">
        <v>244271</v>
      </c>
    </row>
    <row r="527" spans="1:4">
      <c r="A527" s="41">
        <v>46006</v>
      </c>
      <c r="B527" t="s">
        <v>35</v>
      </c>
      <c r="C527">
        <v>8162</v>
      </c>
      <c r="D527">
        <v>163447</v>
      </c>
    </row>
    <row r="528" spans="1:4">
      <c r="A528" s="41">
        <v>46006</v>
      </c>
      <c r="B528" t="s">
        <v>44</v>
      </c>
      <c r="D528">
        <v>186150</v>
      </c>
    </row>
    <row r="529" spans="1:4">
      <c r="A529" s="41">
        <v>46006</v>
      </c>
      <c r="B529" t="s">
        <v>78</v>
      </c>
      <c r="D529">
        <v>502534</v>
      </c>
    </row>
    <row r="530" spans="1:4">
      <c r="A530" s="41">
        <v>46006</v>
      </c>
      <c r="B530" t="s">
        <v>81</v>
      </c>
      <c r="C530">
        <v>2385</v>
      </c>
    </row>
    <row r="531" spans="1:4">
      <c r="A531" s="41">
        <v>46006</v>
      </c>
      <c r="B531" t="s">
        <v>86</v>
      </c>
      <c r="C531">
        <v>3108</v>
      </c>
      <c r="D531">
        <v>74549</v>
      </c>
    </row>
    <row r="532" spans="1:4">
      <c r="A532" s="41">
        <v>46006</v>
      </c>
      <c r="B532" t="s">
        <v>89</v>
      </c>
      <c r="C532">
        <v>3111</v>
      </c>
      <c r="D532">
        <v>79797</v>
      </c>
    </row>
    <row r="533" spans="1:4">
      <c r="A533" s="41">
        <v>46006</v>
      </c>
      <c r="B533" t="s">
        <v>89</v>
      </c>
      <c r="C533">
        <v>3146</v>
      </c>
      <c r="D533">
        <v>80706</v>
      </c>
    </row>
    <row r="534" spans="1:4">
      <c r="A534" s="41">
        <v>46006</v>
      </c>
      <c r="B534" t="s">
        <v>91</v>
      </c>
      <c r="C534">
        <v>3284</v>
      </c>
    </row>
    <row r="535" spans="1:4">
      <c r="A535" s="41">
        <v>46006</v>
      </c>
      <c r="B535" t="s">
        <v>106</v>
      </c>
      <c r="D535">
        <v>112265</v>
      </c>
    </row>
    <row r="536" spans="1:4">
      <c r="A536" s="41">
        <v>46006</v>
      </c>
      <c r="B536" t="s">
        <v>121</v>
      </c>
      <c r="C536">
        <v>1279</v>
      </c>
      <c r="D536">
        <v>182738</v>
      </c>
    </row>
    <row r="537" spans="1:4">
      <c r="A537" s="81">
        <v>43927</v>
      </c>
      <c r="B537" t="s">
        <v>159</v>
      </c>
      <c r="D537">
        <v>175043</v>
      </c>
    </row>
    <row r="538" spans="1:4">
      <c r="A538" s="41">
        <v>46006</v>
      </c>
      <c r="B538" t="s">
        <v>165</v>
      </c>
      <c r="D538">
        <v>106761</v>
      </c>
    </row>
    <row r="539" spans="1:4">
      <c r="A539" s="41">
        <v>46006</v>
      </c>
      <c r="B539" t="s">
        <v>169</v>
      </c>
      <c r="C539">
        <v>9106</v>
      </c>
      <c r="D539">
        <v>193061</v>
      </c>
    </row>
    <row r="540" spans="1:4">
      <c r="A540" s="41">
        <v>46006</v>
      </c>
      <c r="B540" t="s">
        <v>171</v>
      </c>
      <c r="C540">
        <v>1599</v>
      </c>
      <c r="D540">
        <v>194764</v>
      </c>
    </row>
    <row r="541" spans="1:4">
      <c r="A541" s="41">
        <v>46006</v>
      </c>
      <c r="B541" t="s">
        <v>175</v>
      </c>
      <c r="C541">
        <v>8893</v>
      </c>
      <c r="D541">
        <v>202061</v>
      </c>
    </row>
    <row r="542" spans="1:4">
      <c r="A542" s="41">
        <v>46006</v>
      </c>
      <c r="B542" t="s">
        <v>187</v>
      </c>
      <c r="D542">
        <v>528495</v>
      </c>
    </row>
    <row r="543" spans="1:4">
      <c r="A543" s="41">
        <v>46006</v>
      </c>
      <c r="B543" t="s">
        <v>288</v>
      </c>
      <c r="C543">
        <v>964</v>
      </c>
    </row>
    <row r="544" spans="1:4">
      <c r="A544" s="41">
        <v>46006</v>
      </c>
      <c r="B544" t="s">
        <v>301</v>
      </c>
      <c r="C544">
        <v>14347</v>
      </c>
    </row>
    <row r="545" spans="1:4">
      <c r="A545" s="41">
        <v>46006</v>
      </c>
      <c r="B545" t="s">
        <v>314</v>
      </c>
      <c r="C545">
        <v>27552</v>
      </c>
    </row>
    <row r="546" spans="1:4">
      <c r="A546" s="41">
        <v>46006</v>
      </c>
      <c r="B546" t="s">
        <v>353</v>
      </c>
      <c r="C546">
        <v>5136</v>
      </c>
    </row>
    <row r="547" spans="1:4">
      <c r="A547" s="41">
        <v>46006</v>
      </c>
      <c r="B547" t="s">
        <v>408</v>
      </c>
      <c r="C547">
        <v>4207</v>
      </c>
    </row>
    <row r="548" spans="1:4">
      <c r="A548" s="41">
        <v>46006</v>
      </c>
      <c r="B548" t="s">
        <v>456</v>
      </c>
      <c r="C548">
        <v>1837</v>
      </c>
    </row>
    <row r="549" spans="1:4">
      <c r="A549" s="41">
        <v>46006</v>
      </c>
      <c r="B549" t="s">
        <v>485</v>
      </c>
      <c r="D549">
        <v>68675</v>
      </c>
    </row>
    <row r="550" spans="1:4">
      <c r="A550" s="41">
        <v>46006</v>
      </c>
      <c r="B550" t="s">
        <v>493</v>
      </c>
      <c r="D550">
        <v>50477</v>
      </c>
    </row>
    <row r="551" spans="1:4">
      <c r="A551" s="41">
        <v>46006</v>
      </c>
      <c r="B551" t="s">
        <v>501</v>
      </c>
      <c r="D551">
        <v>71055</v>
      </c>
    </row>
    <row r="552" spans="1:4">
      <c r="A552" s="41">
        <v>46006</v>
      </c>
      <c r="B552" t="s">
        <v>506</v>
      </c>
      <c r="D552">
        <v>49478</v>
      </c>
    </row>
    <row r="553" spans="1:4">
      <c r="A553" s="41">
        <v>46006</v>
      </c>
      <c r="B553" t="s">
        <v>514</v>
      </c>
      <c r="D553">
        <v>51194</v>
      </c>
    </row>
    <row r="554" spans="1:4">
      <c r="A554" s="41">
        <v>46006</v>
      </c>
      <c r="B554" t="s">
        <v>515</v>
      </c>
      <c r="D554">
        <v>57233</v>
      </c>
    </row>
    <row r="555" spans="1:4">
      <c r="A555" s="41">
        <v>46006</v>
      </c>
      <c r="B555" t="s">
        <v>515</v>
      </c>
      <c r="D555">
        <v>57057</v>
      </c>
    </row>
    <row r="556" spans="1:4">
      <c r="A556" s="41">
        <v>46006</v>
      </c>
      <c r="B556" t="s">
        <v>518</v>
      </c>
      <c r="D556">
        <v>61242</v>
      </c>
    </row>
    <row r="557" spans="1:4">
      <c r="A557" s="41">
        <v>46006</v>
      </c>
      <c r="B557" t="s">
        <v>526</v>
      </c>
      <c r="D557">
        <v>50960</v>
      </c>
    </row>
    <row r="558" spans="1:4">
      <c r="A558" s="41">
        <v>46006</v>
      </c>
      <c r="B558" t="s">
        <v>537</v>
      </c>
      <c r="D558">
        <v>80995</v>
      </c>
    </row>
    <row r="559" spans="1:4">
      <c r="A559" s="41">
        <v>46006</v>
      </c>
      <c r="B559" t="s">
        <v>539</v>
      </c>
      <c r="D559">
        <v>49800</v>
      </c>
    </row>
    <row r="560" spans="1:4">
      <c r="A560" s="41">
        <v>46006</v>
      </c>
      <c r="B560" t="s">
        <v>542</v>
      </c>
      <c r="D560">
        <v>72692</v>
      </c>
    </row>
    <row r="561" spans="1:4">
      <c r="A561" s="41">
        <v>46006</v>
      </c>
      <c r="B561" t="s">
        <v>551</v>
      </c>
      <c r="D561">
        <v>6871</v>
      </c>
    </row>
    <row r="562" spans="1:4">
      <c r="A562" s="41">
        <v>46006</v>
      </c>
      <c r="B562" t="s">
        <v>568</v>
      </c>
      <c r="D562">
        <v>147528</v>
      </c>
    </row>
    <row r="563" spans="1:4">
      <c r="A563" s="41">
        <v>46006</v>
      </c>
      <c r="B563" t="s">
        <v>572</v>
      </c>
      <c r="D563">
        <v>138887</v>
      </c>
    </row>
    <row r="564" spans="1:4">
      <c r="A564" s="41">
        <v>46006</v>
      </c>
      <c r="B564" t="s">
        <v>575</v>
      </c>
      <c r="D564">
        <v>229054</v>
      </c>
    </row>
    <row r="565" spans="1:4">
      <c r="A565" s="41">
        <v>46006</v>
      </c>
      <c r="B565" t="s">
        <v>611</v>
      </c>
      <c r="D565">
        <v>250591</v>
      </c>
    </row>
    <row r="566" spans="1:4">
      <c r="A566" s="41">
        <v>46006</v>
      </c>
      <c r="B566" t="s">
        <v>614</v>
      </c>
      <c r="D566">
        <v>136367</v>
      </c>
    </row>
    <row r="567" spans="1:4">
      <c r="A567" s="41">
        <v>46006</v>
      </c>
      <c r="B567" t="s">
        <v>616</v>
      </c>
      <c r="D567">
        <v>108759</v>
      </c>
    </row>
    <row r="568" spans="1:4">
      <c r="A568" s="41">
        <v>46006</v>
      </c>
      <c r="B568" t="s">
        <v>622</v>
      </c>
      <c r="D568">
        <v>103007</v>
      </c>
    </row>
    <row r="569" spans="1:4">
      <c r="A569" s="41">
        <v>46006</v>
      </c>
      <c r="B569" t="s">
        <v>626</v>
      </c>
      <c r="D569">
        <v>97138</v>
      </c>
    </row>
    <row r="570" spans="1:4">
      <c r="A570" s="41">
        <v>46006</v>
      </c>
      <c r="B570" t="s">
        <v>628</v>
      </c>
      <c r="D570">
        <v>82777</v>
      </c>
    </row>
    <row r="571" spans="1:4">
      <c r="A571" s="41">
        <v>46006</v>
      </c>
      <c r="B571" t="s">
        <v>634</v>
      </c>
      <c r="D571">
        <v>95705</v>
      </c>
    </row>
    <row r="572" spans="1:4">
      <c r="A572" s="41">
        <v>46007</v>
      </c>
      <c r="B572" t="s">
        <v>19</v>
      </c>
      <c r="C572">
        <v>9831</v>
      </c>
    </row>
    <row r="573" spans="1:4">
      <c r="A573" s="41">
        <v>46007</v>
      </c>
      <c r="B573" t="s">
        <v>32</v>
      </c>
      <c r="C573">
        <v>10225</v>
      </c>
      <c r="D573">
        <v>244624</v>
      </c>
    </row>
    <row r="574" spans="1:4">
      <c r="A574" s="41">
        <v>46007</v>
      </c>
      <c r="B574" t="s">
        <v>35</v>
      </c>
      <c r="C574">
        <v>8170</v>
      </c>
      <c r="D574">
        <v>163732</v>
      </c>
    </row>
    <row r="575" spans="1:4">
      <c r="A575" s="41">
        <v>46007</v>
      </c>
      <c r="B575" t="s">
        <v>65</v>
      </c>
      <c r="C575">
        <v>3682</v>
      </c>
    </row>
    <row r="576" spans="1:4">
      <c r="A576" s="41">
        <v>46007</v>
      </c>
      <c r="B576" t="s">
        <v>89</v>
      </c>
      <c r="C576">
        <v>3155</v>
      </c>
      <c r="D576">
        <v>81047</v>
      </c>
    </row>
    <row r="577" spans="1:4">
      <c r="A577" s="41">
        <v>46007</v>
      </c>
      <c r="B577" t="s">
        <v>517</v>
      </c>
      <c r="D577">
        <v>33745</v>
      </c>
    </row>
    <row r="578" spans="1:4">
      <c r="A578" s="41">
        <v>46007</v>
      </c>
      <c r="B578" t="s">
        <v>93</v>
      </c>
      <c r="C578">
        <v>3370</v>
      </c>
      <c r="D578">
        <v>93577</v>
      </c>
    </row>
    <row r="579" spans="1:4">
      <c r="A579" s="41">
        <v>46007</v>
      </c>
      <c r="B579" t="s">
        <v>121</v>
      </c>
      <c r="C579">
        <v>7288</v>
      </c>
      <c r="D579">
        <v>183083</v>
      </c>
    </row>
    <row r="580" spans="1:4">
      <c r="A580" s="41">
        <v>46007</v>
      </c>
      <c r="B580" t="s">
        <v>152</v>
      </c>
      <c r="D580">
        <v>259999</v>
      </c>
    </row>
    <row r="581" spans="1:4">
      <c r="A581" s="81">
        <v>43956</v>
      </c>
      <c r="B581" t="s">
        <v>1183</v>
      </c>
      <c r="C581">
        <v>6517</v>
      </c>
    </row>
    <row r="582" spans="1:4">
      <c r="A582" s="41">
        <v>46007</v>
      </c>
      <c r="B582" t="s">
        <v>661</v>
      </c>
      <c r="D582">
        <v>295668</v>
      </c>
    </row>
    <row r="583" spans="1:4">
      <c r="A583" s="41">
        <v>46007</v>
      </c>
      <c r="B583" t="s">
        <v>171</v>
      </c>
      <c r="C583">
        <v>1608</v>
      </c>
      <c r="D583">
        <v>195113</v>
      </c>
    </row>
    <row r="584" spans="1:4">
      <c r="A584" s="41">
        <v>46007</v>
      </c>
      <c r="B584" t="s">
        <v>177</v>
      </c>
      <c r="C584">
        <v>8568</v>
      </c>
      <c r="D584">
        <v>189052</v>
      </c>
    </row>
    <row r="585" spans="1:4">
      <c r="A585" s="41">
        <v>46007</v>
      </c>
      <c r="B585" t="s">
        <v>187</v>
      </c>
      <c r="D585">
        <v>528897</v>
      </c>
    </row>
    <row r="586" spans="1:4">
      <c r="A586" s="41">
        <v>46007</v>
      </c>
      <c r="B586" t="s">
        <v>234</v>
      </c>
      <c r="C586">
        <v>1851</v>
      </c>
    </row>
    <row r="587" spans="1:4">
      <c r="A587" s="41">
        <v>46007</v>
      </c>
      <c r="B587" t="s">
        <v>246</v>
      </c>
      <c r="C587">
        <v>6282</v>
      </c>
    </row>
    <row r="588" spans="1:4">
      <c r="A588" s="41">
        <v>46007</v>
      </c>
      <c r="B588" t="s">
        <v>249</v>
      </c>
      <c r="C588">
        <v>4706</v>
      </c>
    </row>
    <row r="589" spans="1:4">
      <c r="A589" s="41">
        <v>46007</v>
      </c>
      <c r="B589" t="s">
        <v>254</v>
      </c>
      <c r="C589">
        <v>15325</v>
      </c>
    </row>
    <row r="590" spans="1:4">
      <c r="A590" s="41">
        <v>46007</v>
      </c>
      <c r="B590" t="s">
        <v>268</v>
      </c>
      <c r="C590">
        <v>5375</v>
      </c>
    </row>
    <row r="591" spans="1:4">
      <c r="A591" s="41">
        <v>46007</v>
      </c>
      <c r="B591" t="s">
        <v>275</v>
      </c>
      <c r="C591">
        <v>1239</v>
      </c>
    </row>
    <row r="592" spans="1:4">
      <c r="A592" s="41">
        <v>46007</v>
      </c>
      <c r="B592" t="s">
        <v>288</v>
      </c>
      <c r="C592">
        <v>982</v>
      </c>
    </row>
    <row r="593" spans="1:4">
      <c r="A593" s="41">
        <v>46007</v>
      </c>
      <c r="B593" t="s">
        <v>305</v>
      </c>
      <c r="C593">
        <v>16708</v>
      </c>
    </row>
    <row r="594" spans="1:4">
      <c r="A594" s="41">
        <v>46007</v>
      </c>
      <c r="B594" t="s">
        <v>314</v>
      </c>
      <c r="C594">
        <v>27557</v>
      </c>
    </row>
    <row r="595" spans="1:4">
      <c r="A595" s="41">
        <v>46007</v>
      </c>
      <c r="B595" t="s">
        <v>333</v>
      </c>
      <c r="C595">
        <v>11739</v>
      </c>
    </row>
    <row r="596" spans="1:4">
      <c r="A596" s="41">
        <v>46007</v>
      </c>
      <c r="B596" t="s">
        <v>356</v>
      </c>
      <c r="C596">
        <v>15406</v>
      </c>
    </row>
    <row r="597" spans="1:4">
      <c r="A597" s="41">
        <v>46007</v>
      </c>
      <c r="B597" t="s">
        <v>378</v>
      </c>
      <c r="C597">
        <v>3550</v>
      </c>
    </row>
    <row r="598" spans="1:4">
      <c r="A598" s="41">
        <v>46007</v>
      </c>
      <c r="B598" t="s">
        <v>379</v>
      </c>
      <c r="C598">
        <v>3347</v>
      </c>
    </row>
    <row r="599" spans="1:4">
      <c r="A599" s="41">
        <v>46007</v>
      </c>
      <c r="B599" t="s">
        <v>382</v>
      </c>
      <c r="C599">
        <v>12930</v>
      </c>
    </row>
    <row r="600" spans="1:4">
      <c r="A600" s="41">
        <v>46007</v>
      </c>
      <c r="B600" t="s">
        <v>417</v>
      </c>
      <c r="C600">
        <v>7911</v>
      </c>
    </row>
    <row r="601" spans="1:4">
      <c r="A601" s="41">
        <v>46007</v>
      </c>
      <c r="B601" t="s">
        <v>424</v>
      </c>
      <c r="C601">
        <v>449</v>
      </c>
    </row>
    <row r="602" spans="1:4">
      <c r="A602" s="41">
        <v>46007</v>
      </c>
      <c r="B602" t="s">
        <v>431</v>
      </c>
      <c r="C602">
        <v>9759</v>
      </c>
    </row>
    <row r="603" spans="1:4">
      <c r="A603" s="41">
        <v>46007</v>
      </c>
      <c r="B603" t="s">
        <v>440</v>
      </c>
      <c r="C603">
        <v>1763</v>
      </c>
    </row>
    <row r="604" spans="1:4">
      <c r="A604" s="41">
        <v>46007</v>
      </c>
      <c r="B604" t="s">
        <v>443</v>
      </c>
      <c r="C604">
        <v>2091</v>
      </c>
    </row>
    <row r="605" spans="1:4">
      <c r="A605" s="41">
        <v>46007</v>
      </c>
      <c r="B605" t="s">
        <v>447</v>
      </c>
      <c r="C605">
        <v>1498</v>
      </c>
    </row>
    <row r="606" spans="1:4">
      <c r="A606" s="41">
        <v>46007</v>
      </c>
      <c r="B606" t="s">
        <v>465</v>
      </c>
      <c r="D606">
        <v>88744</v>
      </c>
    </row>
    <row r="607" spans="1:4">
      <c r="A607" s="41">
        <v>46007</v>
      </c>
      <c r="B607" t="s">
        <v>465</v>
      </c>
      <c r="D607">
        <v>88415</v>
      </c>
    </row>
    <row r="608" spans="1:4">
      <c r="A608" s="41">
        <v>46007</v>
      </c>
      <c r="B608" t="s">
        <v>488</v>
      </c>
      <c r="D608">
        <v>91715</v>
      </c>
    </row>
    <row r="609" spans="1:4">
      <c r="A609" s="41">
        <v>46007</v>
      </c>
      <c r="B609" t="s">
        <v>496</v>
      </c>
    </row>
    <row r="610" spans="1:4">
      <c r="A610" s="41">
        <v>46007</v>
      </c>
      <c r="B610" t="s">
        <v>501</v>
      </c>
      <c r="D610">
        <v>71568</v>
      </c>
    </row>
    <row r="611" spans="1:4">
      <c r="A611" s="41">
        <v>46007</v>
      </c>
      <c r="B611" t="s">
        <v>506</v>
      </c>
      <c r="D611">
        <v>49921</v>
      </c>
    </row>
    <row r="612" spans="1:4">
      <c r="A612" s="41">
        <v>46007</v>
      </c>
      <c r="B612" t="s">
        <v>512</v>
      </c>
      <c r="D612">
        <v>40766</v>
      </c>
    </row>
    <row r="613" spans="1:4">
      <c r="A613" s="41">
        <v>46007</v>
      </c>
      <c r="B613" t="s">
        <v>514</v>
      </c>
      <c r="D613">
        <v>51442</v>
      </c>
    </row>
    <row r="614" spans="1:4">
      <c r="A614" s="41">
        <v>46007</v>
      </c>
      <c r="B614" t="s">
        <v>520</v>
      </c>
      <c r="D614">
        <v>41581</v>
      </c>
    </row>
    <row r="615" spans="1:4">
      <c r="A615" s="41">
        <v>46007</v>
      </c>
      <c r="B615" t="s">
        <v>535</v>
      </c>
      <c r="D615">
        <v>50085</v>
      </c>
    </row>
    <row r="616" spans="1:4">
      <c r="A616" s="41">
        <v>46007</v>
      </c>
      <c r="B616" t="s">
        <v>540</v>
      </c>
      <c r="D616">
        <v>54293</v>
      </c>
    </row>
    <row r="617" spans="1:4">
      <c r="A617" s="41">
        <v>46007</v>
      </c>
      <c r="B617" t="s">
        <v>559</v>
      </c>
      <c r="D617">
        <v>553018</v>
      </c>
    </row>
    <row r="618" spans="1:4">
      <c r="A618" s="41">
        <v>46007</v>
      </c>
      <c r="B618" t="s">
        <v>577</v>
      </c>
      <c r="D618">
        <v>214439</v>
      </c>
    </row>
    <row r="619" spans="1:4">
      <c r="A619" s="41">
        <v>46007</v>
      </c>
      <c r="B619" t="s">
        <v>596</v>
      </c>
      <c r="D619">
        <v>127680</v>
      </c>
    </row>
    <row r="620" spans="1:4">
      <c r="A620" s="41">
        <v>46007</v>
      </c>
      <c r="B620" t="s">
        <v>598</v>
      </c>
      <c r="D620">
        <v>127118</v>
      </c>
    </row>
    <row r="621" spans="1:4">
      <c r="A621" s="41">
        <v>46007</v>
      </c>
      <c r="B621" t="s">
        <v>603</v>
      </c>
      <c r="D621">
        <v>153679</v>
      </c>
    </row>
    <row r="622" spans="1:4">
      <c r="A622" s="41">
        <v>46007</v>
      </c>
      <c r="B622" t="s">
        <v>620</v>
      </c>
      <c r="D622">
        <v>115112</v>
      </c>
    </row>
    <row r="623" spans="1:4">
      <c r="A623" s="41">
        <v>46007</v>
      </c>
      <c r="B623" t="s">
        <v>624</v>
      </c>
      <c r="D623">
        <v>80091</v>
      </c>
    </row>
    <row r="624" spans="1:4">
      <c r="A624" s="41">
        <v>46007</v>
      </c>
      <c r="B624" t="s">
        <v>630</v>
      </c>
      <c r="D624">
        <v>131573</v>
      </c>
    </row>
    <row r="625" spans="1:4">
      <c r="A625" s="41">
        <v>46007</v>
      </c>
      <c r="B625" t="s">
        <v>634</v>
      </c>
      <c r="D625">
        <v>95872</v>
      </c>
    </row>
    <row r="626" spans="1:4">
      <c r="A626" s="41">
        <v>46008</v>
      </c>
      <c r="B626" t="s">
        <v>19</v>
      </c>
      <c r="C626">
        <v>9845</v>
      </c>
      <c r="D626">
        <v>245789</v>
      </c>
    </row>
    <row r="627" spans="1:4">
      <c r="A627" s="41">
        <v>46008</v>
      </c>
      <c r="B627" t="s">
        <v>29</v>
      </c>
      <c r="C627">
        <v>10392</v>
      </c>
      <c r="D627">
        <v>247939</v>
      </c>
    </row>
    <row r="628" spans="1:4">
      <c r="A628" s="41">
        <v>46008</v>
      </c>
      <c r="B628" t="s">
        <v>29</v>
      </c>
      <c r="C628">
        <v>10386</v>
      </c>
      <c r="D628">
        <v>247705</v>
      </c>
    </row>
    <row r="629" spans="1:4">
      <c r="A629" s="41">
        <v>46008</v>
      </c>
      <c r="B629" t="s">
        <v>32</v>
      </c>
      <c r="C629">
        <v>10235</v>
      </c>
      <c r="D629">
        <v>245005</v>
      </c>
    </row>
    <row r="630" spans="1:4">
      <c r="A630" s="41">
        <v>46008</v>
      </c>
      <c r="B630" t="s">
        <v>68</v>
      </c>
      <c r="D630">
        <v>323292</v>
      </c>
    </row>
    <row r="631" spans="1:4">
      <c r="A631" s="41">
        <v>46008</v>
      </c>
      <c r="B631" t="s">
        <v>86</v>
      </c>
      <c r="C631">
        <v>3124</v>
      </c>
      <c r="D631">
        <v>75122</v>
      </c>
    </row>
    <row r="632" spans="1:4">
      <c r="A632" s="41">
        <v>46008</v>
      </c>
      <c r="B632" t="s">
        <v>86</v>
      </c>
      <c r="C632">
        <v>3116</v>
      </c>
      <c r="D632">
        <v>74794</v>
      </c>
    </row>
    <row r="633" spans="1:4">
      <c r="A633" s="41">
        <v>46008</v>
      </c>
      <c r="B633" t="s">
        <v>89</v>
      </c>
      <c r="C633">
        <v>3164</v>
      </c>
      <c r="D633">
        <v>81405</v>
      </c>
    </row>
    <row r="634" spans="1:4">
      <c r="A634" s="41">
        <v>46008</v>
      </c>
      <c r="B634" t="s">
        <v>121</v>
      </c>
      <c r="C634">
        <v>7297</v>
      </c>
      <c r="D634">
        <v>183463</v>
      </c>
    </row>
    <row r="635" spans="1:4">
      <c r="A635" s="41">
        <v>46008</v>
      </c>
      <c r="B635" t="s">
        <v>126</v>
      </c>
      <c r="D635">
        <v>56692</v>
      </c>
    </row>
    <row r="636" spans="1:4">
      <c r="A636" s="41">
        <v>46008</v>
      </c>
      <c r="B636" t="s">
        <v>661</v>
      </c>
      <c r="D636">
        <v>296211</v>
      </c>
    </row>
    <row r="637" spans="1:4">
      <c r="A637" s="41">
        <v>46008</v>
      </c>
      <c r="B637" t="s">
        <v>169</v>
      </c>
      <c r="C637">
        <v>9117</v>
      </c>
      <c r="D637">
        <v>193221</v>
      </c>
    </row>
    <row r="638" spans="1:4">
      <c r="A638" s="41">
        <v>46008</v>
      </c>
      <c r="B638" t="s">
        <v>171</v>
      </c>
      <c r="C638">
        <v>1615</v>
      </c>
      <c r="D638">
        <v>195354</v>
      </c>
    </row>
    <row r="639" spans="1:4">
      <c r="A639" s="41">
        <v>46008</v>
      </c>
      <c r="B639" t="s">
        <v>175</v>
      </c>
      <c r="C639">
        <v>8913</v>
      </c>
      <c r="D639">
        <v>202718</v>
      </c>
    </row>
    <row r="640" spans="1:4">
      <c r="A640" s="41">
        <v>46008</v>
      </c>
      <c r="B640" t="s">
        <v>182</v>
      </c>
      <c r="C640">
        <v>8594</v>
      </c>
      <c r="D640">
        <v>162391</v>
      </c>
    </row>
    <row r="641" spans="1:4">
      <c r="A641" s="41">
        <v>46008</v>
      </c>
      <c r="B641" t="s">
        <v>185</v>
      </c>
      <c r="C641">
        <v>3009</v>
      </c>
      <c r="D641">
        <v>561195</v>
      </c>
    </row>
    <row r="642" spans="1:4">
      <c r="A642" s="41">
        <v>46008</v>
      </c>
      <c r="B642" t="s">
        <v>247</v>
      </c>
      <c r="C642">
        <v>3964</v>
      </c>
    </row>
    <row r="643" spans="1:4">
      <c r="A643" s="41">
        <v>46008</v>
      </c>
      <c r="B643" t="s">
        <v>254</v>
      </c>
      <c r="C643">
        <v>15337</v>
      </c>
    </row>
    <row r="644" spans="1:4">
      <c r="A644" s="41">
        <v>46008</v>
      </c>
      <c r="B644" t="s">
        <v>263</v>
      </c>
      <c r="C644">
        <v>9670</v>
      </c>
    </row>
    <row r="645" spans="1:4">
      <c r="A645" s="41">
        <v>46008</v>
      </c>
      <c r="B645" t="s">
        <v>288</v>
      </c>
      <c r="C645">
        <v>994</v>
      </c>
    </row>
    <row r="646" spans="1:4">
      <c r="A646" s="41">
        <v>46008</v>
      </c>
      <c r="B646" t="s">
        <v>314</v>
      </c>
      <c r="C646">
        <v>27565</v>
      </c>
    </row>
    <row r="647" spans="1:4">
      <c r="A647" s="41">
        <v>46008</v>
      </c>
      <c r="B647" t="s">
        <v>321</v>
      </c>
      <c r="C647">
        <v>8854</v>
      </c>
    </row>
    <row r="648" spans="1:4">
      <c r="A648" s="41">
        <v>46008</v>
      </c>
      <c r="B648" t="s">
        <v>324</v>
      </c>
      <c r="C648">
        <v>6940</v>
      </c>
    </row>
    <row r="649" spans="1:4">
      <c r="A649" s="41">
        <v>46008</v>
      </c>
      <c r="B649" t="s">
        <v>364</v>
      </c>
      <c r="C649">
        <v>16744</v>
      </c>
    </row>
    <row r="650" spans="1:4">
      <c r="A650" s="41">
        <v>46008</v>
      </c>
      <c r="B650" t="s">
        <v>396</v>
      </c>
      <c r="C650">
        <v>8503</v>
      </c>
    </row>
    <row r="651" spans="1:4">
      <c r="A651" s="41">
        <v>46008</v>
      </c>
      <c r="B651" t="s">
        <v>405</v>
      </c>
      <c r="C651">
        <v>12500</v>
      </c>
    </row>
    <row r="652" spans="1:4">
      <c r="A652" s="41">
        <v>46008</v>
      </c>
      <c r="B652" t="s">
        <v>408</v>
      </c>
      <c r="C652">
        <v>4218</v>
      </c>
    </row>
    <row r="653" spans="1:4">
      <c r="A653" s="41">
        <v>46008</v>
      </c>
      <c r="B653" t="s">
        <v>417</v>
      </c>
      <c r="C653">
        <v>7921</v>
      </c>
    </row>
    <row r="654" spans="1:4">
      <c r="A654" s="41">
        <v>46008</v>
      </c>
      <c r="B654" t="s">
        <v>456</v>
      </c>
      <c r="C654">
        <v>1852</v>
      </c>
    </row>
    <row r="655" spans="1:4">
      <c r="A655" s="41">
        <v>46008</v>
      </c>
      <c r="B655" t="s">
        <v>465</v>
      </c>
      <c r="D655">
        <v>88926</v>
      </c>
    </row>
    <row r="656" spans="1:4">
      <c r="A656" s="41">
        <v>46008</v>
      </c>
      <c r="B656" t="s">
        <v>485</v>
      </c>
      <c r="D656">
        <v>69059</v>
      </c>
    </row>
    <row r="657" spans="1:4">
      <c r="A657" s="41">
        <v>46008</v>
      </c>
      <c r="B657" t="s">
        <v>490</v>
      </c>
      <c r="D657">
        <v>67505</v>
      </c>
    </row>
    <row r="658" spans="1:4">
      <c r="A658" s="41">
        <v>46008</v>
      </c>
      <c r="B658" t="s">
        <v>493</v>
      </c>
      <c r="D658">
        <v>50780</v>
      </c>
    </row>
    <row r="659" spans="1:4">
      <c r="A659" s="41">
        <v>46008</v>
      </c>
      <c r="B659" t="s">
        <v>533</v>
      </c>
      <c r="D659">
        <v>64225</v>
      </c>
    </row>
    <row r="660" spans="1:4">
      <c r="A660" s="41">
        <v>46008</v>
      </c>
      <c r="B660" t="s">
        <v>540</v>
      </c>
      <c r="D660">
        <v>55609</v>
      </c>
    </row>
    <row r="661" spans="1:4">
      <c r="A661" s="41">
        <v>46008</v>
      </c>
      <c r="B661" t="s">
        <v>542</v>
      </c>
      <c r="D661">
        <v>73027</v>
      </c>
    </row>
    <row r="662" spans="1:4">
      <c r="A662" s="41">
        <v>46008</v>
      </c>
      <c r="B662" t="s">
        <v>551</v>
      </c>
      <c r="D662">
        <v>7172</v>
      </c>
    </row>
    <row r="663" spans="1:4">
      <c r="A663" s="41">
        <v>46008</v>
      </c>
      <c r="B663" t="s">
        <v>572</v>
      </c>
      <c r="D663">
        <v>139254</v>
      </c>
    </row>
    <row r="664" spans="1:4">
      <c r="A664" s="41">
        <v>46008</v>
      </c>
      <c r="B664" t="s">
        <v>574</v>
      </c>
      <c r="D664">
        <v>182509</v>
      </c>
    </row>
    <row r="665" spans="1:4">
      <c r="A665" s="41">
        <v>46008</v>
      </c>
      <c r="B665" t="s">
        <v>608</v>
      </c>
      <c r="D665">
        <v>291546</v>
      </c>
    </row>
    <row r="666" spans="1:4">
      <c r="A666" s="41">
        <v>46008</v>
      </c>
      <c r="B666" t="s">
        <v>611</v>
      </c>
      <c r="D666">
        <v>250083</v>
      </c>
    </row>
    <row r="667" spans="1:4">
      <c r="A667" s="41">
        <v>46008</v>
      </c>
      <c r="B667" t="s">
        <v>611</v>
      </c>
      <c r="D667">
        <v>250683</v>
      </c>
    </row>
    <row r="668" spans="1:4">
      <c r="A668" s="41">
        <v>46008</v>
      </c>
      <c r="B668" t="s">
        <v>626</v>
      </c>
      <c r="D668">
        <v>97532</v>
      </c>
    </row>
    <row r="669" spans="1:4">
      <c r="A669" s="41">
        <v>46009</v>
      </c>
      <c r="B669" t="s">
        <v>19</v>
      </c>
      <c r="C669">
        <v>9857</v>
      </c>
      <c r="D669">
        <v>246286</v>
      </c>
    </row>
    <row r="670" spans="1:4">
      <c r="A670" s="41">
        <v>46009</v>
      </c>
      <c r="B670" t="s">
        <v>29</v>
      </c>
      <c r="C670">
        <v>10402</v>
      </c>
      <c r="D670">
        <v>248323</v>
      </c>
    </row>
    <row r="671" spans="1:4">
      <c r="A671" s="41">
        <v>46009</v>
      </c>
      <c r="B671" t="s">
        <v>32</v>
      </c>
      <c r="C671">
        <v>10244</v>
      </c>
      <c r="D671">
        <v>245384</v>
      </c>
    </row>
    <row r="672" spans="1:4">
      <c r="A672" s="41">
        <v>46009</v>
      </c>
      <c r="B672" t="s">
        <v>35</v>
      </c>
      <c r="C672">
        <v>8188</v>
      </c>
      <c r="D672">
        <v>164500</v>
      </c>
    </row>
    <row r="673" spans="1:4">
      <c r="A673" s="41">
        <v>46009</v>
      </c>
      <c r="B673" t="s">
        <v>35</v>
      </c>
      <c r="C673">
        <v>8194</v>
      </c>
      <c r="D673">
        <v>164583</v>
      </c>
    </row>
    <row r="674" spans="1:4">
      <c r="A674" s="41">
        <v>46009</v>
      </c>
      <c r="B674" t="s">
        <v>65</v>
      </c>
      <c r="C674">
        <v>3686</v>
      </c>
    </row>
    <row r="675" spans="1:4">
      <c r="A675" s="41">
        <v>46009</v>
      </c>
      <c r="B675" t="s">
        <v>86</v>
      </c>
      <c r="C675">
        <v>3136</v>
      </c>
      <c r="D675">
        <v>75616</v>
      </c>
    </row>
    <row r="676" spans="1:4">
      <c r="A676" s="41">
        <v>46009</v>
      </c>
      <c r="B676" t="s">
        <v>89</v>
      </c>
      <c r="C676">
        <v>3174</v>
      </c>
      <c r="D676">
        <v>81770</v>
      </c>
    </row>
    <row r="677" spans="1:4">
      <c r="A677" s="41">
        <v>46009</v>
      </c>
      <c r="B677" t="s">
        <v>91</v>
      </c>
      <c r="C677">
        <v>3303</v>
      </c>
      <c r="D677">
        <v>86988</v>
      </c>
    </row>
    <row r="678" spans="1:4">
      <c r="A678" s="41">
        <v>46009</v>
      </c>
      <c r="B678" t="s">
        <v>517</v>
      </c>
      <c r="D678">
        <v>34241</v>
      </c>
    </row>
    <row r="679" spans="1:4">
      <c r="A679" s="41">
        <v>46009</v>
      </c>
      <c r="B679" t="s">
        <v>121</v>
      </c>
      <c r="C679">
        <v>7307</v>
      </c>
      <c r="D679">
        <v>183842</v>
      </c>
    </row>
    <row r="680" spans="1:4">
      <c r="A680" s="41">
        <v>46009</v>
      </c>
      <c r="B680" t="s">
        <v>138</v>
      </c>
      <c r="D680">
        <v>283069</v>
      </c>
    </row>
    <row r="681" spans="1:4">
      <c r="A681" s="41">
        <v>46009</v>
      </c>
      <c r="B681" t="s">
        <v>152</v>
      </c>
      <c r="D681">
        <v>260097</v>
      </c>
    </row>
    <row r="682" spans="1:4">
      <c r="A682" s="41">
        <v>46009</v>
      </c>
      <c r="B682" t="s">
        <v>661</v>
      </c>
      <c r="D682">
        <v>296754</v>
      </c>
    </row>
    <row r="683" spans="1:4">
      <c r="A683" s="41">
        <v>46009</v>
      </c>
      <c r="B683" t="s">
        <v>173</v>
      </c>
      <c r="C683">
        <v>8388</v>
      </c>
      <c r="D683">
        <v>161842</v>
      </c>
    </row>
    <row r="684" spans="1:4">
      <c r="A684" s="41">
        <v>46009</v>
      </c>
      <c r="B684" t="s">
        <v>182</v>
      </c>
      <c r="C684">
        <v>8602</v>
      </c>
      <c r="D684">
        <v>162497</v>
      </c>
    </row>
    <row r="685" spans="1:4">
      <c r="A685" s="41">
        <v>46009</v>
      </c>
      <c r="B685" t="s">
        <v>234</v>
      </c>
      <c r="C685">
        <v>1865</v>
      </c>
    </row>
    <row r="686" spans="1:4">
      <c r="A686" s="41">
        <v>46009</v>
      </c>
      <c r="B686" t="s">
        <v>246</v>
      </c>
      <c r="C686">
        <v>7298</v>
      </c>
    </row>
    <row r="687" spans="1:4">
      <c r="A687" s="41">
        <v>46009</v>
      </c>
      <c r="B687" t="s">
        <v>249</v>
      </c>
      <c r="C687">
        <v>4721</v>
      </c>
    </row>
    <row r="688" spans="1:4">
      <c r="A688" s="41">
        <v>46009</v>
      </c>
      <c r="B688" t="s">
        <v>268</v>
      </c>
      <c r="C688">
        <v>5390</v>
      </c>
    </row>
    <row r="689" spans="1:4">
      <c r="A689" s="41">
        <v>46009</v>
      </c>
      <c r="B689" t="s">
        <v>273</v>
      </c>
      <c r="C689">
        <v>3950</v>
      </c>
    </row>
    <row r="690" spans="1:4">
      <c r="A690" s="41">
        <v>46009</v>
      </c>
      <c r="B690" t="s">
        <v>314</v>
      </c>
      <c r="C690">
        <v>27575</v>
      </c>
    </row>
    <row r="691" spans="1:4">
      <c r="A691" s="41">
        <v>46009</v>
      </c>
      <c r="B691" t="s">
        <v>333</v>
      </c>
      <c r="C691">
        <v>11753</v>
      </c>
    </row>
    <row r="692" spans="1:4">
      <c r="A692" s="41">
        <v>46009</v>
      </c>
      <c r="B692" t="s">
        <v>339</v>
      </c>
    </row>
    <row r="693" spans="1:4">
      <c r="A693" s="41">
        <v>46009</v>
      </c>
      <c r="B693" t="s">
        <v>353</v>
      </c>
      <c r="C693">
        <v>8239.6</v>
      </c>
    </row>
    <row r="694" spans="1:4">
      <c r="A694" s="41">
        <v>46009</v>
      </c>
      <c r="B694" t="s">
        <v>356</v>
      </c>
      <c r="C694">
        <v>15423</v>
      </c>
    </row>
    <row r="695" spans="1:4">
      <c r="A695" s="41">
        <v>46009</v>
      </c>
      <c r="B695" t="s">
        <v>379</v>
      </c>
      <c r="C695">
        <v>3365</v>
      </c>
    </row>
    <row r="696" spans="1:4">
      <c r="A696" s="41">
        <v>46009</v>
      </c>
      <c r="B696" t="s">
        <v>414</v>
      </c>
      <c r="C696">
        <v>10101</v>
      </c>
    </row>
    <row r="697" spans="1:4">
      <c r="A697" s="41">
        <v>46009</v>
      </c>
      <c r="B697" t="s">
        <v>420</v>
      </c>
      <c r="C697">
        <v>5464</v>
      </c>
    </row>
    <row r="698" spans="1:4">
      <c r="A698" s="41">
        <v>46009</v>
      </c>
      <c r="B698" t="s">
        <v>424</v>
      </c>
      <c r="C698">
        <v>460</v>
      </c>
    </row>
    <row r="699" spans="1:4">
      <c r="A699" s="41">
        <v>46009</v>
      </c>
      <c r="B699" t="s">
        <v>431</v>
      </c>
      <c r="C699">
        <v>9777</v>
      </c>
    </row>
    <row r="700" spans="1:4">
      <c r="A700" s="41">
        <v>46009</v>
      </c>
      <c r="B700" t="s">
        <v>440</v>
      </c>
      <c r="C700">
        <v>1769</v>
      </c>
    </row>
    <row r="701" spans="1:4">
      <c r="A701" s="41">
        <v>46009</v>
      </c>
      <c r="B701" t="s">
        <v>443</v>
      </c>
      <c r="C701">
        <v>2099</v>
      </c>
    </row>
    <row r="702" spans="1:4">
      <c r="A702" s="41">
        <v>46009</v>
      </c>
      <c r="B702" t="s">
        <v>447</v>
      </c>
      <c r="C702">
        <v>1512</v>
      </c>
    </row>
    <row r="703" spans="1:4">
      <c r="A703" s="41">
        <v>46009</v>
      </c>
      <c r="B703" t="s">
        <v>455</v>
      </c>
      <c r="C703">
        <v>1830</v>
      </c>
    </row>
    <row r="704" spans="1:4">
      <c r="A704" s="41">
        <v>46009</v>
      </c>
      <c r="B704" t="s">
        <v>458</v>
      </c>
      <c r="D704">
        <v>89900</v>
      </c>
    </row>
    <row r="705" spans="1:4">
      <c r="A705" s="41">
        <v>46009</v>
      </c>
      <c r="B705" t="s">
        <v>485</v>
      </c>
      <c r="D705">
        <v>69452</v>
      </c>
    </row>
    <row r="706" spans="1:4">
      <c r="A706" s="41">
        <v>46009</v>
      </c>
      <c r="B706" t="s">
        <v>488</v>
      </c>
      <c r="D706">
        <v>92084</v>
      </c>
    </row>
    <row r="707" spans="1:4">
      <c r="A707" s="41">
        <v>46009</v>
      </c>
      <c r="B707" t="s">
        <v>501</v>
      </c>
      <c r="D707">
        <v>72099</v>
      </c>
    </row>
    <row r="708" spans="1:4">
      <c r="A708" s="41">
        <v>46009</v>
      </c>
      <c r="B708" t="s">
        <v>512</v>
      </c>
      <c r="D708">
        <v>41319</v>
      </c>
    </row>
    <row r="709" spans="1:4">
      <c r="A709" s="41">
        <v>46009</v>
      </c>
      <c r="B709" t="s">
        <v>512</v>
      </c>
      <c r="D709">
        <v>41719</v>
      </c>
    </row>
    <row r="710" spans="1:4">
      <c r="A710" s="41">
        <v>46009</v>
      </c>
      <c r="B710" t="s">
        <v>514</v>
      </c>
      <c r="D710">
        <v>52391</v>
      </c>
    </row>
    <row r="711" spans="1:4">
      <c r="A711" s="41">
        <v>46009</v>
      </c>
      <c r="B711" t="s">
        <v>520</v>
      </c>
      <c r="D711">
        <v>41802</v>
      </c>
    </row>
    <row r="712" spans="1:4">
      <c r="A712" s="41">
        <v>46009</v>
      </c>
      <c r="B712" t="s">
        <v>523</v>
      </c>
      <c r="D712">
        <v>49766</v>
      </c>
    </row>
    <row r="713" spans="1:4">
      <c r="A713" s="41">
        <v>46009</v>
      </c>
      <c r="B713" t="s">
        <v>533</v>
      </c>
      <c r="D713">
        <v>64791</v>
      </c>
    </row>
    <row r="714" spans="1:4">
      <c r="A714" s="41">
        <v>46009</v>
      </c>
      <c r="B714" t="s">
        <v>547</v>
      </c>
      <c r="D714">
        <v>4925</v>
      </c>
    </row>
    <row r="715" spans="1:4">
      <c r="A715" s="41">
        <v>46009</v>
      </c>
      <c r="B715" t="s">
        <v>551</v>
      </c>
      <c r="D715">
        <v>7553</v>
      </c>
    </row>
    <row r="716" spans="1:4">
      <c r="A716" s="41">
        <v>46009</v>
      </c>
      <c r="B716" t="s">
        <v>559</v>
      </c>
      <c r="D716">
        <v>533409</v>
      </c>
    </row>
    <row r="717" spans="1:4">
      <c r="A717" s="41">
        <v>46009</v>
      </c>
      <c r="B717" t="s">
        <v>568</v>
      </c>
      <c r="D717">
        <v>147964</v>
      </c>
    </row>
    <row r="718" spans="1:4">
      <c r="A718" s="41">
        <v>46009</v>
      </c>
      <c r="B718" t="s">
        <v>577</v>
      </c>
      <c r="D718">
        <v>215236</v>
      </c>
    </row>
    <row r="719" spans="1:4">
      <c r="A719" s="41">
        <v>46009</v>
      </c>
      <c r="B719" t="s">
        <v>581</v>
      </c>
      <c r="D719">
        <v>138220</v>
      </c>
    </row>
    <row r="720" spans="1:4">
      <c r="A720" s="41">
        <v>46009</v>
      </c>
      <c r="B720" t="s">
        <v>596</v>
      </c>
      <c r="D720">
        <v>128122</v>
      </c>
    </row>
    <row r="721" spans="1:4">
      <c r="A721" s="41">
        <v>46009</v>
      </c>
      <c r="B721" t="s">
        <v>596</v>
      </c>
      <c r="D721">
        <v>128318</v>
      </c>
    </row>
    <row r="722" spans="1:4">
      <c r="A722" s="41">
        <v>46009</v>
      </c>
      <c r="B722" t="s">
        <v>596</v>
      </c>
      <c r="D722">
        <v>128767</v>
      </c>
    </row>
    <row r="723" spans="1:4">
      <c r="A723" s="41">
        <v>46009</v>
      </c>
      <c r="B723" t="s">
        <v>598</v>
      </c>
      <c r="D723">
        <v>127143</v>
      </c>
    </row>
    <row r="724" spans="1:4">
      <c r="A724" s="41">
        <v>46009</v>
      </c>
      <c r="B724" t="s">
        <v>611</v>
      </c>
      <c r="D724">
        <v>251298</v>
      </c>
    </row>
    <row r="725" spans="1:4">
      <c r="A725" s="41">
        <v>46009</v>
      </c>
      <c r="B725" t="s">
        <v>614</v>
      </c>
      <c r="D725">
        <v>144983</v>
      </c>
    </row>
    <row r="726" spans="1:4">
      <c r="A726" s="41">
        <v>46009</v>
      </c>
      <c r="B726" t="s">
        <v>618</v>
      </c>
      <c r="D726">
        <v>102843</v>
      </c>
    </row>
    <row r="727" spans="1:4">
      <c r="A727" s="41">
        <v>46009</v>
      </c>
      <c r="B727" t="s">
        <v>620</v>
      </c>
      <c r="D727">
        <v>115342</v>
      </c>
    </row>
    <row r="728" spans="1:4">
      <c r="A728" s="41">
        <v>46009</v>
      </c>
      <c r="B728" t="s">
        <v>622</v>
      </c>
      <c r="D728">
        <v>80497</v>
      </c>
    </row>
    <row r="729" spans="1:4">
      <c r="A729" s="41">
        <v>46009</v>
      </c>
      <c r="B729" t="s">
        <v>630</v>
      </c>
      <c r="D729">
        <v>131757</v>
      </c>
    </row>
    <row r="730" spans="1:4">
      <c r="A730" s="41">
        <v>46009</v>
      </c>
      <c r="B730" t="s">
        <v>632</v>
      </c>
      <c r="D730">
        <v>96224</v>
      </c>
    </row>
    <row r="731" spans="1:4">
      <c r="A731" s="41">
        <v>46010</v>
      </c>
      <c r="B731" t="s">
        <v>35</v>
      </c>
      <c r="C731">
        <v>8203</v>
      </c>
      <c r="D731">
        <v>164749</v>
      </c>
    </row>
    <row r="732" spans="1:4">
      <c r="A732" s="41">
        <v>46010</v>
      </c>
      <c r="B732" t="s">
        <v>44</v>
      </c>
      <c r="D732">
        <v>186428</v>
      </c>
    </row>
    <row r="733" spans="1:4">
      <c r="A733" s="41">
        <v>46010</v>
      </c>
      <c r="B733" t="s">
        <v>81</v>
      </c>
      <c r="C733">
        <v>2421</v>
      </c>
    </row>
    <row r="734" spans="1:4">
      <c r="A734" s="41">
        <v>46010</v>
      </c>
      <c r="B734" t="s">
        <v>126</v>
      </c>
      <c r="D734">
        <v>57043</v>
      </c>
    </row>
    <row r="735" spans="1:4">
      <c r="A735" s="41">
        <v>46010</v>
      </c>
      <c r="B735" t="s">
        <v>254</v>
      </c>
      <c r="C735">
        <v>15353</v>
      </c>
    </row>
    <row r="736" spans="1:4">
      <c r="A736" s="41">
        <v>46010</v>
      </c>
      <c r="B736" t="s">
        <v>258</v>
      </c>
      <c r="C736">
        <v>2299</v>
      </c>
    </row>
    <row r="737" spans="1:4">
      <c r="A737" s="41">
        <v>46010</v>
      </c>
      <c r="B737" t="s">
        <v>288</v>
      </c>
      <c r="C737">
        <v>1012</v>
      </c>
    </row>
    <row r="738" spans="1:4">
      <c r="A738" s="41">
        <v>46010</v>
      </c>
      <c r="B738" t="s">
        <v>301</v>
      </c>
      <c r="C738">
        <v>14364</v>
      </c>
    </row>
    <row r="739" spans="1:4">
      <c r="A739" s="41">
        <v>46010</v>
      </c>
      <c r="B739" t="s">
        <v>490</v>
      </c>
      <c r="D739">
        <v>68136</v>
      </c>
    </row>
    <row r="740" spans="1:4">
      <c r="A740" s="41">
        <v>46010</v>
      </c>
      <c r="B740" t="s">
        <v>493</v>
      </c>
      <c r="D740">
        <v>51064</v>
      </c>
    </row>
    <row r="741" spans="1:4">
      <c r="A741" s="41">
        <v>46010</v>
      </c>
      <c r="B741" t="s">
        <v>506</v>
      </c>
      <c r="D741">
        <v>50277</v>
      </c>
    </row>
    <row r="742" spans="1:4">
      <c r="A742" s="41">
        <v>46010</v>
      </c>
      <c r="B742" t="s">
        <v>508</v>
      </c>
      <c r="D742">
        <v>41469</v>
      </c>
    </row>
    <row r="743" spans="1:4">
      <c r="A743" s="41">
        <v>46010</v>
      </c>
      <c r="B743" t="s">
        <v>518</v>
      </c>
      <c r="D743">
        <v>62651</v>
      </c>
    </row>
    <row r="744" spans="1:4">
      <c r="A744" s="41">
        <v>46010</v>
      </c>
      <c r="B744" t="s">
        <v>526</v>
      </c>
      <c r="D744">
        <v>51610</v>
      </c>
    </row>
    <row r="745" spans="1:4">
      <c r="A745" s="41">
        <v>46010</v>
      </c>
      <c r="B745" t="s">
        <v>528</v>
      </c>
      <c r="D745">
        <v>57455</v>
      </c>
    </row>
    <row r="746" spans="1:4">
      <c r="A746" s="41">
        <v>46010</v>
      </c>
      <c r="B746" t="s">
        <v>537</v>
      </c>
      <c r="D746">
        <v>82705</v>
      </c>
    </row>
    <row r="747" spans="1:4">
      <c r="A747" s="41">
        <v>46010</v>
      </c>
      <c r="B747" t="s">
        <v>542</v>
      </c>
      <c r="D747">
        <v>73424</v>
      </c>
    </row>
    <row r="748" spans="1:4">
      <c r="A748" s="41">
        <v>46010</v>
      </c>
      <c r="B748" t="s">
        <v>568</v>
      </c>
      <c r="D748">
        <v>148250</v>
      </c>
    </row>
    <row r="749" spans="1:4">
      <c r="A749" s="41">
        <v>46010</v>
      </c>
      <c r="B749" t="s">
        <v>572</v>
      </c>
      <c r="D749">
        <v>139490</v>
      </c>
    </row>
    <row r="750" spans="1:4">
      <c r="A750" s="41">
        <v>46010</v>
      </c>
      <c r="B750" t="s">
        <v>575</v>
      </c>
      <c r="D750">
        <v>229602</v>
      </c>
    </row>
    <row r="751" spans="1:4">
      <c r="A751" s="41">
        <v>46010</v>
      </c>
      <c r="B751" t="s">
        <v>591</v>
      </c>
      <c r="D751">
        <v>133676</v>
      </c>
    </row>
    <row r="752" spans="1:4">
      <c r="A752" s="41">
        <v>46010</v>
      </c>
      <c r="B752" t="s">
        <v>626</v>
      </c>
      <c r="D752">
        <v>97738</v>
      </c>
    </row>
    <row r="753" spans="1:4">
      <c r="A753" s="41">
        <v>46011</v>
      </c>
      <c r="B753" t="s">
        <v>169</v>
      </c>
      <c r="C753">
        <v>9133</v>
      </c>
      <c r="D753">
        <v>193402</v>
      </c>
    </row>
    <row r="754" spans="1:4">
      <c r="A754" s="41">
        <v>46011</v>
      </c>
      <c r="B754" t="s">
        <v>173</v>
      </c>
      <c r="C754">
        <v>8402</v>
      </c>
      <c r="D754">
        <v>162016</v>
      </c>
    </row>
    <row r="755" spans="1:4">
      <c r="A755" s="41">
        <v>46011</v>
      </c>
      <c r="B755" t="s">
        <v>185</v>
      </c>
      <c r="C755">
        <v>3024</v>
      </c>
      <c r="D755">
        <v>562414</v>
      </c>
    </row>
    <row r="756" spans="1:4">
      <c r="A756" s="41">
        <v>46011</v>
      </c>
      <c r="B756" t="s">
        <v>263</v>
      </c>
      <c r="C756">
        <v>9688</v>
      </c>
    </row>
    <row r="757" spans="1:4">
      <c r="A757" s="41">
        <v>46011</v>
      </c>
      <c r="B757" t="s">
        <v>314</v>
      </c>
      <c r="C757">
        <v>27588</v>
      </c>
    </row>
    <row r="758" spans="1:4">
      <c r="A758" s="41">
        <v>46011</v>
      </c>
      <c r="B758" t="s">
        <v>321</v>
      </c>
      <c r="C758">
        <v>8892</v>
      </c>
    </row>
    <row r="759" spans="1:4">
      <c r="A759" s="41">
        <v>46011</v>
      </c>
      <c r="B759" t="s">
        <v>324</v>
      </c>
      <c r="C759">
        <v>6948</v>
      </c>
    </row>
    <row r="760" spans="1:4">
      <c r="A760" s="41">
        <v>46011</v>
      </c>
      <c r="B760" t="s">
        <v>354</v>
      </c>
      <c r="C760">
        <v>6948</v>
      </c>
    </row>
    <row r="761" spans="1:4">
      <c r="A761" s="41">
        <v>46011</v>
      </c>
      <c r="B761" t="s">
        <v>356</v>
      </c>
      <c r="C761">
        <v>15435</v>
      </c>
    </row>
    <row r="762" spans="1:4">
      <c r="A762" s="41">
        <v>46011</v>
      </c>
      <c r="B762" t="s">
        <v>396</v>
      </c>
      <c r="C762">
        <v>8509</v>
      </c>
    </row>
    <row r="763" spans="1:4">
      <c r="A763" s="41">
        <v>46011</v>
      </c>
      <c r="B763" t="s">
        <v>408</v>
      </c>
      <c r="C763">
        <v>4236</v>
      </c>
    </row>
    <row r="764" spans="1:4">
      <c r="A764" s="41">
        <v>46011</v>
      </c>
      <c r="B764" t="s">
        <v>414</v>
      </c>
      <c r="C764">
        <v>10116</v>
      </c>
    </row>
    <row r="765" spans="1:4">
      <c r="A765" s="41">
        <v>46011</v>
      </c>
      <c r="B765" t="s">
        <v>440</v>
      </c>
      <c r="C765">
        <v>1778</v>
      </c>
    </row>
    <row r="766" spans="1:4">
      <c r="A766" s="41">
        <v>46011</v>
      </c>
      <c r="B766" t="s">
        <v>499</v>
      </c>
      <c r="D766">
        <v>51810</v>
      </c>
    </row>
    <row r="767" spans="1:4">
      <c r="A767" s="41">
        <v>46011</v>
      </c>
      <c r="B767" t="s">
        <v>540</v>
      </c>
      <c r="D767">
        <v>56356</v>
      </c>
    </row>
    <row r="768" spans="1:4">
      <c r="A768" s="41">
        <v>46011</v>
      </c>
      <c r="B768" t="s">
        <v>542</v>
      </c>
      <c r="D768">
        <v>73738</v>
      </c>
    </row>
    <row r="769" spans="1:4">
      <c r="A769" s="41">
        <v>46011</v>
      </c>
      <c r="B769" t="s">
        <v>598</v>
      </c>
      <c r="D769">
        <v>127848</v>
      </c>
    </row>
    <row r="770" spans="1:4">
      <c r="A770" s="41">
        <v>46011</v>
      </c>
      <c r="B770" t="s">
        <v>616</v>
      </c>
      <c r="D770">
        <v>109190</v>
      </c>
    </row>
    <row r="771" spans="1:4">
      <c r="A771" s="41">
        <v>46011</v>
      </c>
      <c r="B771" t="s">
        <v>618</v>
      </c>
      <c r="D771">
        <v>102989</v>
      </c>
    </row>
    <row r="772" spans="1:4">
      <c r="A772" s="41">
        <v>46011</v>
      </c>
      <c r="B772" t="s">
        <v>628</v>
      </c>
      <c r="D772">
        <v>83184</v>
      </c>
    </row>
    <row r="773" spans="1:4">
      <c r="A773" s="41">
        <v>46011</v>
      </c>
      <c r="B773" t="s">
        <v>637</v>
      </c>
      <c r="D773">
        <v>96458</v>
      </c>
    </row>
    <row r="774" spans="1:4">
      <c r="A774" s="41">
        <v>46013</v>
      </c>
      <c r="B774" t="s">
        <v>19</v>
      </c>
      <c r="C774">
        <v>9863</v>
      </c>
      <c r="D774">
        <v>246543</v>
      </c>
    </row>
    <row r="775" spans="1:4">
      <c r="A775" s="41">
        <v>46013</v>
      </c>
      <c r="B775" t="s">
        <v>29</v>
      </c>
      <c r="C775">
        <v>10406</v>
      </c>
      <c r="D775">
        <v>248446</v>
      </c>
    </row>
    <row r="776" spans="1:4">
      <c r="A776" s="41">
        <v>46013</v>
      </c>
      <c r="B776" t="s">
        <v>29</v>
      </c>
      <c r="C776">
        <v>10414</v>
      </c>
      <c r="D776">
        <v>248747</v>
      </c>
    </row>
    <row r="777" spans="1:4">
      <c r="A777" s="41">
        <v>46013</v>
      </c>
      <c r="B777" t="s">
        <v>32</v>
      </c>
      <c r="C777">
        <v>10252</v>
      </c>
      <c r="D777">
        <v>245706</v>
      </c>
    </row>
    <row r="778" spans="1:4">
      <c r="A778" s="41">
        <v>46013</v>
      </c>
      <c r="B778" t="s">
        <v>32</v>
      </c>
      <c r="C778">
        <v>10259</v>
      </c>
      <c r="D778">
        <v>246018</v>
      </c>
    </row>
    <row r="779" spans="1:4">
      <c r="A779" s="41">
        <v>46013</v>
      </c>
      <c r="B779" t="s">
        <v>50</v>
      </c>
      <c r="D779">
        <v>269452</v>
      </c>
    </row>
    <row r="780" spans="1:4">
      <c r="A780" s="41">
        <v>46013</v>
      </c>
      <c r="B780" t="s">
        <v>65</v>
      </c>
      <c r="C780">
        <v>3691</v>
      </c>
    </row>
    <row r="781" spans="1:4">
      <c r="A781" s="41">
        <v>46013</v>
      </c>
      <c r="B781" t="s">
        <v>86</v>
      </c>
      <c r="C781">
        <v>3144</v>
      </c>
      <c r="D781">
        <v>75873</v>
      </c>
    </row>
    <row r="782" spans="1:4">
      <c r="A782" s="41">
        <v>46013</v>
      </c>
      <c r="B782" t="s">
        <v>89</v>
      </c>
      <c r="C782">
        <v>3181</v>
      </c>
      <c r="D782">
        <v>82014</v>
      </c>
    </row>
    <row r="783" spans="1:4">
      <c r="A783" s="41">
        <v>46013</v>
      </c>
      <c r="B783" t="s">
        <v>89</v>
      </c>
      <c r="C783">
        <v>3188</v>
      </c>
      <c r="D783">
        <v>82184</v>
      </c>
    </row>
    <row r="784" spans="1:4">
      <c r="A784" s="41">
        <v>46013</v>
      </c>
      <c r="B784" t="s">
        <v>91</v>
      </c>
      <c r="C784">
        <v>3314</v>
      </c>
      <c r="D784">
        <v>87054</v>
      </c>
    </row>
    <row r="785" spans="1:4">
      <c r="A785" s="41">
        <v>46013</v>
      </c>
      <c r="B785" t="s">
        <v>93</v>
      </c>
      <c r="C785">
        <v>3396</v>
      </c>
      <c r="D785">
        <v>94077</v>
      </c>
    </row>
    <row r="786" spans="1:4">
      <c r="A786" s="41">
        <v>46013</v>
      </c>
      <c r="B786" t="s">
        <v>93</v>
      </c>
      <c r="C786">
        <v>3396</v>
      </c>
      <c r="D786">
        <v>94065</v>
      </c>
    </row>
    <row r="787" spans="1:4">
      <c r="A787" s="41">
        <v>46013</v>
      </c>
      <c r="B787" t="s">
        <v>97</v>
      </c>
      <c r="D787">
        <v>63241</v>
      </c>
    </row>
    <row r="788" spans="1:4">
      <c r="A788" s="41">
        <v>46013</v>
      </c>
      <c r="B788" t="s">
        <v>121</v>
      </c>
      <c r="C788">
        <v>7316</v>
      </c>
      <c r="D788">
        <v>184160</v>
      </c>
    </row>
    <row r="789" spans="1:4">
      <c r="A789" s="41">
        <v>46013</v>
      </c>
      <c r="B789" t="s">
        <v>121</v>
      </c>
      <c r="C789">
        <v>7324</v>
      </c>
      <c r="D789">
        <v>184479</v>
      </c>
    </row>
    <row r="790" spans="1:4">
      <c r="A790" s="41">
        <v>46013</v>
      </c>
      <c r="B790" t="s">
        <v>152</v>
      </c>
      <c r="D790">
        <v>260175</v>
      </c>
    </row>
    <row r="791" spans="1:4">
      <c r="A791" s="41">
        <v>46013</v>
      </c>
      <c r="B791" t="s">
        <v>169</v>
      </c>
      <c r="C791">
        <v>9135</v>
      </c>
      <c r="D791">
        <v>193457</v>
      </c>
    </row>
    <row r="792" spans="1:4">
      <c r="A792" s="41">
        <v>46013</v>
      </c>
      <c r="B792" t="s">
        <v>171</v>
      </c>
      <c r="C792">
        <v>1622</v>
      </c>
      <c r="D792">
        <v>195501</v>
      </c>
    </row>
    <row r="793" spans="1:4">
      <c r="A793" s="41">
        <v>46013</v>
      </c>
      <c r="B793" t="s">
        <v>175</v>
      </c>
      <c r="C793">
        <v>8931</v>
      </c>
      <c r="D793">
        <v>202455</v>
      </c>
    </row>
    <row r="794" spans="1:4">
      <c r="A794" s="41">
        <v>46013</v>
      </c>
      <c r="B794" t="s">
        <v>187</v>
      </c>
      <c r="D794">
        <v>530027</v>
      </c>
    </row>
    <row r="795" spans="1:4">
      <c r="A795" s="41">
        <v>46013</v>
      </c>
      <c r="B795" t="s">
        <v>207</v>
      </c>
      <c r="C795">
        <v>1491</v>
      </c>
    </row>
    <row r="796" spans="1:4">
      <c r="A796" s="41">
        <v>46013</v>
      </c>
      <c r="B796" t="s">
        <v>254</v>
      </c>
      <c r="C796">
        <v>15358</v>
      </c>
    </row>
    <row r="797" spans="1:4">
      <c r="A797" s="41">
        <v>46013</v>
      </c>
      <c r="B797" t="s">
        <v>258</v>
      </c>
      <c r="C797">
        <v>2308</v>
      </c>
    </row>
    <row r="798" spans="1:4">
      <c r="A798" s="41">
        <v>46013</v>
      </c>
      <c r="B798" t="s">
        <v>268</v>
      </c>
      <c r="C798">
        <v>5400</v>
      </c>
    </row>
    <row r="799" spans="1:4">
      <c r="A799" s="41">
        <v>46013</v>
      </c>
      <c r="B799" t="s">
        <v>288</v>
      </c>
      <c r="C799">
        <v>1020</v>
      </c>
    </row>
    <row r="800" spans="1:4">
      <c r="A800" s="41">
        <v>46013</v>
      </c>
      <c r="B800" t="s">
        <v>305</v>
      </c>
      <c r="C800">
        <v>16718</v>
      </c>
    </row>
    <row r="801" spans="1:4">
      <c r="A801" s="41">
        <v>46013</v>
      </c>
      <c r="B801" t="s">
        <v>314</v>
      </c>
      <c r="C801">
        <v>27595</v>
      </c>
    </row>
    <row r="802" spans="1:4">
      <c r="A802" s="41">
        <v>46013</v>
      </c>
      <c r="B802" t="s">
        <v>359</v>
      </c>
      <c r="C802">
        <v>13536</v>
      </c>
    </row>
    <row r="803" spans="1:4">
      <c r="A803" s="41">
        <v>46013</v>
      </c>
      <c r="B803" t="s">
        <v>378</v>
      </c>
      <c r="C803">
        <v>3570</v>
      </c>
    </row>
    <row r="804" spans="1:4">
      <c r="A804" s="41">
        <v>46013</v>
      </c>
      <c r="B804" t="s">
        <v>417</v>
      </c>
      <c r="C804">
        <v>7942</v>
      </c>
    </row>
    <row r="805" spans="1:4">
      <c r="A805" s="41">
        <v>46013</v>
      </c>
      <c r="B805" t="s">
        <v>424</v>
      </c>
      <c r="C805">
        <v>472</v>
      </c>
    </row>
    <row r="806" spans="1:4">
      <c r="A806" s="41">
        <v>46013</v>
      </c>
      <c r="B806" t="s">
        <v>443</v>
      </c>
      <c r="C806">
        <v>2107</v>
      </c>
    </row>
    <row r="807" spans="1:4">
      <c r="A807" s="41">
        <v>46013</v>
      </c>
      <c r="B807" t="s">
        <v>458</v>
      </c>
      <c r="D807">
        <v>90258</v>
      </c>
    </row>
    <row r="808" spans="1:4">
      <c r="A808" s="41">
        <v>46013</v>
      </c>
      <c r="B808" t="s">
        <v>465</v>
      </c>
      <c r="D808">
        <v>90295</v>
      </c>
    </row>
    <row r="809" spans="1:4">
      <c r="A809" s="41">
        <v>46013</v>
      </c>
      <c r="B809" t="s">
        <v>488</v>
      </c>
      <c r="D809">
        <v>92641</v>
      </c>
    </row>
    <row r="810" spans="1:4">
      <c r="A810" s="41">
        <v>46013</v>
      </c>
      <c r="B810" t="s">
        <v>490</v>
      </c>
      <c r="D810">
        <v>69164</v>
      </c>
    </row>
    <row r="811" spans="1:4">
      <c r="A811" s="41">
        <v>46013</v>
      </c>
      <c r="B811" t="s">
        <v>493</v>
      </c>
      <c r="D811">
        <v>51396</v>
      </c>
    </row>
    <row r="812" spans="1:4">
      <c r="A812" s="41">
        <v>46013</v>
      </c>
      <c r="B812" t="s">
        <v>501</v>
      </c>
      <c r="D812">
        <v>73126</v>
      </c>
    </row>
    <row r="813" spans="1:4">
      <c r="A813" s="41">
        <v>46013</v>
      </c>
      <c r="B813" t="s">
        <v>506</v>
      </c>
      <c r="D813">
        <v>50655</v>
      </c>
    </row>
    <row r="814" spans="1:4">
      <c r="A814" s="41">
        <v>46013</v>
      </c>
      <c r="B814" t="s">
        <v>508</v>
      </c>
      <c r="D814">
        <v>41966</v>
      </c>
    </row>
    <row r="815" spans="1:4">
      <c r="A815" s="41">
        <v>46013</v>
      </c>
      <c r="B815" t="s">
        <v>518</v>
      </c>
      <c r="D815">
        <v>65486</v>
      </c>
    </row>
    <row r="816" spans="1:4">
      <c r="A816" s="41">
        <v>46013</v>
      </c>
      <c r="B816" t="s">
        <v>528</v>
      </c>
      <c r="D816">
        <v>57965</v>
      </c>
    </row>
    <row r="817" spans="1:4">
      <c r="A817" s="41">
        <v>46013</v>
      </c>
      <c r="B817" t="s">
        <v>535</v>
      </c>
      <c r="D817">
        <v>54414</v>
      </c>
    </row>
    <row r="818" spans="1:4">
      <c r="A818" s="41">
        <v>46013</v>
      </c>
      <c r="B818" t="s">
        <v>540</v>
      </c>
      <c r="D818">
        <v>56613</v>
      </c>
    </row>
    <row r="819" spans="1:4">
      <c r="A819" s="41">
        <v>46013</v>
      </c>
      <c r="B819" t="s">
        <v>542</v>
      </c>
      <c r="D819">
        <v>74536</v>
      </c>
    </row>
    <row r="820" spans="1:4">
      <c r="A820" s="41">
        <v>46013</v>
      </c>
      <c r="B820" t="s">
        <v>551</v>
      </c>
      <c r="D820">
        <v>9100</v>
      </c>
    </row>
    <row r="821" spans="1:4">
      <c r="A821" s="41">
        <v>46013</v>
      </c>
      <c r="B821" t="s">
        <v>572</v>
      </c>
      <c r="D821">
        <v>140345</v>
      </c>
    </row>
    <row r="822" spans="1:4">
      <c r="A822" s="41">
        <v>46013</v>
      </c>
      <c r="B822" t="s">
        <v>575</v>
      </c>
      <c r="D822">
        <v>230182</v>
      </c>
    </row>
    <row r="823" spans="1:4">
      <c r="A823" s="41">
        <v>46013</v>
      </c>
      <c r="B823" t="s">
        <v>577</v>
      </c>
      <c r="D823">
        <v>216159</v>
      </c>
    </row>
    <row r="824" spans="1:4">
      <c r="A824" s="41">
        <v>46013</v>
      </c>
      <c r="B824" t="s">
        <v>591</v>
      </c>
      <c r="D824">
        <v>134062</v>
      </c>
    </row>
    <row r="825" spans="1:4">
      <c r="A825" s="41">
        <v>46013</v>
      </c>
      <c r="B825" t="s">
        <v>608</v>
      </c>
      <c r="D825">
        <v>292158</v>
      </c>
    </row>
    <row r="826" spans="1:4">
      <c r="A826" s="41">
        <v>46013</v>
      </c>
      <c r="B826" t="s">
        <v>614</v>
      </c>
      <c r="D826">
        <v>137970</v>
      </c>
    </row>
    <row r="827" spans="1:4">
      <c r="A827" s="41">
        <v>46013</v>
      </c>
      <c r="B827" t="s">
        <v>616</v>
      </c>
      <c r="D827">
        <v>110111</v>
      </c>
    </row>
    <row r="828" spans="1:4">
      <c r="A828" s="41">
        <v>46013</v>
      </c>
      <c r="B828" t="s">
        <v>622</v>
      </c>
      <c r="D828">
        <v>81324</v>
      </c>
    </row>
    <row r="829" spans="1:4">
      <c r="A829" s="41">
        <v>46013</v>
      </c>
      <c r="B829" t="s">
        <v>622</v>
      </c>
      <c r="D829">
        <v>103690</v>
      </c>
    </row>
    <row r="830" spans="1:4">
      <c r="A830" s="41">
        <v>46013</v>
      </c>
      <c r="B830" t="s">
        <v>626</v>
      </c>
      <c r="D830">
        <v>98101</v>
      </c>
    </row>
    <row r="831" spans="1:4">
      <c r="A831" s="41">
        <v>46013</v>
      </c>
      <c r="B831" t="s">
        <v>634</v>
      </c>
      <c r="D831">
        <v>96673</v>
      </c>
    </row>
    <row r="832" spans="1:4">
      <c r="A832" s="41">
        <v>46013</v>
      </c>
      <c r="B832" t="s">
        <v>636</v>
      </c>
      <c r="D832">
        <v>105907</v>
      </c>
    </row>
    <row r="833" spans="1:4">
      <c r="A833" s="41">
        <v>46014</v>
      </c>
      <c r="B833" t="s">
        <v>29</v>
      </c>
      <c r="C833">
        <v>10422</v>
      </c>
      <c r="D833">
        <v>249122</v>
      </c>
    </row>
    <row r="834" spans="1:4">
      <c r="A834" s="41">
        <v>46014</v>
      </c>
      <c r="B834" t="s">
        <v>32</v>
      </c>
      <c r="C834">
        <v>10269</v>
      </c>
      <c r="D834">
        <v>246392</v>
      </c>
    </row>
    <row r="835" spans="1:4">
      <c r="A835" s="41">
        <v>46014</v>
      </c>
      <c r="B835" t="s">
        <v>35</v>
      </c>
      <c r="C835">
        <v>8223</v>
      </c>
      <c r="D835">
        <v>165062</v>
      </c>
    </row>
    <row r="836" spans="1:4">
      <c r="A836" s="41">
        <v>46014</v>
      </c>
      <c r="B836" t="s">
        <v>65</v>
      </c>
      <c r="C836">
        <v>3695</v>
      </c>
    </row>
    <row r="837" spans="1:4">
      <c r="A837" s="41">
        <v>46014</v>
      </c>
      <c r="B837" t="s">
        <v>78</v>
      </c>
      <c r="D837">
        <v>530670</v>
      </c>
    </row>
    <row r="838" spans="1:4">
      <c r="A838" s="41">
        <v>46014</v>
      </c>
      <c r="B838" t="s">
        <v>81</v>
      </c>
      <c r="C838">
        <v>2463</v>
      </c>
    </row>
    <row r="839" spans="1:4">
      <c r="A839" s="41">
        <v>46014</v>
      </c>
      <c r="B839" t="s">
        <v>86</v>
      </c>
      <c r="C839">
        <v>3158</v>
      </c>
      <c r="D839">
        <v>76233</v>
      </c>
    </row>
    <row r="840" spans="1:4">
      <c r="A840" s="41">
        <v>46014</v>
      </c>
      <c r="B840" t="s">
        <v>89</v>
      </c>
      <c r="C840">
        <v>3197</v>
      </c>
      <c r="D840">
        <v>82382</v>
      </c>
    </row>
    <row r="841" spans="1:4">
      <c r="A841" s="41">
        <v>46014</v>
      </c>
      <c r="B841" t="s">
        <v>91</v>
      </c>
      <c r="D841">
        <v>34826</v>
      </c>
    </row>
    <row r="842" spans="1:4">
      <c r="A842" s="41">
        <v>46014</v>
      </c>
      <c r="B842" t="s">
        <v>121</v>
      </c>
      <c r="C842">
        <v>7333</v>
      </c>
      <c r="D842">
        <v>184845</v>
      </c>
    </row>
    <row r="843" spans="1:4">
      <c r="A843" s="41">
        <v>46014</v>
      </c>
      <c r="B843" t="s">
        <v>152</v>
      </c>
      <c r="D843">
        <v>260210</v>
      </c>
    </row>
    <row r="844" spans="1:4">
      <c r="A844" s="81">
        <v>43977</v>
      </c>
      <c r="B844" t="s">
        <v>1193</v>
      </c>
      <c r="D844">
        <v>171044</v>
      </c>
    </row>
    <row r="845" spans="1:4">
      <c r="A845" s="41">
        <v>46014</v>
      </c>
      <c r="B845" t="s">
        <v>171</v>
      </c>
      <c r="C845">
        <v>1653</v>
      </c>
      <c r="D845">
        <v>195757</v>
      </c>
    </row>
    <row r="846" spans="1:4">
      <c r="A846" s="41">
        <v>46014</v>
      </c>
      <c r="B846" t="s">
        <v>173</v>
      </c>
      <c r="C846">
        <v>8418</v>
      </c>
      <c r="D846">
        <v>162209</v>
      </c>
    </row>
    <row r="847" spans="1:4">
      <c r="A847" s="41">
        <v>46014</v>
      </c>
      <c r="B847" t="s">
        <v>210</v>
      </c>
      <c r="C847">
        <v>139</v>
      </c>
    </row>
    <row r="848" spans="1:4">
      <c r="A848" s="41">
        <v>46014</v>
      </c>
      <c r="B848" t="s">
        <v>254</v>
      </c>
      <c r="C848">
        <v>15393</v>
      </c>
    </row>
    <row r="849" spans="1:4">
      <c r="A849" s="41">
        <v>46014</v>
      </c>
      <c r="B849" t="s">
        <v>263</v>
      </c>
      <c r="C849">
        <v>9701</v>
      </c>
    </row>
    <row r="850" spans="1:4">
      <c r="A850" s="41">
        <v>46014</v>
      </c>
      <c r="B850" t="s">
        <v>268</v>
      </c>
      <c r="C850">
        <v>5405</v>
      </c>
    </row>
    <row r="851" spans="1:4">
      <c r="A851" s="41">
        <v>46014</v>
      </c>
      <c r="B851" t="s">
        <v>275</v>
      </c>
      <c r="C851">
        <v>1269</v>
      </c>
    </row>
    <row r="852" spans="1:4">
      <c r="A852" s="41">
        <v>46014</v>
      </c>
      <c r="B852" t="s">
        <v>288</v>
      </c>
      <c r="C852">
        <v>1031</v>
      </c>
    </row>
    <row r="853" spans="1:4">
      <c r="A853" s="41">
        <v>46014</v>
      </c>
      <c r="B853" t="s">
        <v>333</v>
      </c>
      <c r="C853">
        <v>11758</v>
      </c>
    </row>
    <row r="854" spans="1:4">
      <c r="A854" s="41">
        <v>46014</v>
      </c>
      <c r="B854" t="s">
        <v>356</v>
      </c>
      <c r="C854">
        <v>15444</v>
      </c>
    </row>
    <row r="855" spans="1:4">
      <c r="A855" s="41">
        <v>46014</v>
      </c>
      <c r="B855" t="s">
        <v>378</v>
      </c>
      <c r="C855">
        <v>3574</v>
      </c>
    </row>
    <row r="856" spans="1:4">
      <c r="A856" s="41">
        <v>46014</v>
      </c>
      <c r="B856" t="s">
        <v>379</v>
      </c>
      <c r="C856">
        <v>3371</v>
      </c>
    </row>
    <row r="857" spans="1:4">
      <c r="A857" s="41">
        <v>46014</v>
      </c>
      <c r="B857" t="s">
        <v>417</v>
      </c>
      <c r="C857">
        <v>7950</v>
      </c>
    </row>
    <row r="858" spans="1:4">
      <c r="A858" s="41">
        <v>46014</v>
      </c>
      <c r="B858" t="s">
        <v>424</v>
      </c>
      <c r="C858">
        <v>472</v>
      </c>
    </row>
    <row r="859" spans="1:4">
      <c r="A859" s="41">
        <v>46014</v>
      </c>
      <c r="B859" t="s">
        <v>431</v>
      </c>
      <c r="C859">
        <v>9789</v>
      </c>
    </row>
    <row r="860" spans="1:4">
      <c r="A860" s="41">
        <v>46014</v>
      </c>
      <c r="B860" t="s">
        <v>443</v>
      </c>
      <c r="C860">
        <v>2111</v>
      </c>
    </row>
    <row r="861" spans="1:4">
      <c r="A861" s="41">
        <v>46014</v>
      </c>
      <c r="B861" t="s">
        <v>447</v>
      </c>
      <c r="C861">
        <v>1525</v>
      </c>
    </row>
    <row r="862" spans="1:4">
      <c r="A862" s="41">
        <v>46014</v>
      </c>
      <c r="B862" t="s">
        <v>456</v>
      </c>
      <c r="C862">
        <v>1878</v>
      </c>
    </row>
    <row r="863" spans="1:4">
      <c r="A863" s="41">
        <v>46014</v>
      </c>
      <c r="B863" t="s">
        <v>481</v>
      </c>
      <c r="D863">
        <v>70188</v>
      </c>
    </row>
    <row r="864" spans="1:4">
      <c r="A864" s="41">
        <v>46014</v>
      </c>
      <c r="B864" t="s">
        <v>485</v>
      </c>
      <c r="D864">
        <v>70251</v>
      </c>
    </row>
    <row r="865" spans="1:4">
      <c r="A865" s="41">
        <v>46014</v>
      </c>
      <c r="B865" t="s">
        <v>488</v>
      </c>
      <c r="D865">
        <v>93252</v>
      </c>
    </row>
    <row r="866" spans="1:4">
      <c r="A866" s="41">
        <v>46014</v>
      </c>
      <c r="B866" t="s">
        <v>490</v>
      </c>
      <c r="D866">
        <v>69886</v>
      </c>
    </row>
    <row r="867" spans="1:4">
      <c r="A867" s="41">
        <v>46014</v>
      </c>
      <c r="B867" t="s">
        <v>501</v>
      </c>
      <c r="D867">
        <v>73642</v>
      </c>
    </row>
    <row r="868" spans="1:4">
      <c r="A868" s="41">
        <v>46014</v>
      </c>
      <c r="B868" t="s">
        <v>501</v>
      </c>
      <c r="D868">
        <v>50300</v>
      </c>
    </row>
    <row r="869" spans="1:4">
      <c r="A869" s="41">
        <v>46014</v>
      </c>
      <c r="B869" t="s">
        <v>510</v>
      </c>
      <c r="D869">
        <v>37316</v>
      </c>
    </row>
    <row r="870" spans="1:4">
      <c r="A870" s="41">
        <v>46014</v>
      </c>
      <c r="B870" t="s">
        <v>518</v>
      </c>
      <c r="D870">
        <v>64000</v>
      </c>
    </row>
    <row r="871" spans="1:4">
      <c r="A871" s="41">
        <v>46014</v>
      </c>
      <c r="B871" t="s">
        <v>520</v>
      </c>
      <c r="D871">
        <v>42830</v>
      </c>
    </row>
    <row r="872" spans="1:4">
      <c r="A872" s="41">
        <v>46014</v>
      </c>
      <c r="B872" t="s">
        <v>520</v>
      </c>
      <c r="D872">
        <v>43059</v>
      </c>
    </row>
    <row r="873" spans="1:4">
      <c r="A873" s="41">
        <v>46014</v>
      </c>
      <c r="B873" t="s">
        <v>535</v>
      </c>
      <c r="D873">
        <v>52300</v>
      </c>
    </row>
    <row r="874" spans="1:4">
      <c r="A874" s="41">
        <v>46014</v>
      </c>
      <c r="B874" t="s">
        <v>535</v>
      </c>
      <c r="D874">
        <v>52160</v>
      </c>
    </row>
    <row r="875" spans="1:4">
      <c r="A875" s="41">
        <v>46014</v>
      </c>
      <c r="B875" t="s">
        <v>537</v>
      </c>
      <c r="D875">
        <v>83789</v>
      </c>
    </row>
    <row r="876" spans="1:4">
      <c r="A876" s="41">
        <v>46014</v>
      </c>
      <c r="B876" t="s">
        <v>539</v>
      </c>
      <c r="D876">
        <v>52162</v>
      </c>
    </row>
    <row r="877" spans="1:4">
      <c r="A877" s="41">
        <v>46014</v>
      </c>
      <c r="B877" t="s">
        <v>549</v>
      </c>
      <c r="D877">
        <v>4627</v>
      </c>
    </row>
    <row r="878" spans="1:4">
      <c r="A878" s="41">
        <v>46014</v>
      </c>
      <c r="B878" t="s">
        <v>551</v>
      </c>
      <c r="D878">
        <v>9195</v>
      </c>
    </row>
    <row r="879" spans="1:4">
      <c r="A879" s="41">
        <v>46014</v>
      </c>
      <c r="B879" t="s">
        <v>596</v>
      </c>
      <c r="D879">
        <v>129266</v>
      </c>
    </row>
    <row r="880" spans="1:4">
      <c r="A880" s="41">
        <v>46014</v>
      </c>
      <c r="B880" t="s">
        <v>598</v>
      </c>
      <c r="D880">
        <v>128183</v>
      </c>
    </row>
    <row r="881" spans="1:4">
      <c r="A881" s="41">
        <v>46014</v>
      </c>
      <c r="B881" t="s">
        <v>611</v>
      </c>
      <c r="D881">
        <v>251732</v>
      </c>
    </row>
    <row r="882" spans="1:4">
      <c r="A882" s="41">
        <v>46014</v>
      </c>
      <c r="B882" t="s">
        <v>620</v>
      </c>
      <c r="D882">
        <v>115962</v>
      </c>
    </row>
    <row r="883" spans="1:4">
      <c r="A883" s="41">
        <v>46014</v>
      </c>
      <c r="B883" t="s">
        <v>628</v>
      </c>
      <c r="D883">
        <v>83616</v>
      </c>
    </row>
    <row r="884" spans="1:4">
      <c r="A884" s="41">
        <v>46014</v>
      </c>
      <c r="B884" t="s">
        <v>630</v>
      </c>
      <c r="D884">
        <v>132474</v>
      </c>
    </row>
    <row r="885" spans="1:4">
      <c r="A885" s="41">
        <v>46015</v>
      </c>
      <c r="B885" t="s">
        <v>44</v>
      </c>
      <c r="D885">
        <v>186587</v>
      </c>
    </row>
    <row r="886" spans="1:4">
      <c r="A886" s="41">
        <v>46015</v>
      </c>
      <c r="B886" t="s">
        <v>138</v>
      </c>
      <c r="D886">
        <v>283879</v>
      </c>
    </row>
    <row r="887" spans="1:4">
      <c r="A887" s="41">
        <v>46015</v>
      </c>
      <c r="B887" t="s">
        <v>177</v>
      </c>
      <c r="D887">
        <v>185405</v>
      </c>
    </row>
    <row r="888" spans="1:4">
      <c r="A888" s="41">
        <v>46015</v>
      </c>
      <c r="B888" t="s">
        <v>278</v>
      </c>
      <c r="C888">
        <v>760</v>
      </c>
    </row>
    <row r="889" spans="1:4">
      <c r="A889" s="41">
        <v>46015</v>
      </c>
      <c r="B889" t="s">
        <v>288</v>
      </c>
      <c r="C889">
        <v>1038</v>
      </c>
    </row>
    <row r="890" spans="1:4">
      <c r="A890" s="41">
        <v>46015</v>
      </c>
      <c r="B890" t="s">
        <v>306</v>
      </c>
      <c r="C890">
        <v>21326</v>
      </c>
    </row>
    <row r="891" spans="1:4">
      <c r="A891" s="41">
        <v>46015</v>
      </c>
      <c r="B891" t="s">
        <v>465</v>
      </c>
      <c r="D891">
        <v>91000</v>
      </c>
    </row>
    <row r="892" spans="1:4">
      <c r="A892" s="41">
        <v>46015</v>
      </c>
      <c r="B892" t="s">
        <v>493</v>
      </c>
      <c r="D892">
        <v>51860</v>
      </c>
    </row>
    <row r="893" spans="1:4">
      <c r="A893" s="41">
        <v>46015</v>
      </c>
      <c r="B893" t="s">
        <v>499</v>
      </c>
      <c r="D893">
        <v>52858</v>
      </c>
    </row>
    <row r="894" spans="1:4">
      <c r="A894" s="41">
        <v>46015</v>
      </c>
      <c r="B894" t="s">
        <v>501</v>
      </c>
      <c r="D894">
        <v>74219</v>
      </c>
    </row>
    <row r="895" spans="1:4">
      <c r="A895" s="41">
        <v>46015</v>
      </c>
      <c r="B895" t="s">
        <v>506</v>
      </c>
      <c r="D895">
        <v>51099</v>
      </c>
    </row>
    <row r="896" spans="1:4">
      <c r="A896" s="41">
        <v>46015</v>
      </c>
      <c r="B896" t="s">
        <v>514</v>
      </c>
      <c r="D896">
        <v>53134</v>
      </c>
    </row>
    <row r="897" spans="1:4">
      <c r="A897" s="41">
        <v>46015</v>
      </c>
      <c r="B897" t="s">
        <v>533</v>
      </c>
      <c r="D897">
        <v>65138</v>
      </c>
    </row>
    <row r="898" spans="1:4">
      <c r="A898" s="41">
        <v>46015</v>
      </c>
      <c r="B898" t="s">
        <v>542</v>
      </c>
      <c r="D898">
        <v>75005</v>
      </c>
    </row>
    <row r="899" spans="1:4">
      <c r="A899" s="41">
        <v>46015</v>
      </c>
      <c r="B899" t="s">
        <v>542</v>
      </c>
      <c r="D899">
        <v>75106</v>
      </c>
    </row>
    <row r="900" spans="1:4">
      <c r="A900" s="41">
        <v>46015</v>
      </c>
      <c r="B900" t="s">
        <v>568</v>
      </c>
      <c r="D900">
        <v>148933</v>
      </c>
    </row>
    <row r="901" spans="1:4">
      <c r="A901" s="41">
        <v>46015</v>
      </c>
      <c r="B901" t="s">
        <v>572</v>
      </c>
      <c r="D901">
        <v>140552</v>
      </c>
    </row>
    <row r="902" spans="1:4">
      <c r="A902" s="41">
        <v>46015</v>
      </c>
      <c r="B902" t="s">
        <v>575</v>
      </c>
      <c r="D902">
        <v>230253</v>
      </c>
    </row>
    <row r="903" spans="1:4">
      <c r="A903" s="41">
        <v>46015</v>
      </c>
      <c r="B903" t="s">
        <v>593</v>
      </c>
      <c r="D903">
        <v>154960</v>
      </c>
    </row>
    <row r="904" spans="1:4">
      <c r="A904" s="41">
        <v>46015</v>
      </c>
      <c r="B904" t="s">
        <v>596</v>
      </c>
      <c r="D904">
        <v>129492</v>
      </c>
    </row>
    <row r="905" spans="1:4">
      <c r="A905" s="41">
        <v>46015</v>
      </c>
      <c r="B905" t="s">
        <v>596</v>
      </c>
      <c r="D905">
        <v>129805</v>
      </c>
    </row>
    <row r="906" spans="1:4">
      <c r="A906" s="41">
        <v>46015</v>
      </c>
      <c r="B906" t="s">
        <v>618</v>
      </c>
      <c r="D906">
        <v>103601</v>
      </c>
    </row>
    <row r="907" spans="1:4">
      <c r="A907" s="41">
        <v>46015</v>
      </c>
      <c r="B907" t="s">
        <v>620</v>
      </c>
      <c r="D907">
        <v>116153</v>
      </c>
    </row>
    <row r="908" spans="1:4">
      <c r="A908" s="41">
        <v>46015</v>
      </c>
      <c r="B908" t="s">
        <v>622</v>
      </c>
      <c r="D908">
        <v>103868</v>
      </c>
    </row>
    <row r="909" spans="1:4">
      <c r="A909" s="41">
        <v>46015</v>
      </c>
      <c r="B909" t="s">
        <v>626</v>
      </c>
      <c r="D909">
        <v>93883</v>
      </c>
    </row>
    <row r="910" spans="1:4">
      <c r="A910" s="41">
        <v>46015</v>
      </c>
      <c r="B910" t="s">
        <v>634</v>
      </c>
      <c r="D910">
        <v>97010</v>
      </c>
    </row>
    <row r="911" spans="1:4">
      <c r="A911" s="41">
        <v>46015</v>
      </c>
      <c r="B911" t="s">
        <v>636</v>
      </c>
      <c r="D911">
        <v>110259</v>
      </c>
    </row>
    <row r="912" spans="1:4">
      <c r="A912" s="41">
        <v>46015</v>
      </c>
      <c r="B912" t="s">
        <v>637</v>
      </c>
      <c r="D912">
        <v>96800</v>
      </c>
    </row>
    <row r="913" spans="1:4">
      <c r="A913" s="41">
        <v>46020</v>
      </c>
      <c r="B913" t="s">
        <v>19</v>
      </c>
      <c r="C913">
        <v>9818</v>
      </c>
      <c r="D913">
        <v>247320</v>
      </c>
    </row>
    <row r="914" spans="1:4">
      <c r="A914" s="41">
        <v>46020</v>
      </c>
      <c r="B914" t="s">
        <v>29</v>
      </c>
      <c r="C914">
        <v>10428</v>
      </c>
      <c r="D914">
        <v>249313</v>
      </c>
    </row>
    <row r="915" spans="1:4">
      <c r="A915" s="41">
        <v>46020</v>
      </c>
      <c r="B915" t="s">
        <v>32</v>
      </c>
      <c r="C915">
        <v>10272</v>
      </c>
      <c r="D915">
        <v>246507</v>
      </c>
    </row>
    <row r="916" spans="1:4">
      <c r="A916" s="41">
        <v>46020</v>
      </c>
      <c r="B916" t="s">
        <v>35</v>
      </c>
      <c r="C916">
        <v>8232</v>
      </c>
      <c r="D916">
        <v>165309</v>
      </c>
    </row>
    <row r="917" spans="1:4">
      <c r="A917" s="41">
        <v>46020</v>
      </c>
      <c r="B917" t="s">
        <v>44</v>
      </c>
      <c r="D917">
        <v>190339</v>
      </c>
    </row>
    <row r="918" spans="1:4">
      <c r="A918" s="41">
        <v>46020</v>
      </c>
      <c r="B918" t="s">
        <v>65</v>
      </c>
      <c r="C918">
        <v>3699</v>
      </c>
    </row>
    <row r="919" spans="1:4">
      <c r="A919" s="41">
        <v>46020</v>
      </c>
      <c r="B919" t="s">
        <v>68</v>
      </c>
      <c r="D919">
        <v>328556</v>
      </c>
    </row>
    <row r="920" spans="1:4">
      <c r="A920" s="41">
        <v>46020</v>
      </c>
      <c r="B920" t="s">
        <v>78</v>
      </c>
      <c r="D920">
        <v>503090</v>
      </c>
    </row>
    <row r="921" spans="1:4">
      <c r="A921" s="41">
        <v>46020</v>
      </c>
      <c r="B921" t="s">
        <v>89</v>
      </c>
      <c r="C921">
        <v>3202</v>
      </c>
      <c r="D921">
        <v>82601</v>
      </c>
    </row>
    <row r="922" spans="1:4">
      <c r="A922" s="41">
        <v>46020</v>
      </c>
      <c r="B922" t="s">
        <v>106</v>
      </c>
      <c r="D922">
        <v>112902</v>
      </c>
    </row>
    <row r="923" spans="1:4">
      <c r="A923" s="41">
        <v>46020</v>
      </c>
      <c r="B923" t="s">
        <v>117</v>
      </c>
      <c r="D923">
        <v>80732</v>
      </c>
    </row>
    <row r="924" spans="1:4">
      <c r="A924" s="41">
        <v>46020</v>
      </c>
      <c r="B924" t="s">
        <v>121</v>
      </c>
      <c r="C924">
        <v>7327</v>
      </c>
      <c r="D924">
        <v>184958</v>
      </c>
    </row>
    <row r="925" spans="1:4">
      <c r="A925" s="41">
        <v>46020</v>
      </c>
      <c r="B925" t="s">
        <v>138</v>
      </c>
      <c r="D925">
        <v>284033</v>
      </c>
    </row>
    <row r="926" spans="1:4">
      <c r="A926" s="81">
        <v>43977</v>
      </c>
      <c r="B926" t="s">
        <v>254</v>
      </c>
      <c r="C926">
        <v>16454</v>
      </c>
    </row>
    <row r="927" spans="1:4">
      <c r="A927" s="41">
        <v>46020</v>
      </c>
      <c r="B927" t="s">
        <v>169</v>
      </c>
      <c r="C927">
        <v>9154</v>
      </c>
      <c r="D927">
        <v>193856</v>
      </c>
    </row>
    <row r="928" spans="1:4">
      <c r="A928" s="41">
        <v>46020</v>
      </c>
      <c r="B928" t="s">
        <v>171</v>
      </c>
      <c r="C928">
        <v>1642</v>
      </c>
      <c r="D928">
        <v>190973</v>
      </c>
    </row>
    <row r="929" spans="1:5">
      <c r="A929" s="41">
        <v>46020</v>
      </c>
      <c r="B929" t="s">
        <v>175</v>
      </c>
      <c r="C929">
        <v>8943</v>
      </c>
      <c r="D929">
        <v>202668</v>
      </c>
    </row>
    <row r="930" spans="1:5">
      <c r="A930" s="41">
        <v>46020</v>
      </c>
      <c r="B930" t="s">
        <v>182</v>
      </c>
      <c r="C930">
        <v>8617</v>
      </c>
      <c r="D930">
        <v>162705</v>
      </c>
    </row>
    <row r="931" spans="1:5">
      <c r="A931" s="41">
        <v>46020</v>
      </c>
      <c r="B931" t="s">
        <v>202</v>
      </c>
      <c r="C931">
        <v>375.8</v>
      </c>
      <c r="E931" t="s">
        <v>300</v>
      </c>
    </row>
    <row r="932" spans="1:5">
      <c r="A932" s="41">
        <v>46020</v>
      </c>
      <c r="B932" t="s">
        <v>234</v>
      </c>
      <c r="D932">
        <v>1884</v>
      </c>
    </row>
    <row r="933" spans="1:5">
      <c r="A933" s="41">
        <v>46020</v>
      </c>
      <c r="B933" t="s">
        <v>246</v>
      </c>
      <c r="C933">
        <v>6316</v>
      </c>
    </row>
    <row r="934" spans="1:5">
      <c r="A934" s="41">
        <v>46020</v>
      </c>
      <c r="B934" t="s">
        <v>247</v>
      </c>
      <c r="C934">
        <v>3741</v>
      </c>
    </row>
    <row r="935" spans="1:5">
      <c r="A935" s="41">
        <v>46020</v>
      </c>
      <c r="B935" t="s">
        <v>249</v>
      </c>
      <c r="C935">
        <v>4740</v>
      </c>
    </row>
    <row r="936" spans="1:5">
      <c r="A936" s="41">
        <v>46020</v>
      </c>
      <c r="B936" t="s">
        <v>258</v>
      </c>
      <c r="C936">
        <v>2325</v>
      </c>
    </row>
    <row r="937" spans="1:5">
      <c r="A937" s="41">
        <v>46020</v>
      </c>
      <c r="B937" t="s">
        <v>278</v>
      </c>
      <c r="C937">
        <v>761</v>
      </c>
    </row>
    <row r="938" spans="1:5">
      <c r="A938" s="41">
        <v>46020</v>
      </c>
      <c r="B938" t="s">
        <v>364</v>
      </c>
      <c r="C938">
        <v>16764</v>
      </c>
    </row>
    <row r="939" spans="1:5">
      <c r="A939" s="41">
        <v>46020</v>
      </c>
      <c r="B939" t="s">
        <v>414</v>
      </c>
      <c r="C939">
        <v>10129</v>
      </c>
    </row>
    <row r="940" spans="1:5">
      <c r="A940" s="41">
        <v>46020</v>
      </c>
      <c r="B940" t="s">
        <v>440</v>
      </c>
      <c r="C940">
        <v>1800</v>
      </c>
    </row>
    <row r="941" spans="1:5">
      <c r="A941" s="41">
        <v>46020</v>
      </c>
      <c r="B941" t="s">
        <v>456</v>
      </c>
      <c r="C941">
        <v>1890</v>
      </c>
    </row>
    <row r="942" spans="1:5">
      <c r="A942" s="41">
        <v>46020</v>
      </c>
      <c r="B942" t="s">
        <v>458</v>
      </c>
      <c r="D942">
        <v>90576</v>
      </c>
    </row>
    <row r="943" spans="1:5">
      <c r="A943" s="41">
        <v>46020</v>
      </c>
      <c r="B943" t="s">
        <v>465</v>
      </c>
      <c r="D943">
        <v>91133</v>
      </c>
    </row>
    <row r="944" spans="1:5">
      <c r="A944" s="41">
        <v>46020</v>
      </c>
      <c r="B944" t="s">
        <v>488</v>
      </c>
      <c r="D944">
        <v>93656</v>
      </c>
    </row>
    <row r="945" spans="1:4">
      <c r="A945" s="41">
        <v>46020</v>
      </c>
      <c r="B945" t="s">
        <v>490</v>
      </c>
      <c r="D945">
        <v>70726</v>
      </c>
    </row>
    <row r="946" spans="1:4">
      <c r="A946" s="41">
        <v>46020</v>
      </c>
      <c r="B946" t="s">
        <v>506</v>
      </c>
      <c r="D946">
        <v>51527</v>
      </c>
    </row>
    <row r="947" spans="1:4">
      <c r="A947" s="41">
        <v>46020</v>
      </c>
      <c r="B947" t="s">
        <v>508</v>
      </c>
      <c r="D947">
        <v>42544</v>
      </c>
    </row>
    <row r="948" spans="1:4">
      <c r="A948" s="41">
        <v>46020</v>
      </c>
      <c r="B948" t="s">
        <v>515</v>
      </c>
      <c r="D948">
        <v>59507</v>
      </c>
    </row>
    <row r="949" spans="1:4">
      <c r="A949" s="41">
        <v>46020</v>
      </c>
      <c r="B949" t="s">
        <v>518</v>
      </c>
      <c r="D949">
        <v>64476</v>
      </c>
    </row>
    <row r="950" spans="1:4">
      <c r="A950" s="41">
        <v>46020</v>
      </c>
      <c r="B950" t="s">
        <v>528</v>
      </c>
      <c r="D950">
        <v>58777</v>
      </c>
    </row>
    <row r="951" spans="1:4">
      <c r="A951" s="41">
        <v>46020</v>
      </c>
      <c r="B951" t="s">
        <v>535</v>
      </c>
      <c r="D951">
        <v>53543</v>
      </c>
    </row>
    <row r="952" spans="1:4">
      <c r="A952" s="41">
        <v>46020</v>
      </c>
      <c r="B952" t="s">
        <v>537</v>
      </c>
      <c r="D952">
        <v>84300</v>
      </c>
    </row>
    <row r="953" spans="1:4">
      <c r="A953" s="41">
        <v>46020</v>
      </c>
      <c r="B953" t="s">
        <v>540</v>
      </c>
      <c r="D953">
        <v>57493</v>
      </c>
    </row>
    <row r="954" spans="1:4">
      <c r="A954" s="41">
        <v>46020</v>
      </c>
      <c r="B954" t="s">
        <v>549</v>
      </c>
      <c r="D954">
        <v>5157</v>
      </c>
    </row>
    <row r="955" spans="1:4">
      <c r="A955" s="41">
        <v>46020</v>
      </c>
      <c r="B955" t="s">
        <v>572</v>
      </c>
      <c r="D955">
        <v>141266</v>
      </c>
    </row>
    <row r="956" spans="1:4">
      <c r="A956" s="41">
        <v>46020</v>
      </c>
      <c r="B956" t="s">
        <v>598</v>
      </c>
      <c r="D956">
        <v>104302</v>
      </c>
    </row>
    <row r="957" spans="1:4">
      <c r="A957" s="41">
        <v>46020</v>
      </c>
      <c r="B957" t="s">
        <v>620</v>
      </c>
      <c r="D957">
        <v>116636</v>
      </c>
    </row>
    <row r="958" spans="1:4">
      <c r="A958" s="41">
        <v>46020</v>
      </c>
      <c r="B958" t="s">
        <v>622</v>
      </c>
      <c r="D958">
        <v>104133</v>
      </c>
    </row>
    <row r="959" spans="1:4">
      <c r="A959" s="41">
        <v>46020</v>
      </c>
      <c r="B959" t="s">
        <v>634</v>
      </c>
      <c r="D959">
        <v>97189</v>
      </c>
    </row>
    <row r="960" spans="1:4">
      <c r="A960" s="41">
        <v>46021</v>
      </c>
      <c r="B960" t="s">
        <v>29</v>
      </c>
      <c r="C960">
        <v>10439</v>
      </c>
      <c r="D960">
        <v>243791</v>
      </c>
    </row>
    <row r="961" spans="1:4">
      <c r="A961" s="41">
        <v>46021</v>
      </c>
      <c r="B961" t="s">
        <v>35</v>
      </c>
      <c r="C961">
        <v>8242</v>
      </c>
      <c r="D961">
        <v>165757</v>
      </c>
    </row>
    <row r="962" spans="1:4">
      <c r="A962" s="41">
        <v>46021</v>
      </c>
      <c r="B962" t="s">
        <v>41</v>
      </c>
    </row>
    <row r="963" spans="1:4">
      <c r="A963" s="41">
        <v>46021</v>
      </c>
      <c r="B963" t="s">
        <v>44</v>
      </c>
      <c r="D963">
        <v>186662</v>
      </c>
    </row>
    <row r="964" spans="1:4">
      <c r="A964" s="41">
        <v>46021</v>
      </c>
      <c r="B964" t="s">
        <v>50</v>
      </c>
      <c r="D964">
        <v>269900</v>
      </c>
    </row>
    <row r="965" spans="1:4">
      <c r="A965" s="41">
        <v>46021</v>
      </c>
      <c r="B965" t="s">
        <v>81</v>
      </c>
      <c r="C965">
        <v>2452</v>
      </c>
    </row>
    <row r="966" spans="1:4">
      <c r="A966" s="41">
        <v>46021</v>
      </c>
      <c r="B966" t="s">
        <v>86</v>
      </c>
      <c r="C966">
        <v>3272</v>
      </c>
      <c r="D966">
        <v>76721</v>
      </c>
    </row>
    <row r="967" spans="1:4">
      <c r="A967" s="41">
        <v>46021</v>
      </c>
      <c r="B967" t="s">
        <v>89</v>
      </c>
      <c r="C967">
        <v>3214</v>
      </c>
      <c r="D967">
        <v>83061</v>
      </c>
    </row>
    <row r="968" spans="1:4">
      <c r="A968" s="41">
        <v>46021</v>
      </c>
      <c r="B968" t="s">
        <v>91</v>
      </c>
      <c r="D968">
        <v>87620</v>
      </c>
    </row>
    <row r="969" spans="1:4">
      <c r="A969" s="41">
        <v>46021</v>
      </c>
      <c r="B969" t="s">
        <v>121</v>
      </c>
      <c r="C969">
        <v>7347</v>
      </c>
      <c r="D969">
        <v>185359</v>
      </c>
    </row>
    <row r="970" spans="1:4">
      <c r="A970" s="41">
        <v>46021</v>
      </c>
      <c r="B970" t="s">
        <v>126</v>
      </c>
      <c r="D970">
        <v>57571</v>
      </c>
    </row>
    <row r="971" spans="1:4">
      <c r="A971" s="41">
        <v>46021</v>
      </c>
      <c r="B971" t="s">
        <v>145</v>
      </c>
      <c r="D971">
        <v>82865</v>
      </c>
    </row>
    <row r="972" spans="1:4">
      <c r="A972" s="41">
        <v>46021</v>
      </c>
      <c r="B972" t="s">
        <v>152</v>
      </c>
      <c r="D972">
        <v>260315</v>
      </c>
    </row>
    <row r="973" spans="1:4">
      <c r="A973" s="81">
        <v>43980</v>
      </c>
      <c r="B973" t="s">
        <v>356</v>
      </c>
      <c r="C973">
        <v>9568</v>
      </c>
    </row>
    <row r="974" spans="1:4">
      <c r="A974" s="41">
        <v>46021</v>
      </c>
      <c r="B974" t="s">
        <v>159</v>
      </c>
      <c r="D974">
        <v>138701</v>
      </c>
    </row>
    <row r="975" spans="1:4">
      <c r="A975" s="41">
        <v>46021</v>
      </c>
      <c r="B975" t="s">
        <v>171</v>
      </c>
      <c r="C975">
        <v>1649</v>
      </c>
      <c r="D975">
        <v>196311</v>
      </c>
    </row>
    <row r="976" spans="1:4">
      <c r="A976" s="41">
        <v>46021</v>
      </c>
      <c r="B976" t="s">
        <v>182</v>
      </c>
      <c r="C976">
        <v>8629</v>
      </c>
      <c r="D976">
        <v>162818</v>
      </c>
    </row>
    <row r="977" spans="1:4">
      <c r="A977" s="41">
        <v>46021</v>
      </c>
      <c r="B977" t="s">
        <v>190</v>
      </c>
      <c r="D977">
        <v>34949</v>
      </c>
    </row>
    <row r="978" spans="1:4">
      <c r="A978" s="41">
        <v>46021</v>
      </c>
      <c r="B978" t="s">
        <v>234</v>
      </c>
      <c r="C978">
        <v>1886</v>
      </c>
    </row>
    <row r="979" spans="1:4">
      <c r="A979" s="41">
        <v>46021</v>
      </c>
      <c r="B979" t="s">
        <v>246</v>
      </c>
      <c r="C979">
        <v>6319</v>
      </c>
    </row>
    <row r="980" spans="1:4">
      <c r="A980" s="41">
        <v>46021</v>
      </c>
      <c r="B980" t="s">
        <v>249</v>
      </c>
      <c r="C980">
        <v>4743</v>
      </c>
    </row>
    <row r="981" spans="1:4">
      <c r="A981" s="41">
        <v>46021</v>
      </c>
      <c r="B981" t="s">
        <v>254</v>
      </c>
      <c r="C981">
        <v>15388</v>
      </c>
    </row>
    <row r="982" spans="1:4">
      <c r="A982" s="41">
        <v>46021</v>
      </c>
      <c r="B982" t="s">
        <v>258</v>
      </c>
      <c r="C982">
        <v>2338</v>
      </c>
    </row>
    <row r="983" spans="1:4">
      <c r="A983" s="41">
        <v>46021</v>
      </c>
      <c r="B983" t="s">
        <v>263</v>
      </c>
      <c r="C983">
        <v>9717</v>
      </c>
    </row>
    <row r="984" spans="1:4">
      <c r="A984" s="41">
        <v>46021</v>
      </c>
      <c r="B984" t="s">
        <v>268</v>
      </c>
      <c r="C984">
        <v>5420</v>
      </c>
    </row>
    <row r="985" spans="1:4">
      <c r="A985" s="41">
        <v>46021</v>
      </c>
      <c r="B985" t="s">
        <v>275</v>
      </c>
      <c r="C985">
        <v>1277</v>
      </c>
    </row>
    <row r="986" spans="1:4">
      <c r="A986" s="41">
        <v>46021</v>
      </c>
      <c r="B986" t="s">
        <v>288</v>
      </c>
      <c r="C986">
        <v>1051</v>
      </c>
    </row>
    <row r="987" spans="1:4">
      <c r="A987" s="41">
        <v>46021</v>
      </c>
      <c r="B987" t="s">
        <v>305</v>
      </c>
      <c r="C987">
        <v>16731</v>
      </c>
    </row>
    <row r="988" spans="1:4">
      <c r="A988" s="41">
        <v>46021</v>
      </c>
      <c r="B988" t="s">
        <v>314</v>
      </c>
      <c r="C988">
        <v>27606</v>
      </c>
    </row>
    <row r="989" spans="1:4">
      <c r="A989" s="41">
        <v>46021</v>
      </c>
      <c r="B989" t="s">
        <v>356</v>
      </c>
      <c r="C989">
        <v>15464</v>
      </c>
    </row>
    <row r="990" spans="1:4">
      <c r="A990" s="41">
        <v>46021</v>
      </c>
      <c r="B990" t="s">
        <v>414</v>
      </c>
      <c r="C990">
        <v>10123</v>
      </c>
    </row>
    <row r="991" spans="1:4">
      <c r="A991" s="41">
        <v>46021</v>
      </c>
      <c r="B991" t="s">
        <v>417</v>
      </c>
      <c r="C991">
        <v>7961</v>
      </c>
    </row>
    <row r="992" spans="1:4">
      <c r="A992" s="41">
        <v>46021</v>
      </c>
      <c r="B992" t="s">
        <v>440</v>
      </c>
      <c r="C992">
        <v>1810</v>
      </c>
    </row>
    <row r="993" spans="1:4">
      <c r="A993" s="41">
        <v>46021</v>
      </c>
      <c r="B993" t="s">
        <v>443</v>
      </c>
      <c r="C993">
        <v>2124</v>
      </c>
    </row>
    <row r="994" spans="1:4">
      <c r="A994" s="41">
        <v>46021</v>
      </c>
      <c r="B994" t="s">
        <v>456</v>
      </c>
      <c r="C994">
        <v>1895</v>
      </c>
    </row>
    <row r="995" spans="1:4">
      <c r="A995" s="41">
        <v>46021</v>
      </c>
      <c r="B995" t="s">
        <v>465</v>
      </c>
      <c r="D995">
        <v>91538</v>
      </c>
    </row>
    <row r="996" spans="1:4">
      <c r="A996" s="41">
        <v>46021</v>
      </c>
      <c r="B996" t="s">
        <v>475</v>
      </c>
      <c r="C996">
        <v>10283</v>
      </c>
      <c r="D996">
        <v>246005</v>
      </c>
    </row>
    <row r="997" spans="1:4">
      <c r="A997" s="41">
        <v>46021</v>
      </c>
      <c r="B997" t="s">
        <v>481</v>
      </c>
      <c r="D997">
        <v>70708</v>
      </c>
    </row>
    <row r="998" spans="1:4">
      <c r="A998" s="41">
        <v>46021</v>
      </c>
      <c r="B998" t="s">
        <v>485</v>
      </c>
      <c r="D998">
        <v>70944</v>
      </c>
    </row>
    <row r="999" spans="1:4">
      <c r="A999" s="41">
        <v>46021</v>
      </c>
      <c r="B999" t="s">
        <v>496</v>
      </c>
      <c r="D999">
        <v>104803</v>
      </c>
    </row>
    <row r="1000" spans="1:4">
      <c r="A1000" s="41">
        <v>46021</v>
      </c>
      <c r="B1000" t="s">
        <v>496</v>
      </c>
      <c r="D1000">
        <v>104803</v>
      </c>
    </row>
    <row r="1001" spans="1:4">
      <c r="A1001" s="41">
        <v>46021</v>
      </c>
      <c r="B1001" t="s">
        <v>501</v>
      </c>
      <c r="D1001">
        <v>75243</v>
      </c>
    </row>
    <row r="1002" spans="1:4">
      <c r="A1002" s="41">
        <v>46021</v>
      </c>
      <c r="B1002" t="s">
        <v>508</v>
      </c>
      <c r="D1002">
        <v>42722</v>
      </c>
    </row>
    <row r="1003" spans="1:4">
      <c r="A1003" s="41">
        <v>46021</v>
      </c>
      <c r="B1003" t="s">
        <v>512</v>
      </c>
      <c r="D1003">
        <v>42031</v>
      </c>
    </row>
    <row r="1004" spans="1:4">
      <c r="A1004" s="41">
        <v>46021</v>
      </c>
      <c r="B1004" t="s">
        <v>514</v>
      </c>
      <c r="D1004">
        <v>53394</v>
      </c>
    </row>
    <row r="1005" spans="1:4">
      <c r="A1005" s="41">
        <v>46021</v>
      </c>
      <c r="B1005" t="s">
        <v>520</v>
      </c>
      <c r="D1005">
        <v>44116</v>
      </c>
    </row>
    <row r="1006" spans="1:4">
      <c r="A1006" s="41">
        <v>46021</v>
      </c>
      <c r="B1006" t="s">
        <v>523</v>
      </c>
      <c r="D1006">
        <v>51017</v>
      </c>
    </row>
    <row r="1007" spans="1:4">
      <c r="A1007" s="41">
        <v>46021</v>
      </c>
      <c r="B1007" t="s">
        <v>528</v>
      </c>
      <c r="D1007">
        <v>58941</v>
      </c>
    </row>
    <row r="1008" spans="1:4">
      <c r="A1008" s="41">
        <v>46021</v>
      </c>
      <c r="B1008" t="s">
        <v>535</v>
      </c>
      <c r="D1008">
        <v>54183</v>
      </c>
    </row>
    <row r="1009" spans="1:4">
      <c r="A1009" s="41">
        <v>46021</v>
      </c>
      <c r="B1009" t="s">
        <v>544</v>
      </c>
      <c r="D1009">
        <v>30303</v>
      </c>
    </row>
    <row r="1010" spans="1:4">
      <c r="A1010" s="41">
        <v>46021</v>
      </c>
      <c r="B1010" t="s">
        <v>549</v>
      </c>
      <c r="D1010">
        <v>5668</v>
      </c>
    </row>
    <row r="1011" spans="1:4">
      <c r="A1011" s="41">
        <v>46021</v>
      </c>
      <c r="B1011" t="s">
        <v>551</v>
      </c>
      <c r="D1011">
        <v>10003</v>
      </c>
    </row>
    <row r="1012" spans="1:4">
      <c r="A1012" s="41">
        <v>46021</v>
      </c>
      <c r="B1012" t="s">
        <v>572</v>
      </c>
      <c r="D1012">
        <v>141432</v>
      </c>
    </row>
    <row r="1013" spans="1:4">
      <c r="A1013" s="41">
        <v>46021</v>
      </c>
      <c r="B1013" t="s">
        <v>575</v>
      </c>
      <c r="D1013">
        <v>230881</v>
      </c>
    </row>
    <row r="1014" spans="1:4">
      <c r="A1014" s="41">
        <v>46021</v>
      </c>
      <c r="B1014" t="s">
        <v>577</v>
      </c>
      <c r="D1014">
        <v>217689</v>
      </c>
    </row>
    <row r="1015" spans="1:4">
      <c r="A1015" s="41">
        <v>46021</v>
      </c>
      <c r="B1015" t="s">
        <v>596</v>
      </c>
      <c r="D1015">
        <v>130250</v>
      </c>
    </row>
    <row r="1016" spans="1:4">
      <c r="A1016" s="41">
        <v>46021</v>
      </c>
      <c r="B1016" t="s">
        <v>598</v>
      </c>
      <c r="D1016">
        <v>128685</v>
      </c>
    </row>
    <row r="1017" spans="1:4">
      <c r="A1017" s="41">
        <v>46021</v>
      </c>
      <c r="B1017" t="s">
        <v>616</v>
      </c>
      <c r="D1017">
        <v>111227</v>
      </c>
    </row>
    <row r="1018" spans="1:4">
      <c r="A1018" s="41">
        <v>46021</v>
      </c>
      <c r="B1018" t="s">
        <v>624</v>
      </c>
      <c r="D1018">
        <v>82343</v>
      </c>
    </row>
    <row r="1019" spans="1:4">
      <c r="A1019" s="41">
        <v>46021</v>
      </c>
      <c r="B1019" t="s">
        <v>626</v>
      </c>
      <c r="D1019">
        <v>98987</v>
      </c>
    </row>
    <row r="1020" spans="1:4">
      <c r="A1020" s="41">
        <v>46021</v>
      </c>
      <c r="B1020" t="s">
        <v>628</v>
      </c>
      <c r="D1020">
        <v>84083</v>
      </c>
    </row>
    <row r="1021" spans="1:4">
      <c r="A1021" s="41">
        <v>46021</v>
      </c>
      <c r="B1021" t="s">
        <v>634</v>
      </c>
      <c r="D1021">
        <v>97407</v>
      </c>
    </row>
    <row r="1022" spans="1:4">
      <c r="A1022" s="41">
        <v>46022</v>
      </c>
      <c r="B1022" t="s">
        <v>35</v>
      </c>
      <c r="C1022">
        <v>8251</v>
      </c>
      <c r="D1022">
        <v>166051</v>
      </c>
    </row>
    <row r="1023" spans="1:4">
      <c r="A1023" s="41">
        <v>46022</v>
      </c>
      <c r="B1023" t="s">
        <v>465</v>
      </c>
      <c r="D1023">
        <v>92012</v>
      </c>
    </row>
    <row r="1024" spans="1:4">
      <c r="A1024" s="41">
        <v>46022</v>
      </c>
      <c r="B1024" t="s">
        <v>493</v>
      </c>
      <c r="D1024">
        <v>52249</v>
      </c>
    </row>
    <row r="1025" spans="1:4">
      <c r="A1025" s="41">
        <v>46022</v>
      </c>
      <c r="B1025" t="s">
        <v>499</v>
      </c>
      <c r="D1025">
        <v>53958</v>
      </c>
    </row>
    <row r="1026" spans="1:4">
      <c r="A1026" s="41">
        <v>46022</v>
      </c>
      <c r="B1026" t="s">
        <v>542</v>
      </c>
      <c r="D1026">
        <v>76309</v>
      </c>
    </row>
    <row r="1027" spans="1:4">
      <c r="A1027" s="41">
        <v>46022</v>
      </c>
      <c r="B1027" t="s">
        <v>542</v>
      </c>
      <c r="D1027">
        <v>76415</v>
      </c>
    </row>
    <row r="1028" spans="1:4">
      <c r="A1028" s="41">
        <v>46022</v>
      </c>
      <c r="B1028" t="s">
        <v>547</v>
      </c>
      <c r="D1028">
        <v>6324</v>
      </c>
    </row>
    <row r="1029" spans="1:4">
      <c r="A1029" s="41">
        <v>46022</v>
      </c>
      <c r="B1029" t="s">
        <v>568</v>
      </c>
      <c r="D1029">
        <v>149977</v>
      </c>
    </row>
    <row r="1030" spans="1:4">
      <c r="A1030" s="41">
        <v>46022</v>
      </c>
      <c r="B1030" t="s">
        <v>568</v>
      </c>
      <c r="D1030">
        <v>111327</v>
      </c>
    </row>
    <row r="1031" spans="1:4">
      <c r="A1031" s="41">
        <v>46022</v>
      </c>
      <c r="B1031" t="s">
        <v>596</v>
      </c>
      <c r="D1031">
        <v>130495</v>
      </c>
    </row>
    <row r="1032" spans="1:4">
      <c r="A1032" s="41">
        <v>46022</v>
      </c>
      <c r="B1032" t="s">
        <v>608</v>
      </c>
      <c r="D1032">
        <v>293396</v>
      </c>
    </row>
    <row r="1033" spans="1:4">
      <c r="A1033" s="41">
        <v>46022</v>
      </c>
      <c r="B1033" t="s">
        <v>622</v>
      </c>
      <c r="D1033">
        <v>104385</v>
      </c>
    </row>
    <row r="1034" spans="1:4">
      <c r="A1034" s="41">
        <v>46022</v>
      </c>
      <c r="B1034" t="s">
        <v>634</v>
      </c>
      <c r="D1034">
        <v>97669</v>
      </c>
    </row>
    <row r="1035" spans="1:4">
      <c r="A1035" s="41">
        <v>46024</v>
      </c>
      <c r="B1035" t="s">
        <v>493</v>
      </c>
      <c r="D1035">
        <v>55400</v>
      </c>
    </row>
    <row r="1036" spans="1:4">
      <c r="A1036" s="41">
        <v>46027</v>
      </c>
      <c r="B1036" t="s">
        <v>19</v>
      </c>
      <c r="C1036">
        <v>9901</v>
      </c>
      <c r="D1036">
        <v>247860</v>
      </c>
    </row>
    <row r="1037" spans="1:4">
      <c r="A1037" s="41">
        <v>46027</v>
      </c>
      <c r="B1037" t="s">
        <v>29</v>
      </c>
      <c r="C1037">
        <v>10453</v>
      </c>
      <c r="D1037">
        <v>250407</v>
      </c>
    </row>
    <row r="1038" spans="1:4">
      <c r="A1038" s="41">
        <v>46027</v>
      </c>
      <c r="B1038" t="s">
        <v>35</v>
      </c>
      <c r="C1038">
        <v>8256</v>
      </c>
      <c r="D1038">
        <v>166277</v>
      </c>
    </row>
    <row r="1039" spans="1:4">
      <c r="A1039" s="41">
        <v>46027</v>
      </c>
      <c r="B1039" t="s">
        <v>78</v>
      </c>
      <c r="D1039">
        <v>503297</v>
      </c>
    </row>
    <row r="1040" spans="1:4">
      <c r="A1040" s="41">
        <v>46027</v>
      </c>
      <c r="B1040" t="s">
        <v>81</v>
      </c>
      <c r="D1040">
        <v>188540</v>
      </c>
    </row>
    <row r="1041" spans="1:4">
      <c r="A1041" s="41">
        <v>46027</v>
      </c>
      <c r="B1041" t="s">
        <v>86</v>
      </c>
      <c r="C1041">
        <v>3181</v>
      </c>
      <c r="D1041">
        <v>77049</v>
      </c>
    </row>
    <row r="1042" spans="1:4">
      <c r="A1042" s="41">
        <v>46027</v>
      </c>
      <c r="B1042" t="s">
        <v>89</v>
      </c>
      <c r="C1042">
        <v>3227</v>
      </c>
      <c r="D1042">
        <v>83507</v>
      </c>
    </row>
    <row r="1043" spans="1:4">
      <c r="A1043" s="41">
        <v>46027</v>
      </c>
      <c r="B1043" t="s">
        <v>91</v>
      </c>
      <c r="C1043">
        <v>3355</v>
      </c>
      <c r="D1043">
        <v>87816</v>
      </c>
    </row>
    <row r="1044" spans="1:4">
      <c r="A1044" s="41">
        <v>46027</v>
      </c>
      <c r="B1044" t="s">
        <v>97</v>
      </c>
      <c r="D1044">
        <v>36995</v>
      </c>
    </row>
    <row r="1045" spans="1:4">
      <c r="A1045" s="41">
        <v>46027</v>
      </c>
      <c r="B1045" t="s">
        <v>106</v>
      </c>
      <c r="D1045">
        <v>113188</v>
      </c>
    </row>
    <row r="1046" spans="1:4">
      <c r="A1046" s="41">
        <v>46027</v>
      </c>
      <c r="B1046" t="s">
        <v>121</v>
      </c>
      <c r="C1046">
        <v>7358</v>
      </c>
      <c r="D1046">
        <v>185760</v>
      </c>
    </row>
    <row r="1047" spans="1:4">
      <c r="A1047" s="41">
        <v>46027</v>
      </c>
      <c r="B1047" t="s">
        <v>138</v>
      </c>
      <c r="D1047">
        <v>284870</v>
      </c>
    </row>
    <row r="1048" spans="1:4">
      <c r="A1048" s="41">
        <v>46027</v>
      </c>
      <c r="B1048" t="s">
        <v>661</v>
      </c>
      <c r="D1048">
        <v>299430</v>
      </c>
    </row>
    <row r="1049" spans="1:4">
      <c r="A1049" s="41">
        <v>46027</v>
      </c>
      <c r="B1049" t="s">
        <v>169</v>
      </c>
      <c r="C1049">
        <v>9163</v>
      </c>
      <c r="D1049">
        <v>194021</v>
      </c>
    </row>
    <row r="1050" spans="1:4">
      <c r="A1050" s="41">
        <v>46027</v>
      </c>
      <c r="B1050" t="s">
        <v>171</v>
      </c>
      <c r="C1050">
        <v>1659</v>
      </c>
      <c r="D1050">
        <v>196737</v>
      </c>
    </row>
    <row r="1051" spans="1:4">
      <c r="A1051" s="41">
        <v>46027</v>
      </c>
      <c r="B1051" t="s">
        <v>175</v>
      </c>
      <c r="C1051">
        <v>8953</v>
      </c>
      <c r="D1051">
        <v>202870</v>
      </c>
    </row>
    <row r="1052" spans="1:4">
      <c r="A1052" s="41">
        <v>46027</v>
      </c>
      <c r="B1052" t="s">
        <v>177</v>
      </c>
      <c r="C1052">
        <v>8587</v>
      </c>
      <c r="D1052">
        <v>189665</v>
      </c>
    </row>
    <row r="1053" spans="1:4">
      <c r="A1053" s="41">
        <v>46027</v>
      </c>
      <c r="B1053" t="s">
        <v>185</v>
      </c>
      <c r="D1053">
        <v>563960</v>
      </c>
    </row>
    <row r="1054" spans="1:4">
      <c r="A1054" s="41">
        <v>46027</v>
      </c>
      <c r="B1054" t="s">
        <v>258</v>
      </c>
      <c r="C1054">
        <v>2349</v>
      </c>
    </row>
    <row r="1055" spans="1:4">
      <c r="A1055" s="41">
        <v>46027</v>
      </c>
      <c r="B1055" t="s">
        <v>288</v>
      </c>
      <c r="C1055">
        <v>1066</v>
      </c>
    </row>
    <row r="1056" spans="1:4">
      <c r="A1056" s="41">
        <v>46027</v>
      </c>
      <c r="B1056" t="s">
        <v>321</v>
      </c>
      <c r="C1056">
        <v>8911</v>
      </c>
    </row>
    <row r="1057" spans="1:4">
      <c r="A1057" s="41">
        <v>46027</v>
      </c>
      <c r="B1057" t="s">
        <v>324</v>
      </c>
      <c r="C1057">
        <v>6961</v>
      </c>
    </row>
    <row r="1058" spans="1:4">
      <c r="A1058" s="41">
        <v>46027</v>
      </c>
      <c r="B1058" t="s">
        <v>384</v>
      </c>
      <c r="C1058">
        <v>5937</v>
      </c>
    </row>
    <row r="1059" spans="1:4">
      <c r="A1059" s="41">
        <v>46027</v>
      </c>
      <c r="B1059" t="s">
        <v>396</v>
      </c>
      <c r="C1059">
        <v>8515</v>
      </c>
    </row>
    <row r="1060" spans="1:4">
      <c r="A1060" s="41">
        <v>46027</v>
      </c>
      <c r="B1060" t="s">
        <v>417</v>
      </c>
      <c r="C1060">
        <v>7972</v>
      </c>
    </row>
    <row r="1061" spans="1:4">
      <c r="A1061" s="41">
        <v>46027</v>
      </c>
      <c r="B1061" t="s">
        <v>449</v>
      </c>
      <c r="D1061">
        <v>91313</v>
      </c>
    </row>
    <row r="1062" spans="1:4">
      <c r="A1062" s="41">
        <v>46027</v>
      </c>
      <c r="B1062" t="s">
        <v>485</v>
      </c>
      <c r="D1062">
        <v>72033</v>
      </c>
    </row>
    <row r="1063" spans="1:4">
      <c r="A1063" s="41">
        <v>46027</v>
      </c>
      <c r="B1063" t="s">
        <v>490</v>
      </c>
      <c r="D1063">
        <v>71879</v>
      </c>
    </row>
    <row r="1064" spans="1:4">
      <c r="A1064" s="41">
        <v>46027</v>
      </c>
      <c r="B1064" t="s">
        <v>493</v>
      </c>
      <c r="D1064">
        <v>52478</v>
      </c>
    </row>
    <row r="1065" spans="1:4">
      <c r="A1065" s="41">
        <v>46027</v>
      </c>
      <c r="B1065" t="s">
        <v>501</v>
      </c>
      <c r="D1065">
        <v>75759</v>
      </c>
    </row>
    <row r="1066" spans="1:4">
      <c r="A1066" s="41">
        <v>46027</v>
      </c>
      <c r="B1066" t="s">
        <v>506</v>
      </c>
      <c r="D1066">
        <v>52498</v>
      </c>
    </row>
    <row r="1067" spans="1:4">
      <c r="A1067" s="41">
        <v>46027</v>
      </c>
      <c r="B1067" t="s">
        <v>514</v>
      </c>
      <c r="D1067">
        <v>53706</v>
      </c>
    </row>
    <row r="1068" spans="1:4">
      <c r="A1068" s="41">
        <v>46027</v>
      </c>
      <c r="B1068" t="s">
        <v>515</v>
      </c>
      <c r="D1068">
        <v>60297</v>
      </c>
    </row>
    <row r="1069" spans="1:4">
      <c r="A1069" s="41">
        <v>46027</v>
      </c>
      <c r="B1069" t="s">
        <v>528</v>
      </c>
      <c r="D1069">
        <v>59632</v>
      </c>
    </row>
    <row r="1070" spans="1:4">
      <c r="A1070" s="41">
        <v>46027</v>
      </c>
      <c r="B1070" t="s">
        <v>533</v>
      </c>
      <c r="D1070">
        <v>65600</v>
      </c>
    </row>
    <row r="1071" spans="1:4">
      <c r="A1071" s="41">
        <v>46027</v>
      </c>
      <c r="B1071" t="s">
        <v>535</v>
      </c>
      <c r="D1071">
        <v>54820</v>
      </c>
    </row>
    <row r="1072" spans="1:4">
      <c r="A1072" s="41">
        <v>46027</v>
      </c>
      <c r="B1072" t="s">
        <v>542</v>
      </c>
      <c r="D1072">
        <v>77175</v>
      </c>
    </row>
    <row r="1073" spans="1:4">
      <c r="A1073" s="41">
        <v>46027</v>
      </c>
      <c r="B1073" t="s">
        <v>547</v>
      </c>
      <c r="D1073">
        <v>6913</v>
      </c>
    </row>
    <row r="1074" spans="1:4">
      <c r="A1074" s="41">
        <v>46027</v>
      </c>
      <c r="B1074" t="s">
        <v>547</v>
      </c>
      <c r="D1074">
        <v>6663</v>
      </c>
    </row>
    <row r="1075" spans="1:4">
      <c r="A1075" s="41">
        <v>46027</v>
      </c>
      <c r="B1075" t="s">
        <v>575</v>
      </c>
      <c r="D1075" s="50">
        <v>231493</v>
      </c>
    </row>
    <row r="1076" spans="1:4">
      <c r="A1076" s="41">
        <v>46027</v>
      </c>
      <c r="B1076" t="s">
        <v>593</v>
      </c>
      <c r="D1076">
        <v>155205</v>
      </c>
    </row>
    <row r="1077" spans="1:4">
      <c r="A1077" s="41">
        <v>46027</v>
      </c>
      <c r="B1077" t="s">
        <v>596</v>
      </c>
      <c r="D1077">
        <v>130780</v>
      </c>
    </row>
    <row r="1078" spans="1:4">
      <c r="A1078" s="41">
        <v>46027</v>
      </c>
      <c r="B1078" t="s">
        <v>622</v>
      </c>
      <c r="D1078">
        <v>104732</v>
      </c>
    </row>
    <row r="1079" spans="1:4">
      <c r="A1079" s="41">
        <v>46027</v>
      </c>
      <c r="B1079" t="s">
        <v>626</v>
      </c>
      <c r="D1079">
        <v>99438</v>
      </c>
    </row>
    <row r="1080" spans="1:4">
      <c r="A1080" s="41">
        <v>46027</v>
      </c>
      <c r="B1080" t="s">
        <v>630</v>
      </c>
      <c r="D1080">
        <v>133805</v>
      </c>
    </row>
    <row r="1081" spans="1:4">
      <c r="A1081" s="41">
        <v>46027</v>
      </c>
      <c r="B1081" t="s">
        <v>634</v>
      </c>
      <c r="D1081">
        <v>97880</v>
      </c>
    </row>
    <row r="1082" spans="1:4">
      <c r="A1082" s="41">
        <v>46028</v>
      </c>
      <c r="B1082" t="s">
        <v>19</v>
      </c>
      <c r="C1082">
        <v>9915</v>
      </c>
      <c r="D1082">
        <v>248443</v>
      </c>
    </row>
    <row r="1083" spans="1:4">
      <c r="A1083" s="41">
        <v>46028</v>
      </c>
      <c r="B1083" t="s">
        <v>41</v>
      </c>
    </row>
    <row r="1084" spans="1:4">
      <c r="A1084" s="41">
        <v>46028</v>
      </c>
      <c r="B1084" t="s">
        <v>44</v>
      </c>
      <c r="D1084">
        <v>186860</v>
      </c>
    </row>
    <row r="1085" spans="1:4">
      <c r="A1085" s="41">
        <v>46028</v>
      </c>
      <c r="B1085" t="s">
        <v>50</v>
      </c>
      <c r="D1085">
        <v>270163</v>
      </c>
    </row>
    <row r="1086" spans="1:4">
      <c r="A1086" s="41">
        <v>46028</v>
      </c>
      <c r="B1086" t="s">
        <v>81</v>
      </c>
      <c r="C1086">
        <v>4470</v>
      </c>
    </row>
    <row r="1087" spans="1:4">
      <c r="A1087" s="41">
        <v>46028</v>
      </c>
      <c r="B1087" t="s">
        <v>89</v>
      </c>
      <c r="C1087">
        <v>3238</v>
      </c>
      <c r="D1087">
        <v>83975</v>
      </c>
    </row>
    <row r="1088" spans="1:4">
      <c r="A1088" s="41">
        <v>46028</v>
      </c>
      <c r="B1088" t="s">
        <v>517</v>
      </c>
      <c r="D1088">
        <v>35928</v>
      </c>
    </row>
    <row r="1089" spans="1:5">
      <c r="A1089" s="41">
        <v>46028</v>
      </c>
      <c r="B1089" t="s">
        <v>93</v>
      </c>
      <c r="C1089">
        <v>3432</v>
      </c>
      <c r="D1089">
        <v>94699</v>
      </c>
    </row>
    <row r="1090" spans="1:5">
      <c r="A1090" s="41">
        <v>46028</v>
      </c>
      <c r="B1090" t="s">
        <v>106</v>
      </c>
      <c r="D1090">
        <v>113322</v>
      </c>
    </row>
    <row r="1091" spans="1:5">
      <c r="A1091" s="41">
        <v>46028</v>
      </c>
      <c r="B1091" t="s">
        <v>121</v>
      </c>
      <c r="C1091">
        <v>7367</v>
      </c>
      <c r="D1091">
        <v>186118</v>
      </c>
    </row>
    <row r="1092" spans="1:5">
      <c r="A1092" s="41">
        <v>46028</v>
      </c>
      <c r="B1092" t="s">
        <v>130</v>
      </c>
      <c r="C1092">
        <v>26402</v>
      </c>
    </row>
    <row r="1093" spans="1:5">
      <c r="A1093" s="41">
        <v>46028</v>
      </c>
      <c r="B1093" t="s">
        <v>138</v>
      </c>
      <c r="D1093">
        <v>284980</v>
      </c>
    </row>
    <row r="1094" spans="1:5">
      <c r="A1094" s="41">
        <v>46028</v>
      </c>
      <c r="B1094" t="s">
        <v>152</v>
      </c>
      <c r="D1094">
        <v>260438</v>
      </c>
    </row>
    <row r="1095" spans="1:5">
      <c r="A1095" s="81">
        <v>43983</v>
      </c>
      <c r="B1095" t="s">
        <v>1197</v>
      </c>
      <c r="C1095">
        <v>6797</v>
      </c>
      <c r="D1095">
        <v>211988</v>
      </c>
    </row>
    <row r="1096" spans="1:5">
      <c r="A1096" s="41">
        <v>46028</v>
      </c>
      <c r="B1096" t="s">
        <v>171</v>
      </c>
      <c r="C1096">
        <v>1870</v>
      </c>
      <c r="D1096">
        <v>197171</v>
      </c>
    </row>
    <row r="1097" spans="1:5">
      <c r="A1097" s="41">
        <v>46028</v>
      </c>
      <c r="B1097" t="s">
        <v>177</v>
      </c>
      <c r="C1097">
        <v>8596</v>
      </c>
      <c r="D1097">
        <v>190043</v>
      </c>
    </row>
    <row r="1098" spans="1:5">
      <c r="A1098" s="41">
        <v>46028</v>
      </c>
      <c r="B1098" t="s">
        <v>182</v>
      </c>
      <c r="D1098">
        <v>84541</v>
      </c>
    </row>
    <row r="1099" spans="1:5">
      <c r="A1099" s="41">
        <v>46028</v>
      </c>
      <c r="B1099" t="s">
        <v>185</v>
      </c>
      <c r="C1099">
        <v>3051</v>
      </c>
      <c r="D1099">
        <v>564524</v>
      </c>
    </row>
    <row r="1100" spans="1:5">
      <c r="A1100" s="41">
        <v>46028</v>
      </c>
      <c r="B1100" t="s">
        <v>187</v>
      </c>
      <c r="D1100">
        <v>530252</v>
      </c>
    </row>
    <row r="1101" spans="1:5">
      <c r="A1101" s="41">
        <v>46028</v>
      </c>
      <c r="B1101" t="s">
        <v>202</v>
      </c>
      <c r="C1101">
        <v>381</v>
      </c>
      <c r="E1101" t="s">
        <v>300</v>
      </c>
    </row>
    <row r="1102" spans="1:5">
      <c r="A1102" s="41">
        <v>46028</v>
      </c>
      <c r="B1102" t="s">
        <v>243</v>
      </c>
      <c r="C1102">
        <v>509600</v>
      </c>
    </row>
    <row r="1103" spans="1:5">
      <c r="A1103" s="41">
        <v>46028</v>
      </c>
      <c r="B1103" t="s">
        <v>249</v>
      </c>
      <c r="C1103">
        <v>7453</v>
      </c>
    </row>
    <row r="1104" spans="1:5">
      <c r="A1104" s="41">
        <v>46028</v>
      </c>
      <c r="B1104" t="s">
        <v>258</v>
      </c>
      <c r="C1104">
        <v>2355</v>
      </c>
    </row>
    <row r="1105" spans="1:3">
      <c r="A1105" s="41">
        <v>46028</v>
      </c>
      <c r="B1105" t="s">
        <v>263</v>
      </c>
      <c r="C1105">
        <v>9729</v>
      </c>
    </row>
    <row r="1106" spans="1:3">
      <c r="A1106" s="41">
        <v>46028</v>
      </c>
      <c r="B1106" t="s">
        <v>268</v>
      </c>
      <c r="C1106">
        <v>5330</v>
      </c>
    </row>
    <row r="1107" spans="1:3">
      <c r="A1107" s="41">
        <v>46028</v>
      </c>
      <c r="B1107" t="s">
        <v>273</v>
      </c>
      <c r="C1107">
        <v>3962</v>
      </c>
    </row>
    <row r="1108" spans="1:3">
      <c r="A1108" s="41">
        <v>46028</v>
      </c>
      <c r="B1108" t="s">
        <v>275</v>
      </c>
      <c r="C1108">
        <v>1284</v>
      </c>
    </row>
    <row r="1109" spans="1:3">
      <c r="A1109" s="41">
        <v>46028</v>
      </c>
      <c r="B1109" t="s">
        <v>278</v>
      </c>
      <c r="C1109">
        <v>761</v>
      </c>
    </row>
    <row r="1110" spans="1:3">
      <c r="A1110" s="41">
        <v>46028</v>
      </c>
      <c r="B1110" t="s">
        <v>288</v>
      </c>
      <c r="C1110">
        <v>1076</v>
      </c>
    </row>
    <row r="1111" spans="1:3">
      <c r="A1111" s="41">
        <v>46028</v>
      </c>
      <c r="B1111" t="s">
        <v>305</v>
      </c>
      <c r="C1111">
        <v>16747</v>
      </c>
    </row>
    <row r="1112" spans="1:3">
      <c r="A1112" s="41">
        <v>46028</v>
      </c>
      <c r="B1112" t="s">
        <v>333</v>
      </c>
      <c r="C1112">
        <v>11766</v>
      </c>
    </row>
    <row r="1113" spans="1:3">
      <c r="A1113" s="41">
        <v>46028</v>
      </c>
      <c r="B1113" t="s">
        <v>378</v>
      </c>
      <c r="C1113">
        <v>3591</v>
      </c>
    </row>
    <row r="1114" spans="1:3">
      <c r="A1114" s="41">
        <v>46028</v>
      </c>
      <c r="B1114" t="s">
        <v>379</v>
      </c>
      <c r="C1114">
        <v>3382</v>
      </c>
    </row>
    <row r="1115" spans="1:3">
      <c r="A1115" s="41">
        <v>46028</v>
      </c>
      <c r="B1115" t="s">
        <v>408</v>
      </c>
    </row>
    <row r="1116" spans="1:3">
      <c r="A1116" s="41">
        <v>46028</v>
      </c>
      <c r="B1116" t="s">
        <v>414</v>
      </c>
      <c r="C1116">
        <v>10139</v>
      </c>
    </row>
    <row r="1117" spans="1:3">
      <c r="A1117" s="41">
        <v>46028</v>
      </c>
      <c r="B1117" t="s">
        <v>431</v>
      </c>
      <c r="C1117">
        <v>9816</v>
      </c>
    </row>
    <row r="1118" spans="1:3">
      <c r="A1118" s="41">
        <v>46028</v>
      </c>
      <c r="B1118" t="s">
        <v>440</v>
      </c>
      <c r="C1118">
        <v>1822</v>
      </c>
    </row>
    <row r="1119" spans="1:3">
      <c r="A1119" s="41">
        <v>46028</v>
      </c>
      <c r="B1119" t="s">
        <v>443</v>
      </c>
      <c r="C1119">
        <v>2135</v>
      </c>
    </row>
    <row r="1120" spans="1:3">
      <c r="A1120" s="41">
        <v>46028</v>
      </c>
      <c r="B1120" t="s">
        <v>447</v>
      </c>
      <c r="C1120">
        <v>1544</v>
      </c>
    </row>
    <row r="1121" spans="1:4">
      <c r="A1121" s="41">
        <v>46028</v>
      </c>
      <c r="B1121" t="s">
        <v>451</v>
      </c>
      <c r="C1121">
        <v>1855</v>
      </c>
    </row>
    <row r="1122" spans="1:4">
      <c r="A1122" s="41">
        <v>46028</v>
      </c>
      <c r="B1122" t="s">
        <v>456</v>
      </c>
      <c r="C1122">
        <v>1914</v>
      </c>
    </row>
    <row r="1123" spans="1:4">
      <c r="A1123" s="41">
        <v>46028</v>
      </c>
      <c r="B1123" t="s">
        <v>465</v>
      </c>
      <c r="D1123">
        <v>92969</v>
      </c>
    </row>
    <row r="1124" spans="1:4">
      <c r="A1124" s="41">
        <v>46028</v>
      </c>
      <c r="B1124" t="s">
        <v>485</v>
      </c>
      <c r="D1124">
        <v>72429</v>
      </c>
    </row>
    <row r="1125" spans="1:4">
      <c r="A1125" s="41">
        <v>46028</v>
      </c>
      <c r="B1125" t="s">
        <v>488</v>
      </c>
      <c r="D1125">
        <v>94852</v>
      </c>
    </row>
    <row r="1126" spans="1:4">
      <c r="A1126" s="41">
        <v>46028</v>
      </c>
      <c r="B1126" t="s">
        <v>490</v>
      </c>
      <c r="D1126">
        <v>72331</v>
      </c>
    </row>
    <row r="1127" spans="1:4">
      <c r="A1127" s="41">
        <v>46028</v>
      </c>
      <c r="B1127" t="s">
        <v>496</v>
      </c>
      <c r="D1127">
        <v>105252</v>
      </c>
    </row>
    <row r="1128" spans="1:4">
      <c r="A1128" s="41">
        <v>46028</v>
      </c>
      <c r="B1128" t="s">
        <v>499</v>
      </c>
      <c r="D1128">
        <v>55129</v>
      </c>
    </row>
    <row r="1129" spans="1:4">
      <c r="A1129" s="41">
        <v>46028</v>
      </c>
      <c r="B1129" t="s">
        <v>508</v>
      </c>
      <c r="D1129">
        <v>43366</v>
      </c>
    </row>
    <row r="1130" spans="1:4">
      <c r="A1130" s="41">
        <v>46028</v>
      </c>
      <c r="B1130" t="s">
        <v>510</v>
      </c>
      <c r="D1130">
        <v>37875</v>
      </c>
    </row>
    <row r="1131" spans="1:4">
      <c r="A1131" s="41">
        <v>46028</v>
      </c>
      <c r="B1131" t="s">
        <v>512</v>
      </c>
      <c r="D1131">
        <v>42684</v>
      </c>
    </row>
    <row r="1132" spans="1:4">
      <c r="A1132" s="41">
        <v>46028</v>
      </c>
      <c r="B1132" t="s">
        <v>514</v>
      </c>
      <c r="D1132">
        <v>54002</v>
      </c>
    </row>
    <row r="1133" spans="1:4">
      <c r="A1133" s="41">
        <v>46028</v>
      </c>
      <c r="B1133" t="s">
        <v>518</v>
      </c>
      <c r="D1133">
        <v>65114</v>
      </c>
    </row>
    <row r="1134" spans="1:4">
      <c r="A1134" s="41">
        <v>46028</v>
      </c>
      <c r="B1134" t="s">
        <v>520</v>
      </c>
      <c r="D1134">
        <v>44656</v>
      </c>
    </row>
    <row r="1135" spans="1:4">
      <c r="A1135" s="41">
        <v>46028</v>
      </c>
      <c r="B1135" t="s">
        <v>523</v>
      </c>
      <c r="D1135">
        <v>51576</v>
      </c>
    </row>
    <row r="1136" spans="1:4">
      <c r="A1136" s="41">
        <v>46028</v>
      </c>
      <c r="B1136" t="s">
        <v>526</v>
      </c>
      <c r="D1136">
        <v>53781</v>
      </c>
    </row>
    <row r="1137" spans="1:4">
      <c r="A1137" s="41">
        <v>46028</v>
      </c>
      <c r="B1137" t="s">
        <v>533</v>
      </c>
      <c r="D1137">
        <v>65946</v>
      </c>
    </row>
    <row r="1138" spans="1:4">
      <c r="A1138" s="41">
        <v>46028</v>
      </c>
      <c r="B1138" t="s">
        <v>535</v>
      </c>
      <c r="D1138">
        <v>56100</v>
      </c>
    </row>
    <row r="1139" spans="1:4">
      <c r="A1139" s="41">
        <v>46028</v>
      </c>
      <c r="B1139" t="s">
        <v>540</v>
      </c>
      <c r="D1139">
        <v>58521</v>
      </c>
    </row>
    <row r="1140" spans="1:4">
      <c r="A1140" s="41">
        <v>46028</v>
      </c>
      <c r="B1140" t="s">
        <v>551</v>
      </c>
      <c r="D1140">
        <v>10805</v>
      </c>
    </row>
    <row r="1141" spans="1:4">
      <c r="A1141" s="41">
        <v>46028</v>
      </c>
      <c r="B1141" t="s">
        <v>559</v>
      </c>
      <c r="D1141">
        <v>554972</v>
      </c>
    </row>
    <row r="1142" spans="1:4">
      <c r="A1142" s="41">
        <v>46028</v>
      </c>
      <c r="B1142" t="s">
        <v>568</v>
      </c>
      <c r="D1142">
        <v>150488</v>
      </c>
    </row>
    <row r="1143" spans="1:4">
      <c r="A1143" s="41">
        <v>46028</v>
      </c>
      <c r="B1143" t="s">
        <v>572</v>
      </c>
      <c r="D1143">
        <v>142115</v>
      </c>
    </row>
    <row r="1144" spans="1:4">
      <c r="A1144" s="41">
        <v>46028</v>
      </c>
      <c r="B1144" t="s">
        <v>574</v>
      </c>
      <c r="D1144">
        <v>185489</v>
      </c>
    </row>
    <row r="1145" spans="1:4">
      <c r="A1145" s="41">
        <v>46028</v>
      </c>
      <c r="B1145" t="s">
        <v>577</v>
      </c>
      <c r="D1145">
        <v>218208</v>
      </c>
    </row>
    <row r="1146" spans="1:4">
      <c r="A1146" s="41">
        <v>46028</v>
      </c>
      <c r="B1146" t="s">
        <v>596</v>
      </c>
      <c r="D1146">
        <v>131134</v>
      </c>
    </row>
    <row r="1147" spans="1:4">
      <c r="A1147" s="41">
        <v>46028</v>
      </c>
      <c r="B1147" t="s">
        <v>598</v>
      </c>
      <c r="D1147">
        <v>129171</v>
      </c>
    </row>
    <row r="1148" spans="1:4">
      <c r="A1148" s="41">
        <v>46028</v>
      </c>
      <c r="B1148" t="s">
        <v>611</v>
      </c>
      <c r="D1148">
        <v>252870</v>
      </c>
    </row>
    <row r="1149" spans="1:4">
      <c r="A1149" s="41">
        <v>46028</v>
      </c>
      <c r="B1149" t="s">
        <v>616</v>
      </c>
      <c r="D1149">
        <v>112275</v>
      </c>
    </row>
    <row r="1150" spans="1:4">
      <c r="A1150" s="41">
        <v>46028</v>
      </c>
      <c r="B1150" t="s">
        <v>618</v>
      </c>
      <c r="D1150">
        <v>105245</v>
      </c>
    </row>
    <row r="1151" spans="1:4">
      <c r="A1151" s="41">
        <v>46028</v>
      </c>
      <c r="B1151" t="s">
        <v>620</v>
      </c>
      <c r="D1151">
        <v>117215</v>
      </c>
    </row>
    <row r="1152" spans="1:4">
      <c r="A1152" s="41">
        <v>46028</v>
      </c>
      <c r="B1152" t="s">
        <v>622</v>
      </c>
      <c r="D1152">
        <v>82993</v>
      </c>
    </row>
    <row r="1153" spans="1:4">
      <c r="A1153" s="41">
        <v>46028</v>
      </c>
      <c r="B1153" t="s">
        <v>630</v>
      </c>
      <c r="D1153">
        <v>134343</v>
      </c>
    </row>
    <row r="1154" spans="1:4">
      <c r="A1154" s="41">
        <v>46028</v>
      </c>
      <c r="B1154" t="s">
        <v>634</v>
      </c>
      <c r="D1154">
        <v>98118</v>
      </c>
    </row>
    <row r="1155" spans="1:4">
      <c r="A1155" s="41">
        <v>46029</v>
      </c>
      <c r="B1155" t="s">
        <v>19</v>
      </c>
      <c r="C1155">
        <v>9925</v>
      </c>
      <c r="D1155">
        <v>248770</v>
      </c>
    </row>
    <row r="1156" spans="1:4">
      <c r="A1156" s="41">
        <v>46029</v>
      </c>
      <c r="B1156" t="s">
        <v>29</v>
      </c>
      <c r="C1156">
        <v>10472</v>
      </c>
      <c r="D1156">
        <v>251073</v>
      </c>
    </row>
    <row r="1157" spans="1:4">
      <c r="A1157" s="41">
        <v>46029</v>
      </c>
      <c r="B1157" t="s">
        <v>78</v>
      </c>
      <c r="D1157">
        <v>503895</v>
      </c>
    </row>
    <row r="1158" spans="1:4">
      <c r="A1158" s="41">
        <v>46029</v>
      </c>
      <c r="B1158" t="s">
        <v>78</v>
      </c>
      <c r="D1158">
        <v>139111</v>
      </c>
    </row>
    <row r="1159" spans="1:4">
      <c r="A1159" s="41">
        <v>46029</v>
      </c>
      <c r="B1159" t="s">
        <v>78</v>
      </c>
      <c r="D1159">
        <v>503687</v>
      </c>
    </row>
    <row r="1160" spans="1:4">
      <c r="A1160" s="41">
        <v>46029</v>
      </c>
      <c r="B1160" t="s">
        <v>86</v>
      </c>
      <c r="C1160">
        <v>3198</v>
      </c>
      <c r="D1160">
        <v>77283</v>
      </c>
    </row>
    <row r="1161" spans="1:4">
      <c r="A1161" s="41">
        <v>46029</v>
      </c>
      <c r="B1161" t="s">
        <v>89</v>
      </c>
      <c r="C1161">
        <v>3243</v>
      </c>
      <c r="D1161">
        <v>84213</v>
      </c>
    </row>
    <row r="1162" spans="1:4">
      <c r="A1162" s="41">
        <v>46029</v>
      </c>
      <c r="B1162" t="s">
        <v>91</v>
      </c>
      <c r="C1162">
        <v>3378</v>
      </c>
      <c r="D1162">
        <v>88449</v>
      </c>
    </row>
    <row r="1163" spans="1:4">
      <c r="A1163" s="41">
        <v>46029</v>
      </c>
      <c r="B1163" t="s">
        <v>93</v>
      </c>
      <c r="C1163">
        <v>3442</v>
      </c>
      <c r="D1163">
        <v>94891</v>
      </c>
    </row>
    <row r="1164" spans="1:4">
      <c r="A1164" s="41">
        <v>46029</v>
      </c>
      <c r="B1164" t="s">
        <v>93</v>
      </c>
      <c r="C1164">
        <v>3449</v>
      </c>
      <c r="D1164">
        <v>95110</v>
      </c>
    </row>
    <row r="1165" spans="1:4">
      <c r="A1165" s="41">
        <v>46029</v>
      </c>
      <c r="B1165" t="s">
        <v>106</v>
      </c>
      <c r="D1165">
        <v>113401</v>
      </c>
    </row>
    <row r="1166" spans="1:4">
      <c r="A1166" s="41">
        <v>46029</v>
      </c>
      <c r="B1166" t="s">
        <v>109</v>
      </c>
      <c r="D1166">
        <v>139111</v>
      </c>
    </row>
    <row r="1167" spans="1:4">
      <c r="A1167" s="41">
        <v>46029</v>
      </c>
      <c r="B1167" t="s">
        <v>121</v>
      </c>
      <c r="C1167">
        <v>7381</v>
      </c>
      <c r="D1167">
        <v>186568</v>
      </c>
    </row>
    <row r="1168" spans="1:4">
      <c r="A1168" s="81">
        <v>43987</v>
      </c>
      <c r="B1168" t="s">
        <v>1189</v>
      </c>
      <c r="C1168">
        <v>6274</v>
      </c>
    </row>
    <row r="1169" spans="1:4">
      <c r="A1169" s="41">
        <v>46029</v>
      </c>
      <c r="B1169" t="s">
        <v>171</v>
      </c>
      <c r="C1169">
        <v>1680</v>
      </c>
      <c r="D1169">
        <v>197494</v>
      </c>
    </row>
    <row r="1170" spans="1:4">
      <c r="A1170" s="41">
        <v>46029</v>
      </c>
      <c r="B1170" t="s">
        <v>177</v>
      </c>
      <c r="C1170">
        <v>8603</v>
      </c>
      <c r="D1170">
        <v>190286</v>
      </c>
    </row>
    <row r="1171" spans="1:4">
      <c r="A1171" s="41">
        <v>46029</v>
      </c>
      <c r="B1171" t="s">
        <v>193</v>
      </c>
      <c r="D1171">
        <v>131879</v>
      </c>
    </row>
    <row r="1172" spans="1:4">
      <c r="A1172" s="41">
        <v>46029</v>
      </c>
      <c r="B1172" t="s">
        <v>247</v>
      </c>
      <c r="C1172">
        <v>3727</v>
      </c>
    </row>
    <row r="1173" spans="1:4">
      <c r="A1173" s="41">
        <v>46029</v>
      </c>
      <c r="B1173" t="s">
        <v>254</v>
      </c>
      <c r="C1173">
        <v>15404</v>
      </c>
    </row>
    <row r="1174" spans="1:4">
      <c r="A1174" s="41">
        <v>46029</v>
      </c>
      <c r="B1174" t="s">
        <v>258</v>
      </c>
      <c r="C1174">
        <v>2365</v>
      </c>
    </row>
    <row r="1175" spans="1:4">
      <c r="A1175" s="41">
        <v>46029</v>
      </c>
      <c r="B1175" t="s">
        <v>278</v>
      </c>
      <c r="D1175">
        <v>771</v>
      </c>
    </row>
    <row r="1176" spans="1:4">
      <c r="A1176" s="41">
        <v>46029</v>
      </c>
      <c r="B1176" t="s">
        <v>288</v>
      </c>
      <c r="C1176">
        <v>1086</v>
      </c>
    </row>
    <row r="1177" spans="1:4">
      <c r="A1177" s="41">
        <v>46029</v>
      </c>
      <c r="B1177" t="s">
        <v>301</v>
      </c>
      <c r="C1177">
        <v>14399</v>
      </c>
    </row>
    <row r="1178" spans="1:4">
      <c r="A1178" s="41">
        <v>46029</v>
      </c>
      <c r="B1178" t="s">
        <v>364</v>
      </c>
      <c r="C1178">
        <v>16778</v>
      </c>
    </row>
    <row r="1179" spans="1:4">
      <c r="A1179" s="41">
        <v>46029</v>
      </c>
      <c r="B1179" t="s">
        <v>417</v>
      </c>
      <c r="C1179">
        <v>7990</v>
      </c>
    </row>
    <row r="1180" spans="1:4">
      <c r="A1180" s="41">
        <v>46029</v>
      </c>
      <c r="B1180" t="s">
        <v>449</v>
      </c>
      <c r="C1180">
        <v>1555</v>
      </c>
    </row>
    <row r="1181" spans="1:4">
      <c r="A1181" s="41">
        <v>46029</v>
      </c>
      <c r="B1181" t="s">
        <v>465</v>
      </c>
      <c r="D1181">
        <v>93370</v>
      </c>
    </row>
    <row r="1182" spans="1:4">
      <c r="A1182" s="41">
        <v>46029</v>
      </c>
      <c r="B1182" t="s">
        <v>499</v>
      </c>
      <c r="D1182">
        <v>55325</v>
      </c>
    </row>
    <row r="1183" spans="1:4">
      <c r="A1183" s="41">
        <v>46029</v>
      </c>
      <c r="B1183" t="s">
        <v>535</v>
      </c>
      <c r="D1183">
        <v>56720</v>
      </c>
    </row>
    <row r="1184" spans="1:4">
      <c r="A1184" s="41">
        <v>46029</v>
      </c>
      <c r="B1184" t="s">
        <v>540</v>
      </c>
      <c r="D1184">
        <v>58769</v>
      </c>
    </row>
    <row r="1185" spans="1:4">
      <c r="A1185" s="41">
        <v>46029</v>
      </c>
      <c r="B1185" t="s">
        <v>542</v>
      </c>
      <c r="D1185">
        <v>77650</v>
      </c>
    </row>
    <row r="1186" spans="1:4">
      <c r="A1186" s="41">
        <v>46029</v>
      </c>
      <c r="B1186" t="s">
        <v>549</v>
      </c>
      <c r="D1186">
        <v>6193</v>
      </c>
    </row>
    <row r="1187" spans="1:4">
      <c r="A1187" s="41">
        <v>46029</v>
      </c>
      <c r="B1187" t="s">
        <v>575</v>
      </c>
      <c r="D1187">
        <v>231965</v>
      </c>
    </row>
    <row r="1188" spans="1:4">
      <c r="A1188" s="41">
        <v>46029</v>
      </c>
      <c r="B1188" t="s">
        <v>593</v>
      </c>
      <c r="D1188">
        <v>155654</v>
      </c>
    </row>
    <row r="1189" spans="1:4">
      <c r="A1189" s="41">
        <v>46029</v>
      </c>
      <c r="B1189" t="s">
        <v>594</v>
      </c>
      <c r="D1189">
        <v>129774</v>
      </c>
    </row>
    <row r="1190" spans="1:4">
      <c r="A1190" s="41">
        <v>46029</v>
      </c>
      <c r="B1190" t="s">
        <v>596</v>
      </c>
      <c r="D1190">
        <v>131480</v>
      </c>
    </row>
    <row r="1191" spans="1:4">
      <c r="A1191" s="41">
        <v>46029</v>
      </c>
      <c r="B1191" t="s">
        <v>608</v>
      </c>
      <c r="D1191">
        <v>293872</v>
      </c>
    </row>
    <row r="1192" spans="1:4">
      <c r="A1192" s="41">
        <v>46029</v>
      </c>
      <c r="B1192" t="s">
        <v>622</v>
      </c>
      <c r="D1192">
        <v>104914</v>
      </c>
    </row>
    <row r="1193" spans="1:4">
      <c r="A1193" s="41">
        <v>46029</v>
      </c>
      <c r="B1193" t="s">
        <v>634</v>
      </c>
      <c r="D1193">
        <v>98339</v>
      </c>
    </row>
    <row r="1194" spans="1:4">
      <c r="A1194" s="41">
        <v>46030</v>
      </c>
      <c r="B1194" t="s">
        <v>19</v>
      </c>
      <c r="C1194">
        <v>9934</v>
      </c>
      <c r="D1194">
        <v>249085</v>
      </c>
    </row>
    <row r="1195" spans="1:4">
      <c r="A1195" s="41">
        <v>46030</v>
      </c>
      <c r="B1195" t="s">
        <v>29</v>
      </c>
      <c r="C1195">
        <v>10481</v>
      </c>
      <c r="D1195">
        <v>251386</v>
      </c>
    </row>
    <row r="1196" spans="1:4">
      <c r="A1196" s="41">
        <v>46030</v>
      </c>
      <c r="B1196" t="s">
        <v>35</v>
      </c>
      <c r="C1196">
        <v>8267</v>
      </c>
      <c r="D1196">
        <v>166722</v>
      </c>
    </row>
    <row r="1197" spans="1:4">
      <c r="A1197" s="41">
        <v>46030</v>
      </c>
      <c r="B1197" t="s">
        <v>50</v>
      </c>
      <c r="D1197">
        <v>270325</v>
      </c>
    </row>
    <row r="1198" spans="1:4">
      <c r="A1198" s="41">
        <v>46030</v>
      </c>
      <c r="B1198" t="s">
        <v>65</v>
      </c>
      <c r="C1198">
        <v>3709</v>
      </c>
    </row>
    <row r="1199" spans="1:4">
      <c r="A1199" s="41">
        <v>46030</v>
      </c>
      <c r="B1199" t="s">
        <v>81</v>
      </c>
      <c r="C1199">
        <v>2481</v>
      </c>
      <c r="D1199">
        <v>189039</v>
      </c>
    </row>
    <row r="1200" spans="1:4">
      <c r="A1200" s="41">
        <v>46030</v>
      </c>
      <c r="B1200" t="s">
        <v>86</v>
      </c>
      <c r="C1200">
        <v>3208</v>
      </c>
      <c r="D1200">
        <v>77646</v>
      </c>
    </row>
    <row r="1201" spans="1:4">
      <c r="A1201" s="41">
        <v>46030</v>
      </c>
      <c r="B1201" t="s">
        <v>89</v>
      </c>
      <c r="C1201">
        <v>3258</v>
      </c>
      <c r="D1201">
        <v>84544</v>
      </c>
    </row>
    <row r="1202" spans="1:4">
      <c r="A1202" s="41">
        <v>46030</v>
      </c>
      <c r="B1202" t="s">
        <v>106</v>
      </c>
      <c r="D1202">
        <v>113830</v>
      </c>
    </row>
    <row r="1203" spans="1:4">
      <c r="A1203" s="41">
        <v>46030</v>
      </c>
      <c r="B1203" t="s">
        <v>121</v>
      </c>
      <c r="C1203">
        <v>7389</v>
      </c>
      <c r="D1203">
        <v>186879</v>
      </c>
    </row>
    <row r="1204" spans="1:4">
      <c r="A1204" s="41">
        <v>46030</v>
      </c>
      <c r="B1204" t="s">
        <v>126</v>
      </c>
      <c r="D1204">
        <v>58073</v>
      </c>
    </row>
    <row r="1205" spans="1:4">
      <c r="A1205" s="41">
        <v>46030</v>
      </c>
      <c r="B1205" t="s">
        <v>130</v>
      </c>
      <c r="C1205">
        <v>26470</v>
      </c>
    </row>
    <row r="1206" spans="1:4">
      <c r="A1206" s="41">
        <v>46030</v>
      </c>
      <c r="B1206" t="s">
        <v>152</v>
      </c>
      <c r="D1206">
        <v>260528</v>
      </c>
    </row>
    <row r="1207" spans="1:4">
      <c r="A1207" s="81">
        <v>44001</v>
      </c>
      <c r="B1207" t="s">
        <v>1184</v>
      </c>
      <c r="C1207">
        <v>6579</v>
      </c>
      <c r="D1207">
        <v>214768</v>
      </c>
    </row>
    <row r="1208" spans="1:4">
      <c r="A1208" s="41">
        <v>46030</v>
      </c>
      <c r="B1208" t="s">
        <v>159</v>
      </c>
      <c r="D1208">
        <v>138908</v>
      </c>
    </row>
    <row r="1209" spans="1:4">
      <c r="A1209" s="41">
        <v>46030</v>
      </c>
      <c r="B1209" t="s">
        <v>171</v>
      </c>
      <c r="C1209">
        <v>1689</v>
      </c>
      <c r="D1209">
        <v>187759</v>
      </c>
    </row>
    <row r="1210" spans="1:4">
      <c r="A1210" s="41">
        <v>46030</v>
      </c>
      <c r="B1210" t="s">
        <v>177</v>
      </c>
      <c r="C1210">
        <v>8613</v>
      </c>
      <c r="D1210">
        <v>190715</v>
      </c>
    </row>
    <row r="1211" spans="1:4">
      <c r="A1211" s="41">
        <v>46030</v>
      </c>
      <c r="B1211" t="s">
        <v>249</v>
      </c>
      <c r="C1211">
        <v>4758</v>
      </c>
    </row>
    <row r="1212" spans="1:4">
      <c r="A1212" s="41">
        <v>46030</v>
      </c>
      <c r="B1212" t="s">
        <v>254</v>
      </c>
      <c r="C1212">
        <v>15409</v>
      </c>
    </row>
    <row r="1213" spans="1:4">
      <c r="A1213" s="41">
        <v>46030</v>
      </c>
      <c r="B1213" t="s">
        <v>258</v>
      </c>
      <c r="C1213">
        <v>2375</v>
      </c>
    </row>
    <row r="1214" spans="1:4">
      <c r="A1214" s="41">
        <v>46030</v>
      </c>
      <c r="B1214" t="s">
        <v>263</v>
      </c>
      <c r="C1214">
        <v>9740</v>
      </c>
    </row>
    <row r="1215" spans="1:4">
      <c r="A1215" s="41">
        <v>46030</v>
      </c>
      <c r="B1215" t="s">
        <v>268</v>
      </c>
      <c r="C1215">
        <v>5439</v>
      </c>
    </row>
    <row r="1216" spans="1:4">
      <c r="A1216" s="41">
        <v>46030</v>
      </c>
      <c r="B1216" t="s">
        <v>273</v>
      </c>
      <c r="C1216">
        <v>3971</v>
      </c>
    </row>
    <row r="1217" spans="1:3">
      <c r="A1217" s="41">
        <v>46030</v>
      </c>
      <c r="B1217" t="s">
        <v>288</v>
      </c>
      <c r="C1217">
        <v>1096</v>
      </c>
    </row>
    <row r="1218" spans="1:3">
      <c r="A1218" s="41">
        <v>46030</v>
      </c>
      <c r="B1218" t="s">
        <v>301</v>
      </c>
      <c r="C1218">
        <v>14416</v>
      </c>
    </row>
    <row r="1219" spans="1:3">
      <c r="A1219" s="41">
        <v>46030</v>
      </c>
      <c r="B1219" t="s">
        <v>305</v>
      </c>
      <c r="C1219">
        <v>16758</v>
      </c>
    </row>
    <row r="1220" spans="1:3">
      <c r="A1220" s="41">
        <v>46030</v>
      </c>
      <c r="B1220" t="s">
        <v>314</v>
      </c>
      <c r="C1220">
        <v>27620</v>
      </c>
    </row>
    <row r="1221" spans="1:3">
      <c r="A1221" s="41">
        <v>46030</v>
      </c>
      <c r="B1221" t="s">
        <v>333</v>
      </c>
      <c r="C1221">
        <v>11776</v>
      </c>
    </row>
    <row r="1222" spans="1:3">
      <c r="A1222" s="41">
        <v>46030</v>
      </c>
      <c r="B1222" t="s">
        <v>356</v>
      </c>
      <c r="C1222">
        <v>15481</v>
      </c>
    </row>
    <row r="1223" spans="1:3">
      <c r="A1223" s="41">
        <v>46030</v>
      </c>
      <c r="B1223" t="s">
        <v>365</v>
      </c>
      <c r="C1223">
        <v>4722</v>
      </c>
    </row>
    <row r="1224" spans="1:3">
      <c r="A1224" s="41">
        <v>46030</v>
      </c>
      <c r="B1224" t="s">
        <v>379</v>
      </c>
      <c r="C1224">
        <v>3392</v>
      </c>
    </row>
    <row r="1225" spans="1:3">
      <c r="A1225" s="41">
        <v>46030</v>
      </c>
      <c r="B1225" t="s">
        <v>414</v>
      </c>
      <c r="C1225">
        <v>10147</v>
      </c>
    </row>
    <row r="1226" spans="1:3">
      <c r="A1226" s="41">
        <v>46030</v>
      </c>
      <c r="B1226" t="s">
        <v>417</v>
      </c>
      <c r="C1226">
        <v>7799</v>
      </c>
    </row>
    <row r="1227" spans="1:3">
      <c r="A1227" s="41">
        <v>46030</v>
      </c>
      <c r="B1227" t="s">
        <v>420</v>
      </c>
      <c r="C1227">
        <v>5489</v>
      </c>
    </row>
    <row r="1228" spans="1:3">
      <c r="A1228" s="41">
        <v>46030</v>
      </c>
      <c r="B1228" t="s">
        <v>424</v>
      </c>
      <c r="C1228">
        <v>485</v>
      </c>
    </row>
    <row r="1229" spans="1:3">
      <c r="A1229" s="41">
        <v>46030</v>
      </c>
      <c r="B1229" t="s">
        <v>431</v>
      </c>
      <c r="C1229">
        <v>9825</v>
      </c>
    </row>
    <row r="1230" spans="1:3">
      <c r="A1230" s="41">
        <v>46030</v>
      </c>
      <c r="B1230" t="s">
        <v>440</v>
      </c>
      <c r="C1230">
        <v>1830</v>
      </c>
    </row>
    <row r="1231" spans="1:3">
      <c r="A1231" s="41">
        <v>46030</v>
      </c>
      <c r="B1231" t="s">
        <v>443</v>
      </c>
      <c r="C1231">
        <v>2142</v>
      </c>
    </row>
    <row r="1232" spans="1:3">
      <c r="A1232" s="41">
        <v>46030</v>
      </c>
      <c r="B1232" t="s">
        <v>447</v>
      </c>
      <c r="C1232">
        <v>1578</v>
      </c>
    </row>
    <row r="1233" spans="1:4">
      <c r="A1233" s="41">
        <v>46030</v>
      </c>
      <c r="B1233" t="s">
        <v>449</v>
      </c>
      <c r="C1233">
        <v>1566</v>
      </c>
    </row>
    <row r="1234" spans="1:4">
      <c r="A1234" s="41">
        <v>46030</v>
      </c>
      <c r="B1234" t="s">
        <v>451</v>
      </c>
      <c r="C1234">
        <v>1860</v>
      </c>
    </row>
    <row r="1235" spans="1:4">
      <c r="A1235" s="41">
        <v>46030</v>
      </c>
      <c r="B1235" t="s">
        <v>456</v>
      </c>
      <c r="C1235">
        <v>1922</v>
      </c>
    </row>
    <row r="1236" spans="1:4">
      <c r="A1236" s="41">
        <v>46030</v>
      </c>
      <c r="B1236" t="s">
        <v>485</v>
      </c>
      <c r="D1236">
        <v>72809</v>
      </c>
    </row>
    <row r="1237" spans="1:4">
      <c r="A1237" s="41">
        <v>46030</v>
      </c>
      <c r="B1237" t="s">
        <v>488</v>
      </c>
      <c r="D1237">
        <v>95452</v>
      </c>
    </row>
    <row r="1238" spans="1:4">
      <c r="A1238" s="41">
        <v>46030</v>
      </c>
      <c r="B1238" t="s">
        <v>493</v>
      </c>
      <c r="D1238">
        <v>52850</v>
      </c>
    </row>
    <row r="1239" spans="1:4">
      <c r="A1239" s="41">
        <v>46030</v>
      </c>
      <c r="B1239" t="s">
        <v>496</v>
      </c>
      <c r="D1239">
        <v>105465</v>
      </c>
    </row>
    <row r="1240" spans="1:4">
      <c r="A1240" s="41">
        <v>46030</v>
      </c>
      <c r="B1240" t="s">
        <v>506</v>
      </c>
      <c r="D1240">
        <v>53063</v>
      </c>
    </row>
    <row r="1241" spans="1:4">
      <c r="A1241" s="41">
        <v>46030</v>
      </c>
      <c r="B1241" t="s">
        <v>510</v>
      </c>
      <c r="D1241">
        <v>38137</v>
      </c>
    </row>
    <row r="1242" spans="1:4">
      <c r="A1242" s="41">
        <v>46030</v>
      </c>
      <c r="B1242" t="s">
        <v>514</v>
      </c>
      <c r="D1242">
        <v>54515</v>
      </c>
    </row>
    <row r="1243" spans="1:4">
      <c r="A1243" s="41">
        <v>46030</v>
      </c>
      <c r="B1243" t="s">
        <v>520</v>
      </c>
      <c r="D1243">
        <v>44920</v>
      </c>
    </row>
    <row r="1244" spans="1:4">
      <c r="A1244" s="41">
        <v>46030</v>
      </c>
      <c r="B1244" t="s">
        <v>523</v>
      </c>
      <c r="D1244">
        <v>51824</v>
      </c>
    </row>
    <row r="1245" spans="1:4">
      <c r="A1245" s="41">
        <v>46030</v>
      </c>
      <c r="B1245" t="s">
        <v>526</v>
      </c>
      <c r="D1245">
        <v>54040</v>
      </c>
    </row>
    <row r="1246" spans="1:4">
      <c r="A1246" s="41">
        <v>46030</v>
      </c>
      <c r="B1246" t="s">
        <v>540</v>
      </c>
      <c r="D1246">
        <v>59030</v>
      </c>
    </row>
    <row r="1247" spans="1:4">
      <c r="A1247" s="41">
        <v>46030</v>
      </c>
      <c r="B1247" t="s">
        <v>549</v>
      </c>
      <c r="D1247">
        <v>6587</v>
      </c>
    </row>
    <row r="1248" spans="1:4">
      <c r="A1248" s="41">
        <v>46030</v>
      </c>
      <c r="B1248" t="s">
        <v>551</v>
      </c>
      <c r="D1248">
        <v>11412</v>
      </c>
    </row>
    <row r="1249" spans="1:4">
      <c r="A1249" s="41">
        <v>46030</v>
      </c>
      <c r="B1249" t="s">
        <v>559</v>
      </c>
      <c r="D1249">
        <v>555156</v>
      </c>
    </row>
    <row r="1250" spans="1:4">
      <c r="A1250" s="41">
        <v>46030</v>
      </c>
      <c r="B1250" t="s">
        <v>574</v>
      </c>
      <c r="D1250">
        <v>186218</v>
      </c>
    </row>
    <row r="1251" spans="1:4">
      <c r="A1251" s="41">
        <v>46030</v>
      </c>
      <c r="B1251" t="s">
        <v>577</v>
      </c>
      <c r="D1251">
        <v>219391</v>
      </c>
    </row>
    <row r="1252" spans="1:4">
      <c r="A1252" s="41">
        <v>46030</v>
      </c>
      <c r="B1252" t="s">
        <v>593</v>
      </c>
      <c r="D1252">
        <v>156063</v>
      </c>
    </row>
    <row r="1253" spans="1:4">
      <c r="A1253" s="41">
        <v>46030</v>
      </c>
      <c r="B1253" t="s">
        <v>596</v>
      </c>
      <c r="D1253">
        <v>131863</v>
      </c>
    </row>
    <row r="1254" spans="1:4">
      <c r="A1254" s="41">
        <v>46030</v>
      </c>
      <c r="B1254" t="s">
        <v>611</v>
      </c>
      <c r="D1254">
        <v>253606</v>
      </c>
    </row>
    <row r="1255" spans="1:4">
      <c r="A1255" s="41">
        <v>46030</v>
      </c>
      <c r="B1255" t="s">
        <v>620</v>
      </c>
      <c r="D1255">
        <v>117414</v>
      </c>
    </row>
    <row r="1256" spans="1:4">
      <c r="A1256" s="41">
        <v>46030</v>
      </c>
      <c r="B1256" t="s">
        <v>622</v>
      </c>
      <c r="D1256">
        <v>83132</v>
      </c>
    </row>
    <row r="1257" spans="1:4">
      <c r="A1257" s="41">
        <v>46030</v>
      </c>
      <c r="B1257" t="s">
        <v>630</v>
      </c>
      <c r="D1257">
        <v>134548</v>
      </c>
    </row>
    <row r="1258" spans="1:4">
      <c r="A1258" s="41">
        <v>46030</v>
      </c>
      <c r="B1258" t="s">
        <v>634</v>
      </c>
      <c r="D1258">
        <v>98530</v>
      </c>
    </row>
    <row r="1259" spans="1:4">
      <c r="A1259" s="41">
        <v>46031</v>
      </c>
      <c r="B1259" t="s">
        <v>29</v>
      </c>
      <c r="C1259">
        <v>10487</v>
      </c>
      <c r="D1259">
        <v>251534</v>
      </c>
    </row>
    <row r="1260" spans="1:4">
      <c r="A1260" s="41">
        <v>46031</v>
      </c>
      <c r="B1260" t="s">
        <v>78</v>
      </c>
      <c r="D1260">
        <v>505090</v>
      </c>
    </row>
    <row r="1261" spans="1:4">
      <c r="A1261" s="41">
        <v>46031</v>
      </c>
      <c r="B1261" t="s">
        <v>97</v>
      </c>
      <c r="D1261">
        <v>65006</v>
      </c>
    </row>
    <row r="1262" spans="1:4">
      <c r="A1262" s="41">
        <v>46031</v>
      </c>
      <c r="B1262" t="s">
        <v>106</v>
      </c>
      <c r="D1262">
        <v>114025</v>
      </c>
    </row>
    <row r="1263" spans="1:4">
      <c r="A1263" s="41">
        <v>46031</v>
      </c>
      <c r="B1263" t="s">
        <v>138</v>
      </c>
      <c r="D1263">
        <v>285847</v>
      </c>
    </row>
    <row r="1264" spans="1:4">
      <c r="A1264" s="41">
        <v>46031</v>
      </c>
      <c r="B1264" t="s">
        <v>661</v>
      </c>
      <c r="D1264">
        <v>301050</v>
      </c>
    </row>
    <row r="1265" spans="1:4">
      <c r="A1265" s="41">
        <v>46031</v>
      </c>
      <c r="B1265" t="s">
        <v>173</v>
      </c>
      <c r="C1265">
        <v>8440</v>
      </c>
      <c r="D1265">
        <v>162456</v>
      </c>
    </row>
    <row r="1266" spans="1:4">
      <c r="A1266" s="41">
        <v>46031</v>
      </c>
      <c r="B1266" t="s">
        <v>175</v>
      </c>
      <c r="C1266">
        <v>8966</v>
      </c>
      <c r="D1266">
        <v>203140</v>
      </c>
    </row>
    <row r="1267" spans="1:4">
      <c r="A1267" s="41">
        <v>46031</v>
      </c>
      <c r="B1267" t="s">
        <v>182</v>
      </c>
      <c r="C1267">
        <v>8660</v>
      </c>
      <c r="D1267">
        <v>163160</v>
      </c>
    </row>
    <row r="1268" spans="1:4">
      <c r="A1268" s="41">
        <v>46031</v>
      </c>
      <c r="B1268" t="s">
        <v>185</v>
      </c>
      <c r="C1268">
        <v>3064</v>
      </c>
      <c r="D1268">
        <v>565360</v>
      </c>
    </row>
    <row r="1269" spans="1:4">
      <c r="A1269" s="41">
        <v>46031</v>
      </c>
      <c r="B1269" t="s">
        <v>187</v>
      </c>
      <c r="D1269">
        <v>531285</v>
      </c>
    </row>
    <row r="1270" spans="1:4">
      <c r="A1270" s="41">
        <v>46031</v>
      </c>
      <c r="B1270" t="s">
        <v>193</v>
      </c>
      <c r="C1270">
        <v>13577</v>
      </c>
      <c r="D1270">
        <v>354613</v>
      </c>
    </row>
    <row r="1271" spans="1:4">
      <c r="A1271" s="41">
        <v>46031</v>
      </c>
      <c r="B1271" t="s">
        <v>321</v>
      </c>
      <c r="C1271">
        <v>8923</v>
      </c>
    </row>
    <row r="1272" spans="1:4">
      <c r="A1272" s="41">
        <v>46031</v>
      </c>
      <c r="B1272" t="s">
        <v>408</v>
      </c>
      <c r="C1272">
        <v>4267</v>
      </c>
    </row>
    <row r="1273" spans="1:4">
      <c r="A1273" s="41">
        <v>46031</v>
      </c>
      <c r="B1273" t="s">
        <v>414</v>
      </c>
      <c r="C1273">
        <v>10157</v>
      </c>
    </row>
    <row r="1274" spans="1:4">
      <c r="A1274" s="41">
        <v>46031</v>
      </c>
      <c r="B1274" t="s">
        <v>465</v>
      </c>
      <c r="D1274">
        <v>94519</v>
      </c>
    </row>
    <row r="1275" spans="1:4">
      <c r="A1275" s="41">
        <v>46031</v>
      </c>
      <c r="B1275" t="s">
        <v>493</v>
      </c>
      <c r="D1275">
        <v>53212</v>
      </c>
    </row>
    <row r="1276" spans="1:4">
      <c r="A1276" s="41">
        <v>46031</v>
      </c>
      <c r="B1276" t="s">
        <v>499</v>
      </c>
      <c r="D1276">
        <v>55534</v>
      </c>
    </row>
    <row r="1277" spans="1:4">
      <c r="A1277" s="41">
        <v>46031</v>
      </c>
      <c r="B1277" t="s">
        <v>508</v>
      </c>
      <c r="D1277">
        <v>43385</v>
      </c>
    </row>
    <row r="1278" spans="1:4">
      <c r="A1278" s="41">
        <v>46031</v>
      </c>
      <c r="B1278" t="s">
        <v>512</v>
      </c>
      <c r="D1278">
        <v>43215</v>
      </c>
    </row>
    <row r="1279" spans="1:4">
      <c r="A1279" s="41">
        <v>46031</v>
      </c>
      <c r="B1279" t="s">
        <v>514</v>
      </c>
      <c r="D1279">
        <v>54788</v>
      </c>
    </row>
    <row r="1280" spans="1:4">
      <c r="A1280" s="41">
        <v>46031</v>
      </c>
      <c r="B1280" t="s">
        <v>515</v>
      </c>
      <c r="D1280">
        <v>61104</v>
      </c>
    </row>
    <row r="1281" spans="1:4">
      <c r="A1281" s="41">
        <v>46031</v>
      </c>
      <c r="B1281" t="s">
        <v>518</v>
      </c>
      <c r="D1281">
        <v>65686</v>
      </c>
    </row>
    <row r="1282" spans="1:4">
      <c r="A1282" s="41">
        <v>46031</v>
      </c>
      <c r="B1282" t="s">
        <v>528</v>
      </c>
      <c r="D1282">
        <v>59832</v>
      </c>
    </row>
    <row r="1283" spans="1:4">
      <c r="A1283" s="41">
        <v>46031</v>
      </c>
      <c r="B1283" t="s">
        <v>533</v>
      </c>
      <c r="D1283">
        <v>66462</v>
      </c>
    </row>
    <row r="1284" spans="1:4">
      <c r="A1284" s="41">
        <v>46031</v>
      </c>
      <c r="B1284" t="s">
        <v>540</v>
      </c>
      <c r="D1284">
        <v>59243</v>
      </c>
    </row>
    <row r="1285" spans="1:4">
      <c r="A1285" s="41">
        <v>46031</v>
      </c>
      <c r="B1285" t="s">
        <v>540</v>
      </c>
      <c r="D1285">
        <v>59377</v>
      </c>
    </row>
    <row r="1286" spans="1:4">
      <c r="A1286" s="41">
        <v>46031</v>
      </c>
      <c r="B1286" t="s">
        <v>542</v>
      </c>
      <c r="D1286">
        <v>78133</v>
      </c>
    </row>
    <row r="1287" spans="1:4">
      <c r="A1287" s="41">
        <v>46031</v>
      </c>
      <c r="B1287" t="s">
        <v>547</v>
      </c>
      <c r="D1287">
        <v>7418</v>
      </c>
    </row>
    <row r="1288" spans="1:4">
      <c r="A1288" s="41">
        <v>46031</v>
      </c>
      <c r="B1288" t="s">
        <v>552</v>
      </c>
      <c r="D1288">
        <v>118</v>
      </c>
    </row>
    <row r="1289" spans="1:4">
      <c r="A1289" s="41">
        <v>46031</v>
      </c>
      <c r="B1289" t="s">
        <v>568</v>
      </c>
      <c r="D1289">
        <v>150824</v>
      </c>
    </row>
    <row r="1290" spans="1:4">
      <c r="A1290" s="41">
        <v>46031</v>
      </c>
      <c r="B1290" t="s">
        <v>572</v>
      </c>
      <c r="D1290">
        <v>142495</v>
      </c>
    </row>
    <row r="1291" spans="1:4">
      <c r="A1291" s="41">
        <v>46031</v>
      </c>
      <c r="B1291" t="s">
        <v>591</v>
      </c>
      <c r="D1291">
        <v>135692</v>
      </c>
    </row>
    <row r="1292" spans="1:4">
      <c r="A1292" s="41">
        <v>46031</v>
      </c>
      <c r="B1292" t="s">
        <v>594</v>
      </c>
      <c r="D1292">
        <v>130285</v>
      </c>
    </row>
    <row r="1293" spans="1:4">
      <c r="A1293" s="41">
        <v>46031</v>
      </c>
      <c r="B1293" t="s">
        <v>596</v>
      </c>
      <c r="D1293">
        <v>132312</v>
      </c>
    </row>
    <row r="1294" spans="1:4">
      <c r="A1294" s="41">
        <v>46031</v>
      </c>
      <c r="B1294" t="s">
        <v>598</v>
      </c>
      <c r="D1294">
        <v>125854</v>
      </c>
    </row>
    <row r="1295" spans="1:4">
      <c r="A1295" s="41">
        <v>46031</v>
      </c>
      <c r="B1295" t="s">
        <v>616</v>
      </c>
      <c r="D1295">
        <v>112524</v>
      </c>
    </row>
    <row r="1296" spans="1:4">
      <c r="A1296" s="41">
        <v>46031</v>
      </c>
      <c r="B1296" t="s">
        <v>618</v>
      </c>
      <c r="D1296">
        <v>105435</v>
      </c>
    </row>
    <row r="1297" spans="1:4">
      <c r="A1297" s="41">
        <v>46031</v>
      </c>
      <c r="B1297" t="s">
        <v>626</v>
      </c>
      <c r="D1297">
        <v>99945</v>
      </c>
    </row>
    <row r="1298" spans="1:4">
      <c r="A1298" s="41">
        <v>46031</v>
      </c>
      <c r="B1298" t="s">
        <v>628</v>
      </c>
      <c r="D1298">
        <v>84930</v>
      </c>
    </row>
    <row r="1299" spans="1:4">
      <c r="A1299" s="41">
        <v>46031</v>
      </c>
      <c r="B1299" t="s">
        <v>634</v>
      </c>
      <c r="D1299">
        <v>98789</v>
      </c>
    </row>
    <row r="1300" spans="1:4">
      <c r="A1300" s="41">
        <v>46034</v>
      </c>
      <c r="B1300" t="s">
        <v>19</v>
      </c>
      <c r="C1300">
        <v>9943</v>
      </c>
      <c r="D1300">
        <v>249340</v>
      </c>
    </row>
    <row r="1301" spans="1:4">
      <c r="A1301" s="41">
        <v>46034</v>
      </c>
      <c r="B1301" t="s">
        <v>19</v>
      </c>
      <c r="C1301">
        <v>9951</v>
      </c>
      <c r="D1301">
        <v>249528</v>
      </c>
    </row>
    <row r="1302" spans="1:4">
      <c r="A1302" s="41">
        <v>46034</v>
      </c>
      <c r="B1302" t="s">
        <v>44</v>
      </c>
      <c r="D1302">
        <v>187140</v>
      </c>
    </row>
    <row r="1303" spans="1:4">
      <c r="A1303" s="41">
        <v>46034</v>
      </c>
      <c r="B1303" t="s">
        <v>50</v>
      </c>
      <c r="D1303">
        <v>270497</v>
      </c>
    </row>
    <row r="1304" spans="1:4">
      <c r="A1304" s="41">
        <v>46034</v>
      </c>
      <c r="B1304" t="s">
        <v>65</v>
      </c>
      <c r="C1304">
        <v>3711</v>
      </c>
    </row>
    <row r="1305" spans="1:4">
      <c r="A1305" s="41">
        <v>46034</v>
      </c>
      <c r="B1305" t="s">
        <v>77</v>
      </c>
      <c r="D1305">
        <v>114148</v>
      </c>
    </row>
    <row r="1306" spans="1:4">
      <c r="A1306" s="41">
        <v>46034</v>
      </c>
      <c r="B1306" t="s">
        <v>78</v>
      </c>
      <c r="D1306">
        <v>505086</v>
      </c>
    </row>
    <row r="1307" spans="1:4">
      <c r="A1307" s="41">
        <v>46034</v>
      </c>
      <c r="B1307" t="s">
        <v>81</v>
      </c>
      <c r="C1307">
        <v>2495</v>
      </c>
    </row>
    <row r="1308" spans="1:4">
      <c r="A1308" s="41">
        <v>46034</v>
      </c>
      <c r="B1308" t="s">
        <v>86</v>
      </c>
      <c r="D1308">
        <v>7854</v>
      </c>
    </row>
    <row r="1309" spans="1:4">
      <c r="A1309" s="41">
        <v>46034</v>
      </c>
      <c r="B1309" t="s">
        <v>89</v>
      </c>
      <c r="C1309">
        <v>3267</v>
      </c>
      <c r="D1309">
        <v>84747</v>
      </c>
    </row>
    <row r="1310" spans="1:4">
      <c r="A1310" s="41">
        <v>46034</v>
      </c>
      <c r="B1310" t="s">
        <v>93</v>
      </c>
      <c r="D1310">
        <v>95275</v>
      </c>
    </row>
    <row r="1311" spans="1:4">
      <c r="A1311" s="41">
        <v>46034</v>
      </c>
      <c r="B1311" t="s">
        <v>97</v>
      </c>
      <c r="D1311">
        <v>65247</v>
      </c>
    </row>
    <row r="1312" spans="1:4">
      <c r="A1312" s="41">
        <v>46034</v>
      </c>
      <c r="B1312" t="s">
        <v>121</v>
      </c>
      <c r="C1312">
        <v>7397</v>
      </c>
      <c r="D1312">
        <v>187099</v>
      </c>
    </row>
    <row r="1313" spans="1:4">
      <c r="A1313" s="41">
        <v>46034</v>
      </c>
      <c r="B1313" t="s">
        <v>126</v>
      </c>
      <c r="D1313">
        <v>58340</v>
      </c>
    </row>
    <row r="1314" spans="1:4">
      <c r="A1314" s="41">
        <v>46034</v>
      </c>
      <c r="B1314" t="s">
        <v>130</v>
      </c>
    </row>
    <row r="1315" spans="1:4">
      <c r="A1315" s="41">
        <v>46034</v>
      </c>
      <c r="B1315" t="s">
        <v>138</v>
      </c>
      <c r="D1315">
        <v>285961</v>
      </c>
    </row>
    <row r="1316" spans="1:4">
      <c r="A1316" s="41">
        <v>46034</v>
      </c>
      <c r="B1316" t="s">
        <v>152</v>
      </c>
      <c r="D1316">
        <v>260612</v>
      </c>
    </row>
    <row r="1317" spans="1:4">
      <c r="A1317" s="81">
        <v>44061</v>
      </c>
      <c r="B1317" t="s">
        <v>145</v>
      </c>
      <c r="D1317">
        <v>575622</v>
      </c>
    </row>
    <row r="1318" spans="1:4">
      <c r="A1318" s="41">
        <v>46034</v>
      </c>
      <c r="B1318" t="s">
        <v>171</v>
      </c>
      <c r="C1318">
        <v>1697</v>
      </c>
      <c r="D1318">
        <v>197963</v>
      </c>
    </row>
    <row r="1319" spans="1:4">
      <c r="A1319" s="41">
        <v>46034</v>
      </c>
      <c r="B1319" t="s">
        <v>171</v>
      </c>
      <c r="C1319">
        <v>1703</v>
      </c>
      <c r="D1319">
        <v>198153</v>
      </c>
    </row>
    <row r="1320" spans="1:4">
      <c r="A1320" s="41">
        <v>46034</v>
      </c>
      <c r="B1320" t="s">
        <v>175</v>
      </c>
      <c r="C1320">
        <v>8968</v>
      </c>
      <c r="D1320">
        <v>203189</v>
      </c>
    </row>
    <row r="1321" spans="1:4">
      <c r="A1321" s="41">
        <v>46034</v>
      </c>
      <c r="B1321" t="s">
        <v>207</v>
      </c>
      <c r="C1321">
        <v>1499</v>
      </c>
    </row>
    <row r="1322" spans="1:4">
      <c r="A1322" s="41">
        <v>46034</v>
      </c>
      <c r="B1322" t="s">
        <v>246</v>
      </c>
      <c r="C1322">
        <v>6335</v>
      </c>
    </row>
    <row r="1323" spans="1:4">
      <c r="A1323" s="41">
        <v>46034</v>
      </c>
      <c r="B1323" t="s">
        <v>258</v>
      </c>
      <c r="C1323">
        <v>2383</v>
      </c>
    </row>
    <row r="1324" spans="1:4">
      <c r="A1324" s="41">
        <v>46034</v>
      </c>
      <c r="B1324" t="s">
        <v>263</v>
      </c>
      <c r="C1324">
        <v>9753</v>
      </c>
    </row>
    <row r="1325" spans="1:4">
      <c r="A1325" s="41">
        <v>46034</v>
      </c>
      <c r="B1325" t="s">
        <v>268</v>
      </c>
      <c r="C1325">
        <v>5447</v>
      </c>
    </row>
    <row r="1326" spans="1:4">
      <c r="A1326" s="41">
        <v>46034</v>
      </c>
      <c r="B1326" t="s">
        <v>273</v>
      </c>
      <c r="C1326">
        <v>3984</v>
      </c>
    </row>
    <row r="1327" spans="1:4">
      <c r="A1327" s="41">
        <v>46034</v>
      </c>
      <c r="B1327" t="s">
        <v>275</v>
      </c>
      <c r="C1327">
        <v>1296</v>
      </c>
    </row>
    <row r="1328" spans="1:4">
      <c r="A1328" s="41">
        <v>46034</v>
      </c>
      <c r="B1328" t="s">
        <v>288</v>
      </c>
      <c r="C1328">
        <v>1112</v>
      </c>
    </row>
    <row r="1329" spans="1:4">
      <c r="A1329" s="41">
        <v>46034</v>
      </c>
      <c r="B1329" t="s">
        <v>288</v>
      </c>
      <c r="C1329">
        <v>1104</v>
      </c>
    </row>
    <row r="1330" spans="1:4">
      <c r="A1330" s="41">
        <v>46034</v>
      </c>
      <c r="B1330" t="s">
        <v>295</v>
      </c>
      <c r="C1330">
        <v>8766</v>
      </c>
    </row>
    <row r="1331" spans="1:4">
      <c r="A1331" s="41">
        <v>46034</v>
      </c>
      <c r="B1331" t="s">
        <v>330</v>
      </c>
      <c r="C1331">
        <v>25852</v>
      </c>
    </row>
    <row r="1332" spans="1:4">
      <c r="A1332" s="41">
        <v>46034</v>
      </c>
      <c r="B1332" t="s">
        <v>333</v>
      </c>
      <c r="C1332">
        <v>11779</v>
      </c>
    </row>
    <row r="1333" spans="1:4">
      <c r="A1333" s="41">
        <v>46034</v>
      </c>
      <c r="B1333" t="s">
        <v>356</v>
      </c>
      <c r="C1333">
        <v>15492</v>
      </c>
    </row>
    <row r="1334" spans="1:4">
      <c r="A1334" s="41">
        <v>46034</v>
      </c>
      <c r="B1334" t="s">
        <v>378</v>
      </c>
      <c r="C1334">
        <v>3611</v>
      </c>
    </row>
    <row r="1335" spans="1:4">
      <c r="A1335" s="41">
        <v>46034</v>
      </c>
      <c r="B1335" t="s">
        <v>379</v>
      </c>
      <c r="C1335">
        <v>2398</v>
      </c>
    </row>
    <row r="1336" spans="1:4">
      <c r="A1336" s="41">
        <v>46034</v>
      </c>
      <c r="B1336" t="s">
        <v>405</v>
      </c>
      <c r="C1336">
        <v>12518</v>
      </c>
    </row>
    <row r="1337" spans="1:4">
      <c r="A1337" s="41">
        <v>46034</v>
      </c>
      <c r="B1337" t="s">
        <v>420</v>
      </c>
      <c r="C1337">
        <v>5498</v>
      </c>
    </row>
    <row r="1338" spans="1:4">
      <c r="A1338" s="41">
        <v>46034</v>
      </c>
      <c r="B1338" t="s">
        <v>424</v>
      </c>
      <c r="C1338">
        <v>490</v>
      </c>
    </row>
    <row r="1339" spans="1:4">
      <c r="A1339" s="41">
        <v>46034</v>
      </c>
      <c r="B1339" t="s">
        <v>431</v>
      </c>
      <c r="C1339">
        <v>9840</v>
      </c>
    </row>
    <row r="1340" spans="1:4">
      <c r="A1340" s="41">
        <v>46034</v>
      </c>
      <c r="B1340" t="s">
        <v>443</v>
      </c>
      <c r="C1340">
        <v>2149</v>
      </c>
    </row>
    <row r="1341" spans="1:4">
      <c r="A1341" s="41">
        <v>46034</v>
      </c>
      <c r="B1341" t="s">
        <v>447</v>
      </c>
      <c r="C1341">
        <v>1578</v>
      </c>
    </row>
    <row r="1342" spans="1:4">
      <c r="A1342" s="41">
        <v>46034</v>
      </c>
      <c r="B1342" t="s">
        <v>456</v>
      </c>
      <c r="C1342">
        <v>1937</v>
      </c>
    </row>
    <row r="1343" spans="1:4">
      <c r="A1343" s="41">
        <v>46034</v>
      </c>
      <c r="B1343" t="s">
        <v>465</v>
      </c>
      <c r="D1343">
        <v>94977</v>
      </c>
    </row>
    <row r="1344" spans="1:4">
      <c r="A1344" s="41">
        <v>46034</v>
      </c>
      <c r="B1344" t="s">
        <v>485</v>
      </c>
      <c r="D1344">
        <v>73211</v>
      </c>
    </row>
    <row r="1345" spans="1:4">
      <c r="A1345" s="41">
        <v>46034</v>
      </c>
      <c r="B1345" t="s">
        <v>488</v>
      </c>
      <c r="D1345">
        <v>96178</v>
      </c>
    </row>
    <row r="1346" spans="1:4">
      <c r="A1346" s="41">
        <v>46034</v>
      </c>
      <c r="B1346" t="s">
        <v>490</v>
      </c>
      <c r="D1346">
        <v>78496</v>
      </c>
    </row>
    <row r="1347" spans="1:4">
      <c r="A1347" s="41">
        <v>46034</v>
      </c>
      <c r="B1347" t="s">
        <v>493</v>
      </c>
      <c r="D1347">
        <v>53447</v>
      </c>
    </row>
    <row r="1348" spans="1:4">
      <c r="A1348" s="41">
        <v>46034</v>
      </c>
      <c r="B1348" t="s">
        <v>496</v>
      </c>
      <c r="D1348">
        <v>106125</v>
      </c>
    </row>
    <row r="1349" spans="1:4">
      <c r="A1349" s="41">
        <v>46034</v>
      </c>
      <c r="B1349" t="s">
        <v>501</v>
      </c>
      <c r="D1349">
        <v>77318</v>
      </c>
    </row>
    <row r="1350" spans="1:4">
      <c r="A1350" s="41">
        <v>46034</v>
      </c>
      <c r="B1350" t="s">
        <v>506</v>
      </c>
      <c r="D1350">
        <v>53548</v>
      </c>
    </row>
    <row r="1351" spans="1:4">
      <c r="A1351" s="41">
        <v>46034</v>
      </c>
      <c r="B1351" t="s">
        <v>510</v>
      </c>
      <c r="D1351">
        <v>38563</v>
      </c>
    </row>
    <row r="1352" spans="1:4">
      <c r="A1352" s="41">
        <v>46034</v>
      </c>
      <c r="B1352" t="s">
        <v>514</v>
      </c>
      <c r="D1352">
        <v>54991</v>
      </c>
    </row>
    <row r="1353" spans="1:4">
      <c r="A1353" s="41">
        <v>46034</v>
      </c>
      <c r="B1353" t="s">
        <v>515</v>
      </c>
      <c r="D1353">
        <v>61604</v>
      </c>
    </row>
    <row r="1354" spans="1:4">
      <c r="A1354" s="41">
        <v>46034</v>
      </c>
      <c r="B1354" t="s">
        <v>520</v>
      </c>
      <c r="D1354">
        <v>45464</v>
      </c>
    </row>
    <row r="1355" spans="1:4">
      <c r="A1355" s="41">
        <v>46034</v>
      </c>
      <c r="B1355" t="s">
        <v>523</v>
      </c>
      <c r="D1355">
        <v>52395</v>
      </c>
    </row>
    <row r="1356" spans="1:4">
      <c r="A1356" s="41">
        <v>46034</v>
      </c>
      <c r="B1356" t="s">
        <v>526</v>
      </c>
      <c r="D1356">
        <v>54650</v>
      </c>
    </row>
    <row r="1357" spans="1:4">
      <c r="A1357" s="41">
        <v>46034</v>
      </c>
      <c r="B1357" t="s">
        <v>533</v>
      </c>
      <c r="D1357">
        <v>66914</v>
      </c>
    </row>
    <row r="1358" spans="1:4">
      <c r="A1358" s="41">
        <v>46034</v>
      </c>
      <c r="B1358" t="s">
        <v>535</v>
      </c>
      <c r="D1358">
        <v>85475</v>
      </c>
    </row>
    <row r="1359" spans="1:4">
      <c r="A1359" s="41">
        <v>46034</v>
      </c>
      <c r="B1359" t="s">
        <v>542</v>
      </c>
      <c r="D1359">
        <v>79027</v>
      </c>
    </row>
    <row r="1360" spans="1:4">
      <c r="A1360" s="41">
        <v>46034</v>
      </c>
      <c r="B1360" t="s">
        <v>551</v>
      </c>
      <c r="D1360">
        <v>12186</v>
      </c>
    </row>
    <row r="1361" spans="1:4">
      <c r="A1361" s="41">
        <v>46034</v>
      </c>
      <c r="B1361" t="s">
        <v>568</v>
      </c>
      <c r="D1361">
        <v>152518</v>
      </c>
    </row>
    <row r="1362" spans="1:4">
      <c r="A1362" s="41">
        <v>46034</v>
      </c>
      <c r="B1362" t="s">
        <v>568</v>
      </c>
      <c r="D1362">
        <v>113514</v>
      </c>
    </row>
    <row r="1363" spans="1:4">
      <c r="A1363" s="41">
        <v>46034</v>
      </c>
      <c r="B1363" t="s">
        <v>572</v>
      </c>
      <c r="D1363">
        <v>143211</v>
      </c>
    </row>
    <row r="1364" spans="1:4">
      <c r="A1364" s="41">
        <v>46034</v>
      </c>
      <c r="B1364" t="s">
        <v>574</v>
      </c>
      <c r="D1364">
        <v>187031</v>
      </c>
    </row>
    <row r="1365" spans="1:4">
      <c r="A1365" s="41">
        <v>46034</v>
      </c>
      <c r="B1365" t="s">
        <v>575</v>
      </c>
      <c r="D1365">
        <v>233034</v>
      </c>
    </row>
    <row r="1366" spans="1:4">
      <c r="A1366" s="41">
        <v>46034</v>
      </c>
      <c r="B1366" t="s">
        <v>575</v>
      </c>
      <c r="D1366">
        <v>232862</v>
      </c>
    </row>
    <row r="1367" spans="1:4">
      <c r="A1367" s="41">
        <v>46034</v>
      </c>
      <c r="B1367" t="s">
        <v>577</v>
      </c>
      <c r="D1367">
        <v>220425</v>
      </c>
    </row>
    <row r="1368" spans="1:4">
      <c r="A1368" s="41">
        <v>46034</v>
      </c>
      <c r="B1368" t="s">
        <v>596</v>
      </c>
      <c r="D1368">
        <v>132650</v>
      </c>
    </row>
    <row r="1369" spans="1:4">
      <c r="A1369" s="41">
        <v>46034</v>
      </c>
      <c r="B1369" t="s">
        <v>608</v>
      </c>
      <c r="D1369">
        <v>294434</v>
      </c>
    </row>
    <row r="1370" spans="1:4">
      <c r="A1370" s="41">
        <v>46034</v>
      </c>
      <c r="B1370" t="s">
        <v>611</v>
      </c>
      <c r="D1370">
        <v>254084</v>
      </c>
    </row>
    <row r="1371" spans="1:4">
      <c r="A1371" s="41">
        <v>46034</v>
      </c>
      <c r="B1371" t="s">
        <v>620</v>
      </c>
      <c r="D1371">
        <v>118194</v>
      </c>
    </row>
    <row r="1372" spans="1:4">
      <c r="A1372" s="41">
        <v>46034</v>
      </c>
      <c r="B1372" t="s">
        <v>624</v>
      </c>
      <c r="D1372">
        <v>83551</v>
      </c>
    </row>
    <row r="1373" spans="1:4">
      <c r="A1373" s="41">
        <v>46034</v>
      </c>
      <c r="B1373" t="s">
        <v>628</v>
      </c>
      <c r="D1373">
        <v>85585</v>
      </c>
    </row>
    <row r="1374" spans="1:4">
      <c r="A1374" s="41">
        <v>46034</v>
      </c>
      <c r="B1374" t="s">
        <v>630</v>
      </c>
      <c r="D1374">
        <v>135472</v>
      </c>
    </row>
    <row r="1375" spans="1:4">
      <c r="A1375" s="41">
        <v>46034</v>
      </c>
      <c r="B1375" t="s">
        <v>634</v>
      </c>
      <c r="D1375">
        <v>99053</v>
      </c>
    </row>
    <row r="1376" spans="1:4">
      <c r="A1376" s="41">
        <v>46035</v>
      </c>
      <c r="B1376" t="s">
        <v>19</v>
      </c>
      <c r="C1376">
        <v>9959</v>
      </c>
      <c r="D1376">
        <v>249790</v>
      </c>
    </row>
    <row r="1377" spans="1:4">
      <c r="A1377" s="41">
        <v>46035</v>
      </c>
      <c r="B1377" t="s">
        <v>29</v>
      </c>
      <c r="C1377">
        <v>10501</v>
      </c>
      <c r="D1377">
        <v>251906</v>
      </c>
    </row>
    <row r="1378" spans="1:4">
      <c r="A1378" s="41">
        <v>46035</v>
      </c>
      <c r="B1378" t="s">
        <v>35</v>
      </c>
      <c r="C1378">
        <v>8277</v>
      </c>
      <c r="D1378">
        <v>167169</v>
      </c>
    </row>
    <row r="1379" spans="1:4">
      <c r="A1379" s="41">
        <v>46035</v>
      </c>
      <c r="B1379" t="s">
        <v>35</v>
      </c>
      <c r="C1379">
        <v>8277</v>
      </c>
      <c r="D1379">
        <v>167169</v>
      </c>
    </row>
    <row r="1380" spans="1:4">
      <c r="A1380" s="41">
        <v>46035</v>
      </c>
      <c r="B1380" t="s">
        <v>81</v>
      </c>
      <c r="C1380">
        <v>2506</v>
      </c>
    </row>
    <row r="1381" spans="1:4">
      <c r="A1381" s="41">
        <v>46035</v>
      </c>
      <c r="B1381" t="s">
        <v>86</v>
      </c>
      <c r="C1381">
        <v>3228</v>
      </c>
      <c r="D1381">
        <v>78181</v>
      </c>
    </row>
    <row r="1382" spans="1:4">
      <c r="A1382" s="41">
        <v>46035</v>
      </c>
      <c r="B1382" t="s">
        <v>106</v>
      </c>
      <c r="D1382">
        <v>115339</v>
      </c>
    </row>
    <row r="1383" spans="1:4">
      <c r="A1383" s="41">
        <v>46035</v>
      </c>
      <c r="B1383" t="s">
        <v>106</v>
      </c>
      <c r="D1383">
        <v>115485</v>
      </c>
    </row>
    <row r="1384" spans="1:4">
      <c r="A1384" s="41">
        <v>46035</v>
      </c>
      <c r="B1384" t="s">
        <v>121</v>
      </c>
      <c r="C1384">
        <v>2408</v>
      </c>
      <c r="D1384">
        <v>187439</v>
      </c>
    </row>
    <row r="1385" spans="1:4">
      <c r="A1385" s="41">
        <v>46035</v>
      </c>
      <c r="B1385" t="s">
        <v>121</v>
      </c>
      <c r="C1385">
        <v>7411</v>
      </c>
      <c r="D1385">
        <v>187469</v>
      </c>
    </row>
    <row r="1386" spans="1:4">
      <c r="A1386" s="81">
        <v>44067</v>
      </c>
      <c r="B1386" t="s">
        <v>1196</v>
      </c>
      <c r="C1386">
        <v>3313</v>
      </c>
      <c r="D1386">
        <v>155149</v>
      </c>
    </row>
    <row r="1387" spans="1:4">
      <c r="A1387" s="41">
        <v>46035</v>
      </c>
      <c r="B1387" t="s">
        <v>661</v>
      </c>
      <c r="D1387">
        <v>301951</v>
      </c>
    </row>
    <row r="1388" spans="1:4">
      <c r="A1388" s="41">
        <v>46035</v>
      </c>
      <c r="B1388" t="s">
        <v>175</v>
      </c>
      <c r="C1388">
        <v>8979</v>
      </c>
      <c r="D1388">
        <v>203485</v>
      </c>
    </row>
    <row r="1389" spans="1:4">
      <c r="A1389" s="41">
        <v>46035</v>
      </c>
      <c r="B1389" t="s">
        <v>177</v>
      </c>
      <c r="D1389">
        <v>190962</v>
      </c>
    </row>
    <row r="1390" spans="1:4">
      <c r="A1390" s="41">
        <v>46035</v>
      </c>
      <c r="B1390" t="s">
        <v>246</v>
      </c>
      <c r="C1390">
        <v>6346</v>
      </c>
    </row>
    <row r="1391" spans="1:4">
      <c r="A1391" s="41">
        <v>46035</v>
      </c>
      <c r="B1391" t="s">
        <v>254</v>
      </c>
      <c r="C1391">
        <v>15430</v>
      </c>
    </row>
    <row r="1392" spans="1:4">
      <c r="A1392" s="41">
        <v>46035</v>
      </c>
      <c r="B1392" t="s">
        <v>258</v>
      </c>
      <c r="C1392">
        <v>2402</v>
      </c>
    </row>
    <row r="1393" spans="1:4">
      <c r="A1393" s="41">
        <v>46035</v>
      </c>
      <c r="B1393" t="s">
        <v>288</v>
      </c>
      <c r="C1393">
        <v>1121</v>
      </c>
    </row>
    <row r="1394" spans="1:4">
      <c r="A1394" s="41">
        <v>46035</v>
      </c>
      <c r="B1394" t="s">
        <v>330</v>
      </c>
      <c r="C1394">
        <v>25863</v>
      </c>
    </row>
    <row r="1395" spans="1:4">
      <c r="A1395" s="41">
        <v>46035</v>
      </c>
      <c r="B1395" t="s">
        <v>417</v>
      </c>
      <c r="C1395">
        <v>8021</v>
      </c>
    </row>
    <row r="1396" spans="1:4">
      <c r="A1396" s="41">
        <v>46035</v>
      </c>
      <c r="B1396" t="s">
        <v>449</v>
      </c>
      <c r="C1396">
        <v>1571</v>
      </c>
    </row>
    <row r="1397" spans="1:4">
      <c r="A1397" s="41">
        <v>46035</v>
      </c>
      <c r="B1397" t="s">
        <v>456</v>
      </c>
      <c r="C1397">
        <v>1949</v>
      </c>
    </row>
    <row r="1398" spans="1:4">
      <c r="A1398" s="41">
        <v>46035</v>
      </c>
      <c r="B1398" t="s">
        <v>469</v>
      </c>
      <c r="D1398">
        <v>67662</v>
      </c>
    </row>
    <row r="1399" spans="1:4">
      <c r="A1399" s="41">
        <v>46035</v>
      </c>
      <c r="B1399" t="s">
        <v>485</v>
      </c>
      <c r="D1399">
        <v>73605</v>
      </c>
    </row>
    <row r="1400" spans="1:4">
      <c r="A1400" s="41">
        <v>46035</v>
      </c>
      <c r="B1400" t="s">
        <v>490</v>
      </c>
      <c r="D1400">
        <v>73800</v>
      </c>
    </row>
    <row r="1401" spans="1:4">
      <c r="A1401" s="41">
        <v>46035</v>
      </c>
      <c r="B1401" t="s">
        <v>501</v>
      </c>
      <c r="D1401">
        <v>77834</v>
      </c>
    </row>
    <row r="1402" spans="1:4">
      <c r="A1402" s="41">
        <v>46035</v>
      </c>
      <c r="B1402" t="s">
        <v>506</v>
      </c>
      <c r="D1402">
        <v>53963</v>
      </c>
    </row>
    <row r="1403" spans="1:4">
      <c r="A1403" s="41">
        <v>46035</v>
      </c>
      <c r="B1403" t="s">
        <v>508</v>
      </c>
      <c r="D1403">
        <v>44227</v>
      </c>
    </row>
    <row r="1404" spans="1:4">
      <c r="A1404" s="41">
        <v>46035</v>
      </c>
      <c r="B1404" t="s">
        <v>528</v>
      </c>
      <c r="D1404">
        <v>60207</v>
      </c>
    </row>
    <row r="1405" spans="1:4">
      <c r="A1405" s="41">
        <v>46035</v>
      </c>
      <c r="B1405" t="s">
        <v>591</v>
      </c>
      <c r="D1405">
        <v>136003</v>
      </c>
    </row>
    <row r="1406" spans="1:4">
      <c r="A1406" s="41">
        <v>46035</v>
      </c>
      <c r="B1406" t="s">
        <v>593</v>
      </c>
      <c r="D1406">
        <v>156746</v>
      </c>
    </row>
    <row r="1407" spans="1:4">
      <c r="A1407" s="41">
        <v>46035</v>
      </c>
      <c r="B1407" t="s">
        <v>594</v>
      </c>
      <c r="D1407">
        <v>130696</v>
      </c>
    </row>
    <row r="1408" spans="1:4">
      <c r="A1408" s="41">
        <v>46035</v>
      </c>
      <c r="B1408" t="s">
        <v>594</v>
      </c>
      <c r="D1408">
        <v>131097</v>
      </c>
    </row>
    <row r="1409" spans="1:4">
      <c r="A1409" s="41">
        <v>46035</v>
      </c>
      <c r="B1409" t="s">
        <v>596</v>
      </c>
      <c r="D1409">
        <v>132983</v>
      </c>
    </row>
    <row r="1410" spans="1:4">
      <c r="A1410" s="41">
        <v>46035</v>
      </c>
      <c r="B1410" t="s">
        <v>618</v>
      </c>
      <c r="D1410">
        <v>106005</v>
      </c>
    </row>
    <row r="1411" spans="1:4">
      <c r="A1411" s="41">
        <v>46035</v>
      </c>
      <c r="B1411" t="s">
        <v>634</v>
      </c>
      <c r="D1411">
        <v>99244</v>
      </c>
    </row>
    <row r="1412" spans="1:4">
      <c r="A1412" s="41">
        <v>46036</v>
      </c>
      <c r="B1412" t="s">
        <v>19</v>
      </c>
      <c r="C1412">
        <v>9971</v>
      </c>
      <c r="D1412">
        <v>250150</v>
      </c>
    </row>
    <row r="1413" spans="1:4">
      <c r="A1413" s="41">
        <v>46036</v>
      </c>
      <c r="B1413" t="s">
        <v>29</v>
      </c>
      <c r="C1413">
        <v>10514</v>
      </c>
      <c r="D1413">
        <v>252401</v>
      </c>
    </row>
    <row r="1414" spans="1:4">
      <c r="A1414" s="41">
        <v>46036</v>
      </c>
      <c r="B1414" t="s">
        <v>50</v>
      </c>
      <c r="D1414">
        <v>270725</v>
      </c>
    </row>
    <row r="1415" spans="1:4">
      <c r="A1415" s="41">
        <v>46036</v>
      </c>
      <c r="B1415" t="s">
        <v>61</v>
      </c>
      <c r="D1415">
        <v>802920</v>
      </c>
    </row>
    <row r="1416" spans="1:4">
      <c r="A1416" s="41">
        <v>46036</v>
      </c>
      <c r="B1416" t="s">
        <v>65</v>
      </c>
      <c r="C1416">
        <v>3714</v>
      </c>
    </row>
    <row r="1417" spans="1:4">
      <c r="A1417" s="41">
        <v>46036</v>
      </c>
      <c r="B1417" t="s">
        <v>78</v>
      </c>
      <c r="D1417">
        <v>505481</v>
      </c>
    </row>
    <row r="1418" spans="1:4">
      <c r="A1418" s="41">
        <v>46036</v>
      </c>
      <c r="B1418" t="s">
        <v>86</v>
      </c>
      <c r="C1418">
        <v>3240</v>
      </c>
      <c r="D1418">
        <v>78569</v>
      </c>
    </row>
    <row r="1419" spans="1:4">
      <c r="A1419" s="41">
        <v>46036</v>
      </c>
      <c r="B1419" t="s">
        <v>89</v>
      </c>
      <c r="C1419">
        <v>3283</v>
      </c>
      <c r="D1419">
        <v>84962</v>
      </c>
    </row>
    <row r="1420" spans="1:4">
      <c r="A1420" s="41">
        <v>46036</v>
      </c>
      <c r="B1420" t="s">
        <v>91</v>
      </c>
      <c r="C1420">
        <v>3407</v>
      </c>
      <c r="D1420">
        <v>88978</v>
      </c>
    </row>
    <row r="1421" spans="1:4">
      <c r="A1421" s="41">
        <v>46036</v>
      </c>
      <c r="B1421" t="s">
        <v>517</v>
      </c>
      <c r="D1421">
        <v>36620</v>
      </c>
    </row>
    <row r="1422" spans="1:4">
      <c r="A1422" s="41">
        <v>46036</v>
      </c>
      <c r="B1422" t="s">
        <v>93</v>
      </c>
      <c r="C1422">
        <v>3470</v>
      </c>
      <c r="D1422">
        <v>95315</v>
      </c>
    </row>
    <row r="1423" spans="1:4">
      <c r="A1423" s="41">
        <v>46036</v>
      </c>
      <c r="B1423" t="s">
        <v>97</v>
      </c>
      <c r="D1423">
        <v>65881</v>
      </c>
    </row>
    <row r="1424" spans="1:4">
      <c r="A1424" s="41">
        <v>46036</v>
      </c>
      <c r="B1424" t="s">
        <v>121</v>
      </c>
      <c r="C1424">
        <v>7421</v>
      </c>
      <c r="D1424">
        <v>187930</v>
      </c>
    </row>
    <row r="1425" spans="1:4">
      <c r="A1425" s="41">
        <v>46036</v>
      </c>
      <c r="B1425" t="s">
        <v>152</v>
      </c>
      <c r="D1425">
        <v>260681</v>
      </c>
    </row>
    <row r="1426" spans="1:4">
      <c r="A1426" s="81">
        <v>44106</v>
      </c>
      <c r="B1426" t="s">
        <v>190</v>
      </c>
      <c r="D1426">
        <v>227280</v>
      </c>
    </row>
    <row r="1427" spans="1:4">
      <c r="A1427" s="41">
        <v>46036</v>
      </c>
      <c r="B1427" t="s">
        <v>159</v>
      </c>
      <c r="D1427">
        <v>139096</v>
      </c>
    </row>
    <row r="1428" spans="1:4">
      <c r="A1428" s="41">
        <v>46036</v>
      </c>
      <c r="B1428" t="s">
        <v>171</v>
      </c>
      <c r="C1428">
        <v>1720</v>
      </c>
      <c r="D1428">
        <v>198637</v>
      </c>
    </row>
    <row r="1429" spans="1:4">
      <c r="A1429" s="41">
        <v>46036</v>
      </c>
      <c r="B1429" t="s">
        <v>175</v>
      </c>
      <c r="C1429">
        <v>8987</v>
      </c>
      <c r="D1429">
        <v>203690</v>
      </c>
    </row>
    <row r="1430" spans="1:4">
      <c r="A1430" s="41">
        <v>46036</v>
      </c>
      <c r="B1430" t="s">
        <v>177</v>
      </c>
      <c r="C1430">
        <v>8631</v>
      </c>
      <c r="D1430">
        <v>191185</v>
      </c>
    </row>
    <row r="1431" spans="1:4">
      <c r="A1431" s="41">
        <v>46036</v>
      </c>
      <c r="B1431" t="s">
        <v>182</v>
      </c>
      <c r="C1431">
        <v>8660</v>
      </c>
      <c r="D1431">
        <v>163102</v>
      </c>
    </row>
    <row r="1432" spans="1:4">
      <c r="A1432" s="41">
        <v>46036</v>
      </c>
      <c r="B1432" t="s">
        <v>210</v>
      </c>
      <c r="C1432">
        <v>157</v>
      </c>
    </row>
    <row r="1433" spans="1:4">
      <c r="A1433" s="41">
        <v>46036</v>
      </c>
      <c r="B1433" t="s">
        <v>263</v>
      </c>
      <c r="C1433">
        <v>9763</v>
      </c>
    </row>
    <row r="1434" spans="1:4">
      <c r="A1434" s="41">
        <v>46036</v>
      </c>
      <c r="B1434" t="s">
        <v>268</v>
      </c>
      <c r="C1434">
        <v>5453</v>
      </c>
    </row>
    <row r="1435" spans="1:4">
      <c r="A1435" s="41">
        <v>46036</v>
      </c>
      <c r="B1435" t="s">
        <v>273</v>
      </c>
      <c r="C1435">
        <v>3990</v>
      </c>
    </row>
    <row r="1436" spans="1:4">
      <c r="A1436" s="41">
        <v>46036</v>
      </c>
      <c r="B1436" t="s">
        <v>275</v>
      </c>
      <c r="C1436">
        <v>1306</v>
      </c>
    </row>
    <row r="1437" spans="1:4">
      <c r="A1437" s="41">
        <v>46036</v>
      </c>
      <c r="B1437" t="s">
        <v>288</v>
      </c>
      <c r="C1437">
        <v>1131</v>
      </c>
    </row>
    <row r="1438" spans="1:4">
      <c r="A1438" s="41">
        <v>46036</v>
      </c>
      <c r="B1438" t="s">
        <v>306</v>
      </c>
      <c r="C1438">
        <v>21348</v>
      </c>
    </row>
    <row r="1439" spans="1:4">
      <c r="A1439" s="41">
        <v>46036</v>
      </c>
      <c r="B1439" t="s">
        <v>314</v>
      </c>
      <c r="C1439">
        <v>27623</v>
      </c>
    </row>
    <row r="1440" spans="1:4">
      <c r="A1440" s="41">
        <v>46036</v>
      </c>
      <c r="B1440" t="s">
        <v>333</v>
      </c>
      <c r="C1440">
        <v>11783</v>
      </c>
    </row>
    <row r="1441" spans="1:4">
      <c r="A1441" s="41">
        <v>46036</v>
      </c>
      <c r="B1441" t="s">
        <v>354</v>
      </c>
      <c r="C1441">
        <v>6962</v>
      </c>
    </row>
    <row r="1442" spans="1:4">
      <c r="A1442" s="41">
        <v>46036</v>
      </c>
      <c r="B1442" t="s">
        <v>356</v>
      </c>
      <c r="C1442">
        <v>15500</v>
      </c>
    </row>
    <row r="1443" spans="1:4">
      <c r="A1443" s="41">
        <v>46036</v>
      </c>
      <c r="B1443" t="s">
        <v>365</v>
      </c>
      <c r="C1443">
        <v>4735</v>
      </c>
    </row>
    <row r="1444" spans="1:4">
      <c r="A1444" s="41">
        <v>46036</v>
      </c>
      <c r="B1444" t="s">
        <v>378</v>
      </c>
      <c r="C1444">
        <v>3617</v>
      </c>
    </row>
    <row r="1445" spans="1:4">
      <c r="A1445" s="41">
        <v>46036</v>
      </c>
      <c r="B1445" t="s">
        <v>379</v>
      </c>
      <c r="C1445">
        <v>3405</v>
      </c>
    </row>
    <row r="1446" spans="1:4">
      <c r="A1446" s="41">
        <v>46036</v>
      </c>
      <c r="B1446" t="s">
        <v>405</v>
      </c>
      <c r="C1446">
        <v>12552</v>
      </c>
    </row>
    <row r="1447" spans="1:4">
      <c r="A1447" s="41">
        <v>46036</v>
      </c>
      <c r="B1447" t="s">
        <v>408</v>
      </c>
      <c r="C1447">
        <v>4278</v>
      </c>
    </row>
    <row r="1448" spans="1:4">
      <c r="A1448" s="41">
        <v>46036</v>
      </c>
      <c r="B1448" t="s">
        <v>414</v>
      </c>
      <c r="C1448">
        <v>10168</v>
      </c>
    </row>
    <row r="1449" spans="1:4">
      <c r="A1449" s="41">
        <v>46036</v>
      </c>
      <c r="B1449" t="s">
        <v>420</v>
      </c>
      <c r="C1449">
        <v>5504</v>
      </c>
    </row>
    <row r="1450" spans="1:4">
      <c r="A1450" s="41">
        <v>46036</v>
      </c>
      <c r="B1450" t="s">
        <v>424</v>
      </c>
      <c r="C1450">
        <v>494</v>
      </c>
    </row>
    <row r="1451" spans="1:4">
      <c r="A1451" s="41">
        <v>46036</v>
      </c>
      <c r="B1451" t="s">
        <v>431</v>
      </c>
      <c r="C1451">
        <v>9850</v>
      </c>
    </row>
    <row r="1452" spans="1:4">
      <c r="A1452" s="41">
        <v>46036</v>
      </c>
      <c r="B1452" t="s">
        <v>440</v>
      </c>
      <c r="C1452">
        <v>1836</v>
      </c>
    </row>
    <row r="1453" spans="1:4">
      <c r="A1453" s="41">
        <v>46036</v>
      </c>
      <c r="B1453" t="s">
        <v>443</v>
      </c>
      <c r="C1453">
        <v>2161</v>
      </c>
    </row>
    <row r="1454" spans="1:4">
      <c r="A1454" s="41">
        <v>46036</v>
      </c>
      <c r="B1454" t="s">
        <v>447</v>
      </c>
      <c r="C1454">
        <v>1589</v>
      </c>
    </row>
    <row r="1455" spans="1:4">
      <c r="A1455" s="41">
        <v>46036</v>
      </c>
      <c r="B1455" t="s">
        <v>456</v>
      </c>
      <c r="C1455">
        <v>1962</v>
      </c>
    </row>
    <row r="1456" spans="1:4">
      <c r="A1456" s="41">
        <v>46036</v>
      </c>
      <c r="B1456" t="s">
        <v>458</v>
      </c>
      <c r="D1456">
        <v>91404</v>
      </c>
    </row>
    <row r="1457" spans="1:4">
      <c r="A1457" s="41">
        <v>46036</v>
      </c>
      <c r="B1457" t="s">
        <v>465</v>
      </c>
      <c r="D1457">
        <v>95867</v>
      </c>
    </row>
    <row r="1458" spans="1:4">
      <c r="A1458" s="41">
        <v>46036</v>
      </c>
      <c r="B1458" t="s">
        <v>481</v>
      </c>
      <c r="D1458">
        <v>72089</v>
      </c>
    </row>
    <row r="1459" spans="1:4">
      <c r="A1459" s="41">
        <v>46036</v>
      </c>
      <c r="B1459" t="s">
        <v>488</v>
      </c>
      <c r="D1459">
        <v>96464</v>
      </c>
    </row>
    <row r="1460" spans="1:4">
      <c r="A1460" s="41">
        <v>46036</v>
      </c>
      <c r="B1460" t="s">
        <v>510</v>
      </c>
      <c r="D1460">
        <v>38900</v>
      </c>
    </row>
    <row r="1461" spans="1:4">
      <c r="A1461" s="41">
        <v>46036</v>
      </c>
      <c r="B1461" t="s">
        <v>512</v>
      </c>
      <c r="D1461">
        <v>43924</v>
      </c>
    </row>
    <row r="1462" spans="1:4">
      <c r="A1462" s="41">
        <v>46036</v>
      </c>
      <c r="B1462" t="s">
        <v>514</v>
      </c>
      <c r="D1462">
        <v>55480</v>
      </c>
    </row>
    <row r="1463" spans="1:4">
      <c r="A1463" s="41">
        <v>46036</v>
      </c>
      <c r="B1463" t="s">
        <v>518</v>
      </c>
      <c r="D1463">
        <v>66308</v>
      </c>
    </row>
    <row r="1464" spans="1:4">
      <c r="A1464" s="41">
        <v>46036</v>
      </c>
      <c r="B1464" t="s">
        <v>520</v>
      </c>
      <c r="D1464">
        <v>46068</v>
      </c>
    </row>
    <row r="1465" spans="1:4">
      <c r="A1465" s="41">
        <v>46036</v>
      </c>
      <c r="B1465" t="s">
        <v>523</v>
      </c>
      <c r="D1465">
        <v>52605</v>
      </c>
    </row>
    <row r="1466" spans="1:4">
      <c r="A1466" s="41">
        <v>46036</v>
      </c>
      <c r="B1466" t="s">
        <v>551</v>
      </c>
      <c r="D1466">
        <v>12482</v>
      </c>
    </row>
    <row r="1467" spans="1:4">
      <c r="A1467" s="41">
        <v>46036</v>
      </c>
      <c r="B1467" t="s">
        <v>559</v>
      </c>
      <c r="D1467">
        <v>555820</v>
      </c>
    </row>
    <row r="1468" spans="1:4">
      <c r="A1468" s="41">
        <v>46036</v>
      </c>
      <c r="B1468" t="s">
        <v>568</v>
      </c>
      <c r="D1468">
        <v>151781</v>
      </c>
    </row>
    <row r="1469" spans="1:4">
      <c r="A1469" s="41">
        <v>46036</v>
      </c>
      <c r="B1469" t="s">
        <v>577</v>
      </c>
      <c r="D1469">
        <v>221103</v>
      </c>
    </row>
    <row r="1470" spans="1:4">
      <c r="A1470" s="41">
        <v>46036</v>
      </c>
      <c r="B1470" t="s">
        <v>596</v>
      </c>
      <c r="D1470">
        <v>133308</v>
      </c>
    </row>
    <row r="1471" spans="1:4">
      <c r="A1471" s="41">
        <v>46036</v>
      </c>
      <c r="B1471" t="s">
        <v>624</v>
      </c>
      <c r="D1471">
        <v>83842</v>
      </c>
    </row>
    <row r="1472" spans="1:4">
      <c r="A1472" s="41">
        <v>46036</v>
      </c>
      <c r="B1472" t="s">
        <v>630</v>
      </c>
      <c r="D1472">
        <v>135873</v>
      </c>
    </row>
    <row r="1473" spans="1:4">
      <c r="A1473" s="41">
        <v>46036</v>
      </c>
      <c r="B1473" t="s">
        <v>634</v>
      </c>
      <c r="D1473">
        <v>99655</v>
      </c>
    </row>
    <row r="1474" spans="1:4">
      <c r="A1474" s="41">
        <v>46037</v>
      </c>
      <c r="B1474" t="s">
        <v>19</v>
      </c>
      <c r="C1474">
        <v>9980</v>
      </c>
      <c r="D1474">
        <v>250368</v>
      </c>
    </row>
    <row r="1475" spans="1:4">
      <c r="A1475" s="41">
        <v>46037</v>
      </c>
      <c r="B1475" t="s">
        <v>29</v>
      </c>
      <c r="C1475">
        <v>10525</v>
      </c>
      <c r="D1475">
        <v>252839</v>
      </c>
    </row>
    <row r="1476" spans="1:4">
      <c r="A1476" s="41">
        <v>46037</v>
      </c>
      <c r="B1476" t="s">
        <v>35</v>
      </c>
      <c r="C1476">
        <v>8289</v>
      </c>
      <c r="D1476">
        <v>167472</v>
      </c>
    </row>
    <row r="1477" spans="1:4">
      <c r="A1477" s="41">
        <v>46037</v>
      </c>
      <c r="B1477" t="s">
        <v>44</v>
      </c>
    </row>
    <row r="1478" spans="1:4">
      <c r="A1478" s="41">
        <v>46037</v>
      </c>
      <c r="B1478" t="s">
        <v>44</v>
      </c>
      <c r="D1478">
        <v>187384</v>
      </c>
    </row>
    <row r="1479" spans="1:4">
      <c r="A1479" s="41">
        <v>46037</v>
      </c>
      <c r="B1479" t="s">
        <v>78</v>
      </c>
      <c r="D1479">
        <v>505448</v>
      </c>
    </row>
    <row r="1480" spans="1:4">
      <c r="A1480" s="41">
        <v>46037</v>
      </c>
      <c r="B1480" t="s">
        <v>81</v>
      </c>
      <c r="C1480">
        <v>1519</v>
      </c>
    </row>
    <row r="1481" spans="1:4">
      <c r="A1481" s="41">
        <v>46037</v>
      </c>
      <c r="B1481" t="s">
        <v>89</v>
      </c>
      <c r="C1481">
        <v>3294</v>
      </c>
      <c r="D1481">
        <v>85333</v>
      </c>
    </row>
    <row r="1482" spans="1:4">
      <c r="A1482" s="41">
        <v>46037</v>
      </c>
      <c r="B1482" t="s">
        <v>93</v>
      </c>
      <c r="D1482">
        <v>95546</v>
      </c>
    </row>
    <row r="1483" spans="1:4">
      <c r="A1483" s="41">
        <v>46037</v>
      </c>
      <c r="B1483" t="s">
        <v>97</v>
      </c>
      <c r="D1483">
        <v>66399</v>
      </c>
    </row>
    <row r="1484" spans="1:4">
      <c r="A1484" s="41">
        <v>46037</v>
      </c>
      <c r="B1484" t="s">
        <v>106</v>
      </c>
      <c r="D1484">
        <v>115865</v>
      </c>
    </row>
    <row r="1485" spans="1:4">
      <c r="A1485" s="41">
        <v>46037</v>
      </c>
      <c r="B1485" t="s">
        <v>109</v>
      </c>
      <c r="D1485">
        <v>139495</v>
      </c>
    </row>
    <row r="1486" spans="1:4">
      <c r="A1486" s="41">
        <v>46037</v>
      </c>
      <c r="B1486" t="s">
        <v>121</v>
      </c>
      <c r="C1486">
        <v>7429</v>
      </c>
      <c r="D1486">
        <v>188250</v>
      </c>
    </row>
    <row r="1487" spans="1:4">
      <c r="A1487" s="41">
        <v>46037</v>
      </c>
      <c r="B1487" t="s">
        <v>124</v>
      </c>
      <c r="D1487">
        <v>22982</v>
      </c>
    </row>
    <row r="1488" spans="1:4">
      <c r="A1488" s="41">
        <v>46037</v>
      </c>
      <c r="B1488" t="s">
        <v>126</v>
      </c>
      <c r="D1488">
        <v>58842</v>
      </c>
    </row>
    <row r="1489" spans="1:4">
      <c r="A1489" s="41">
        <v>46037</v>
      </c>
      <c r="B1489" t="s">
        <v>138</v>
      </c>
      <c r="D1489">
        <v>286694</v>
      </c>
    </row>
    <row r="1490" spans="1:4">
      <c r="A1490" s="41">
        <v>46037</v>
      </c>
      <c r="B1490" t="s">
        <v>159</v>
      </c>
      <c r="D1490">
        <v>139168</v>
      </c>
    </row>
    <row r="1491" spans="1:4">
      <c r="A1491" s="41">
        <v>46037</v>
      </c>
      <c r="B1491" t="s">
        <v>171</v>
      </c>
      <c r="C1491">
        <v>1729</v>
      </c>
      <c r="D1491">
        <v>199012</v>
      </c>
    </row>
    <row r="1492" spans="1:4">
      <c r="A1492" s="41">
        <v>46037</v>
      </c>
      <c r="B1492" t="s">
        <v>173</v>
      </c>
      <c r="C1492">
        <v>8455</v>
      </c>
      <c r="D1492">
        <v>162787</v>
      </c>
    </row>
    <row r="1493" spans="1:4">
      <c r="A1493" s="41">
        <v>46037</v>
      </c>
      <c r="B1493" t="s">
        <v>175</v>
      </c>
      <c r="C1493">
        <v>8995</v>
      </c>
      <c r="D1493">
        <v>203906</v>
      </c>
    </row>
    <row r="1494" spans="1:4">
      <c r="A1494" s="41">
        <v>46037</v>
      </c>
      <c r="B1494" t="s">
        <v>177</v>
      </c>
      <c r="C1494">
        <v>8640</v>
      </c>
      <c r="D1494">
        <v>191332</v>
      </c>
    </row>
    <row r="1495" spans="1:4">
      <c r="A1495" s="41">
        <v>46037</v>
      </c>
      <c r="B1495" t="s">
        <v>182</v>
      </c>
      <c r="C1495">
        <v>8669</v>
      </c>
      <c r="D1495">
        <v>112235</v>
      </c>
    </row>
    <row r="1496" spans="1:4">
      <c r="A1496" s="41">
        <v>46037</v>
      </c>
      <c r="B1496" t="s">
        <v>246</v>
      </c>
      <c r="C1496">
        <v>6358</v>
      </c>
    </row>
    <row r="1497" spans="1:4">
      <c r="A1497" s="41">
        <v>46037</v>
      </c>
      <c r="B1497" t="s">
        <v>249</v>
      </c>
      <c r="C1497">
        <v>4768</v>
      </c>
    </row>
    <row r="1498" spans="1:4">
      <c r="A1498" s="41">
        <v>46037</v>
      </c>
      <c r="B1498" t="s">
        <v>263</v>
      </c>
      <c r="C1498">
        <v>9771</v>
      </c>
    </row>
    <row r="1499" spans="1:4">
      <c r="A1499" s="41">
        <v>46037</v>
      </c>
      <c r="B1499" t="s">
        <v>288</v>
      </c>
      <c r="C1499">
        <v>1141</v>
      </c>
    </row>
    <row r="1500" spans="1:4">
      <c r="A1500" s="41">
        <v>46037</v>
      </c>
      <c r="B1500" t="s">
        <v>314</v>
      </c>
      <c r="C1500">
        <v>27631</v>
      </c>
    </row>
    <row r="1501" spans="1:4">
      <c r="A1501" s="41">
        <v>46037</v>
      </c>
      <c r="B1501" t="s">
        <v>330</v>
      </c>
      <c r="C1501">
        <v>25875</v>
      </c>
    </row>
    <row r="1502" spans="1:4">
      <c r="A1502" s="41">
        <v>46037</v>
      </c>
      <c r="B1502" t="s">
        <v>408</v>
      </c>
      <c r="C1502">
        <v>4285</v>
      </c>
    </row>
    <row r="1503" spans="1:4">
      <c r="A1503" s="41">
        <v>46037</v>
      </c>
      <c r="B1503" t="s">
        <v>414</v>
      </c>
      <c r="C1503">
        <v>10179</v>
      </c>
    </row>
    <row r="1504" spans="1:4">
      <c r="A1504" s="41">
        <v>46037</v>
      </c>
      <c r="B1504" t="s">
        <v>417</v>
      </c>
      <c r="C1504">
        <v>8041</v>
      </c>
    </row>
    <row r="1505" spans="1:4">
      <c r="A1505" s="41">
        <v>46037</v>
      </c>
      <c r="B1505" t="s">
        <v>440</v>
      </c>
      <c r="C1505">
        <v>1841</v>
      </c>
    </row>
    <row r="1506" spans="1:4">
      <c r="A1506" s="41">
        <v>46037</v>
      </c>
      <c r="B1506" t="s">
        <v>449</v>
      </c>
      <c r="C1506">
        <v>1880</v>
      </c>
    </row>
    <row r="1507" spans="1:4">
      <c r="A1507" s="41">
        <v>46037</v>
      </c>
      <c r="B1507" t="s">
        <v>465</v>
      </c>
      <c r="D1507">
        <v>96326</v>
      </c>
    </row>
    <row r="1508" spans="1:4">
      <c r="A1508" s="41">
        <v>46037</v>
      </c>
      <c r="B1508" t="s">
        <v>485</v>
      </c>
      <c r="D1508">
        <v>73995</v>
      </c>
    </row>
    <row r="1509" spans="1:4">
      <c r="A1509" s="41">
        <v>46037</v>
      </c>
      <c r="B1509" t="s">
        <v>490</v>
      </c>
      <c r="D1509">
        <v>74852</v>
      </c>
    </row>
    <row r="1510" spans="1:4">
      <c r="A1510" s="41">
        <v>46037</v>
      </c>
      <c r="B1510" t="s">
        <v>499</v>
      </c>
      <c r="D1510">
        <v>56730</v>
      </c>
    </row>
    <row r="1511" spans="1:4">
      <c r="A1511" s="41">
        <v>46037</v>
      </c>
      <c r="B1511" t="s">
        <v>501</v>
      </c>
      <c r="D1511">
        <v>78350</v>
      </c>
    </row>
    <row r="1512" spans="1:4">
      <c r="A1512" s="41">
        <v>46037</v>
      </c>
      <c r="B1512" t="s">
        <v>508</v>
      </c>
      <c r="D1512">
        <v>44520</v>
      </c>
    </row>
    <row r="1513" spans="1:4">
      <c r="A1513" s="41">
        <v>46037</v>
      </c>
      <c r="B1513" t="s">
        <v>515</v>
      </c>
      <c r="D1513">
        <v>62488</v>
      </c>
    </row>
    <row r="1514" spans="1:4">
      <c r="A1514" s="41">
        <v>46037</v>
      </c>
      <c r="B1514" t="s">
        <v>515</v>
      </c>
      <c r="D1514">
        <v>62243</v>
      </c>
    </row>
    <row r="1515" spans="1:4">
      <c r="A1515" s="41">
        <v>46037</v>
      </c>
      <c r="B1515" t="s">
        <v>528</v>
      </c>
      <c r="D1515">
        <v>60460</v>
      </c>
    </row>
    <row r="1516" spans="1:4">
      <c r="A1516" s="41">
        <v>46037</v>
      </c>
      <c r="B1516" t="s">
        <v>533</v>
      </c>
      <c r="D1516">
        <v>67381</v>
      </c>
    </row>
    <row r="1517" spans="1:4">
      <c r="A1517" s="41">
        <v>46037</v>
      </c>
      <c r="B1517" t="s">
        <v>539</v>
      </c>
      <c r="D1517">
        <v>33949</v>
      </c>
    </row>
    <row r="1518" spans="1:4">
      <c r="A1518" s="41">
        <v>46037</v>
      </c>
      <c r="B1518" t="s">
        <v>542</v>
      </c>
      <c r="D1518">
        <v>79873</v>
      </c>
    </row>
    <row r="1519" spans="1:4">
      <c r="A1519" s="41">
        <v>46037</v>
      </c>
      <c r="B1519" t="s">
        <v>547</v>
      </c>
      <c r="D1519">
        <v>8329</v>
      </c>
    </row>
    <row r="1520" spans="1:4">
      <c r="A1520" s="41">
        <v>46037</v>
      </c>
      <c r="B1520" t="s">
        <v>577</v>
      </c>
      <c r="D1520">
        <v>221365</v>
      </c>
    </row>
    <row r="1521" spans="1:4">
      <c r="A1521" s="41">
        <v>46037</v>
      </c>
      <c r="B1521" t="s">
        <v>594</v>
      </c>
      <c r="D1521">
        <v>131595</v>
      </c>
    </row>
    <row r="1522" spans="1:4">
      <c r="A1522" s="41">
        <v>46037</v>
      </c>
      <c r="B1522" t="s">
        <v>596</v>
      </c>
      <c r="D1522">
        <v>133755</v>
      </c>
    </row>
    <row r="1523" spans="1:4">
      <c r="A1523" s="41">
        <v>46037</v>
      </c>
      <c r="B1523" t="s">
        <v>598</v>
      </c>
      <c r="D1523">
        <v>131382</v>
      </c>
    </row>
    <row r="1524" spans="1:4">
      <c r="A1524" s="41">
        <v>46037</v>
      </c>
      <c r="B1524" t="s">
        <v>608</v>
      </c>
      <c r="D1524">
        <v>294792</v>
      </c>
    </row>
    <row r="1525" spans="1:4">
      <c r="A1525" s="41">
        <v>46037</v>
      </c>
      <c r="B1525" t="s">
        <v>626</v>
      </c>
      <c r="D1525">
        <v>100070</v>
      </c>
    </row>
    <row r="1526" spans="1:4">
      <c r="A1526" s="41">
        <v>46037</v>
      </c>
      <c r="B1526" t="s">
        <v>630</v>
      </c>
      <c r="D1526">
        <v>136283</v>
      </c>
    </row>
    <row r="1527" spans="1:4">
      <c r="A1527" s="41">
        <v>46037</v>
      </c>
      <c r="B1527" t="s">
        <v>634</v>
      </c>
      <c r="D1527">
        <v>99846</v>
      </c>
    </row>
    <row r="1528" spans="1:4">
      <c r="A1528" s="41">
        <v>46038</v>
      </c>
      <c r="B1528" t="s">
        <v>35</v>
      </c>
      <c r="C1528">
        <v>8303</v>
      </c>
      <c r="D1528">
        <v>167921</v>
      </c>
    </row>
    <row r="1529" spans="1:4">
      <c r="A1529" s="41">
        <v>46038</v>
      </c>
      <c r="B1529" t="s">
        <v>50</v>
      </c>
      <c r="D1529">
        <v>270976</v>
      </c>
    </row>
    <row r="1530" spans="1:4">
      <c r="A1530" s="41">
        <v>46038</v>
      </c>
      <c r="B1530" t="s">
        <v>68</v>
      </c>
      <c r="D1530">
        <v>328286</v>
      </c>
    </row>
    <row r="1531" spans="1:4">
      <c r="A1531" s="41">
        <v>46038</v>
      </c>
      <c r="B1531" t="s">
        <v>81</v>
      </c>
      <c r="C1531">
        <v>2528</v>
      </c>
    </row>
    <row r="1532" spans="1:4">
      <c r="A1532" s="41">
        <v>46038</v>
      </c>
      <c r="B1532" t="s">
        <v>89</v>
      </c>
      <c r="C1532">
        <v>3300</v>
      </c>
      <c r="D1532">
        <v>85537</v>
      </c>
    </row>
    <row r="1533" spans="1:4">
      <c r="A1533" s="41">
        <v>46038</v>
      </c>
      <c r="B1533" t="s">
        <v>121</v>
      </c>
      <c r="C1533">
        <v>7436</v>
      </c>
      <c r="D1533">
        <v>188505</v>
      </c>
    </row>
    <row r="1534" spans="1:4">
      <c r="A1534" s="41">
        <v>46038</v>
      </c>
      <c r="B1534" t="s">
        <v>138</v>
      </c>
      <c r="D1534">
        <v>287071</v>
      </c>
    </row>
    <row r="1535" spans="1:4">
      <c r="A1535" s="41">
        <v>46038</v>
      </c>
      <c r="B1535" t="s">
        <v>152</v>
      </c>
      <c r="D1535">
        <v>260786</v>
      </c>
    </row>
    <row r="1536" spans="1:4">
      <c r="A1536" s="41">
        <v>46038</v>
      </c>
      <c r="B1536" t="s">
        <v>175</v>
      </c>
      <c r="C1536">
        <v>9005</v>
      </c>
      <c r="D1536">
        <v>204165</v>
      </c>
    </row>
    <row r="1537" spans="1:4">
      <c r="A1537" s="41">
        <v>46038</v>
      </c>
      <c r="B1537" t="s">
        <v>185</v>
      </c>
      <c r="C1537">
        <v>3079</v>
      </c>
      <c r="D1537">
        <v>566460</v>
      </c>
    </row>
    <row r="1538" spans="1:4">
      <c r="A1538" s="41">
        <v>46038</v>
      </c>
      <c r="B1538" t="s">
        <v>193</v>
      </c>
      <c r="C1538">
        <v>13594</v>
      </c>
      <c r="D1538">
        <v>132413</v>
      </c>
    </row>
    <row r="1539" spans="1:4">
      <c r="A1539" s="41">
        <v>46038</v>
      </c>
      <c r="B1539" t="s">
        <v>246</v>
      </c>
      <c r="C1539">
        <v>6369</v>
      </c>
    </row>
    <row r="1540" spans="1:4">
      <c r="A1540" s="41">
        <v>46038</v>
      </c>
      <c r="B1540" t="s">
        <v>268</v>
      </c>
      <c r="C1540">
        <v>5464</v>
      </c>
    </row>
    <row r="1541" spans="1:4">
      <c r="A1541" s="41">
        <v>46038</v>
      </c>
      <c r="B1541" t="s">
        <v>275</v>
      </c>
      <c r="C1541">
        <v>1310</v>
      </c>
    </row>
    <row r="1542" spans="1:4">
      <c r="A1542" s="41">
        <v>46038</v>
      </c>
      <c r="B1542" t="s">
        <v>321</v>
      </c>
      <c r="C1542">
        <v>8929</v>
      </c>
    </row>
    <row r="1543" spans="1:4">
      <c r="A1543" s="41">
        <v>46038</v>
      </c>
      <c r="B1543" t="s">
        <v>324</v>
      </c>
      <c r="C1543">
        <v>6977</v>
      </c>
    </row>
    <row r="1544" spans="1:4">
      <c r="A1544" s="41">
        <v>46038</v>
      </c>
      <c r="B1544" t="s">
        <v>330</v>
      </c>
      <c r="C1544">
        <v>25885</v>
      </c>
    </row>
    <row r="1545" spans="1:4">
      <c r="A1545" s="41">
        <v>46038</v>
      </c>
      <c r="B1545" t="s">
        <v>333</v>
      </c>
      <c r="C1545">
        <v>11790</v>
      </c>
    </row>
    <row r="1546" spans="1:4">
      <c r="A1546" s="41">
        <v>46038</v>
      </c>
      <c r="B1546" t="s">
        <v>379</v>
      </c>
      <c r="C1546">
        <v>3418</v>
      </c>
    </row>
    <row r="1547" spans="1:4">
      <c r="A1547" s="41">
        <v>46038</v>
      </c>
      <c r="B1547" t="s">
        <v>396</v>
      </c>
      <c r="C1547">
        <v>8522</v>
      </c>
    </row>
    <row r="1548" spans="1:4">
      <c r="A1548" s="41">
        <v>46038</v>
      </c>
      <c r="B1548" t="s">
        <v>405</v>
      </c>
      <c r="C1548">
        <v>12537</v>
      </c>
    </row>
    <row r="1549" spans="1:4">
      <c r="A1549" s="41">
        <v>46038</v>
      </c>
      <c r="B1549" t="s">
        <v>420</v>
      </c>
      <c r="C1549">
        <v>5518</v>
      </c>
    </row>
    <row r="1550" spans="1:4">
      <c r="A1550" s="41">
        <v>46038</v>
      </c>
      <c r="B1550" t="s">
        <v>424</v>
      </c>
      <c r="C1550">
        <v>502</v>
      </c>
    </row>
    <row r="1551" spans="1:4">
      <c r="A1551" s="41">
        <v>46038</v>
      </c>
      <c r="B1551" t="s">
        <v>431</v>
      </c>
      <c r="C1551">
        <v>9867</v>
      </c>
    </row>
    <row r="1552" spans="1:4">
      <c r="A1552" s="41">
        <v>46038</v>
      </c>
      <c r="B1552" t="s">
        <v>443</v>
      </c>
      <c r="C1552">
        <v>2172</v>
      </c>
    </row>
    <row r="1553" spans="1:4">
      <c r="A1553" s="41">
        <v>46038</v>
      </c>
      <c r="B1553" t="s">
        <v>465</v>
      </c>
      <c r="D1553">
        <v>96689</v>
      </c>
    </row>
    <row r="1554" spans="1:4">
      <c r="A1554" s="41">
        <v>46038</v>
      </c>
      <c r="B1554" t="s">
        <v>488</v>
      </c>
      <c r="D1554">
        <v>96835</v>
      </c>
    </row>
    <row r="1555" spans="1:4">
      <c r="A1555" s="41">
        <v>46038</v>
      </c>
      <c r="B1555" t="s">
        <v>496</v>
      </c>
      <c r="D1555">
        <v>106482</v>
      </c>
    </row>
    <row r="1556" spans="1:4">
      <c r="A1556" s="41">
        <v>46038</v>
      </c>
      <c r="B1556" t="s">
        <v>499</v>
      </c>
      <c r="D1556">
        <v>56774</v>
      </c>
    </row>
    <row r="1557" spans="1:4">
      <c r="A1557" s="41">
        <v>46038</v>
      </c>
      <c r="B1557" t="s">
        <v>501</v>
      </c>
      <c r="D1557">
        <v>78930</v>
      </c>
    </row>
    <row r="1558" spans="1:4">
      <c r="A1558" s="41">
        <v>46038</v>
      </c>
      <c r="B1558" t="s">
        <v>506</v>
      </c>
      <c r="D1558">
        <v>54283</v>
      </c>
    </row>
    <row r="1559" spans="1:4">
      <c r="A1559" s="41">
        <v>46038</v>
      </c>
      <c r="B1559" t="s">
        <v>510</v>
      </c>
      <c r="D1559">
        <v>39386</v>
      </c>
    </row>
    <row r="1560" spans="1:4">
      <c r="A1560" s="41">
        <v>46038</v>
      </c>
      <c r="B1560" t="s">
        <v>512</v>
      </c>
      <c r="D1560">
        <v>44256</v>
      </c>
    </row>
    <row r="1561" spans="1:4">
      <c r="A1561" s="41">
        <v>46038</v>
      </c>
      <c r="B1561" t="s">
        <v>520</v>
      </c>
      <c r="D1561">
        <v>46242</v>
      </c>
    </row>
    <row r="1562" spans="1:4">
      <c r="A1562" s="41">
        <v>46038</v>
      </c>
      <c r="B1562" t="s">
        <v>523</v>
      </c>
      <c r="D1562">
        <v>52789</v>
      </c>
    </row>
    <row r="1563" spans="1:4">
      <c r="A1563" s="41">
        <v>46038</v>
      </c>
      <c r="B1563" t="s">
        <v>526</v>
      </c>
      <c r="D1563">
        <v>55027</v>
      </c>
    </row>
    <row r="1564" spans="1:4">
      <c r="A1564" s="41">
        <v>46038</v>
      </c>
      <c r="B1564" t="s">
        <v>542</v>
      </c>
      <c r="D1564">
        <v>80107</v>
      </c>
    </row>
    <row r="1565" spans="1:4">
      <c r="A1565" s="41">
        <v>46038</v>
      </c>
      <c r="B1565" t="s">
        <v>549</v>
      </c>
      <c r="D1565">
        <v>7221</v>
      </c>
    </row>
    <row r="1566" spans="1:4">
      <c r="A1566" s="41">
        <v>46038</v>
      </c>
      <c r="B1566" t="s">
        <v>549</v>
      </c>
      <c r="D1566">
        <v>7589</v>
      </c>
    </row>
    <row r="1567" spans="1:4">
      <c r="A1567" s="41">
        <v>46038</v>
      </c>
      <c r="B1567" t="s">
        <v>551</v>
      </c>
      <c r="D1567">
        <v>12718</v>
      </c>
    </row>
    <row r="1568" spans="1:4">
      <c r="A1568" s="41">
        <v>46038</v>
      </c>
      <c r="B1568" t="s">
        <v>559</v>
      </c>
      <c r="D1568">
        <v>556048</v>
      </c>
    </row>
    <row r="1569" spans="1:4">
      <c r="A1569" s="41">
        <v>46038</v>
      </c>
      <c r="B1569" t="s">
        <v>568</v>
      </c>
      <c r="D1569">
        <v>152527</v>
      </c>
    </row>
    <row r="1570" spans="1:4">
      <c r="A1570" s="41">
        <v>46038</v>
      </c>
      <c r="B1570" t="s">
        <v>572</v>
      </c>
      <c r="D1570">
        <v>143765</v>
      </c>
    </row>
    <row r="1571" spans="1:4">
      <c r="A1571" s="41">
        <v>46038</v>
      </c>
      <c r="B1571" t="s">
        <v>575</v>
      </c>
      <c r="D1571">
        <v>233193</v>
      </c>
    </row>
    <row r="1572" spans="1:4">
      <c r="A1572" s="41">
        <v>46038</v>
      </c>
      <c r="B1572" t="s">
        <v>596</v>
      </c>
      <c r="D1572">
        <v>134060</v>
      </c>
    </row>
    <row r="1573" spans="1:4">
      <c r="A1573" s="41">
        <v>46038</v>
      </c>
      <c r="B1573" t="s">
        <v>608</v>
      </c>
      <c r="D1573">
        <v>295290</v>
      </c>
    </row>
    <row r="1574" spans="1:4">
      <c r="A1574" s="41">
        <v>46038</v>
      </c>
      <c r="B1574" t="s">
        <v>611</v>
      </c>
      <c r="D1574">
        <v>254665</v>
      </c>
    </row>
    <row r="1575" spans="1:4">
      <c r="A1575" s="41">
        <v>46038</v>
      </c>
      <c r="B1575" t="s">
        <v>616</v>
      </c>
      <c r="D1575">
        <v>113938</v>
      </c>
    </row>
    <row r="1576" spans="1:4">
      <c r="A1576" s="41">
        <v>46038</v>
      </c>
      <c r="B1576" t="s">
        <v>618</v>
      </c>
      <c r="D1576">
        <v>106343</v>
      </c>
    </row>
    <row r="1577" spans="1:4">
      <c r="A1577" s="41">
        <v>46038</v>
      </c>
      <c r="B1577" t="s">
        <v>620</v>
      </c>
      <c r="D1577">
        <v>119000</v>
      </c>
    </row>
    <row r="1578" spans="1:4">
      <c r="A1578" s="41">
        <v>46038</v>
      </c>
      <c r="B1578" t="s">
        <v>624</v>
      </c>
      <c r="D1578">
        <v>84165</v>
      </c>
    </row>
    <row r="1579" spans="1:4">
      <c r="A1579" s="41">
        <v>46038</v>
      </c>
      <c r="B1579" t="s">
        <v>628</v>
      </c>
      <c r="D1579">
        <v>85989</v>
      </c>
    </row>
    <row r="1580" spans="1:4">
      <c r="A1580" s="41">
        <v>46041</v>
      </c>
      <c r="B1580" t="s">
        <v>19</v>
      </c>
      <c r="C1580">
        <v>9994</v>
      </c>
      <c r="D1580">
        <v>250780</v>
      </c>
    </row>
    <row r="1581" spans="1:4">
      <c r="A1581" s="41">
        <v>46041</v>
      </c>
      <c r="B1581" t="s">
        <v>29</v>
      </c>
      <c r="C1581">
        <v>10537</v>
      </c>
      <c r="D1581">
        <v>253295</v>
      </c>
    </row>
    <row r="1582" spans="1:4">
      <c r="A1582" s="41">
        <v>46041</v>
      </c>
      <c r="B1582" t="s">
        <v>29</v>
      </c>
      <c r="D1582">
        <v>253483</v>
      </c>
    </row>
    <row r="1583" spans="1:4">
      <c r="A1583" s="41">
        <v>46041</v>
      </c>
      <c r="B1583" t="s">
        <v>78</v>
      </c>
      <c r="D1583">
        <v>506918</v>
      </c>
    </row>
    <row r="1584" spans="1:4">
      <c r="A1584" s="41">
        <v>46041</v>
      </c>
      <c r="B1584" t="s">
        <v>81</v>
      </c>
      <c r="C1584">
        <v>2534</v>
      </c>
    </row>
    <row r="1585" spans="1:4">
      <c r="A1585" s="41">
        <v>46041</v>
      </c>
      <c r="B1585" t="s">
        <v>86</v>
      </c>
      <c r="C1585">
        <v>3251</v>
      </c>
      <c r="D1585">
        <v>78925</v>
      </c>
    </row>
    <row r="1586" spans="1:4">
      <c r="A1586" s="41">
        <v>46041</v>
      </c>
      <c r="B1586" t="s">
        <v>91</v>
      </c>
      <c r="D1586">
        <v>89309</v>
      </c>
    </row>
    <row r="1587" spans="1:4">
      <c r="A1587" s="41">
        <v>46041</v>
      </c>
      <c r="B1587" t="s">
        <v>93</v>
      </c>
      <c r="C1587">
        <v>3487</v>
      </c>
      <c r="D1587">
        <v>96071</v>
      </c>
    </row>
    <row r="1588" spans="1:4">
      <c r="A1588" s="41">
        <v>46041</v>
      </c>
      <c r="B1588" t="s">
        <v>106</v>
      </c>
      <c r="D1588">
        <v>116051</v>
      </c>
    </row>
    <row r="1589" spans="1:4">
      <c r="A1589" s="41">
        <v>46041</v>
      </c>
      <c r="B1589" t="s">
        <v>121</v>
      </c>
      <c r="C1589">
        <v>7442</v>
      </c>
      <c r="D1589">
        <v>188736</v>
      </c>
    </row>
    <row r="1590" spans="1:4">
      <c r="A1590" s="81">
        <v>44199</v>
      </c>
      <c r="B1590" t="s">
        <v>155</v>
      </c>
      <c r="C1590">
        <v>7230</v>
      </c>
      <c r="D1590">
        <v>245289</v>
      </c>
    </row>
    <row r="1591" spans="1:4">
      <c r="A1591" s="41">
        <v>46041</v>
      </c>
      <c r="B1591" t="s">
        <v>661</v>
      </c>
      <c r="D1591">
        <v>303116</v>
      </c>
    </row>
    <row r="1592" spans="1:4">
      <c r="A1592" s="41">
        <v>46041</v>
      </c>
      <c r="B1592" t="s">
        <v>171</v>
      </c>
      <c r="C1592">
        <v>1742</v>
      </c>
      <c r="D1592">
        <v>199436</v>
      </c>
    </row>
    <row r="1593" spans="1:4">
      <c r="A1593" s="41">
        <v>46041</v>
      </c>
      <c r="B1593" t="s">
        <v>173</v>
      </c>
      <c r="C1593">
        <v>8470</v>
      </c>
      <c r="D1593">
        <v>163022</v>
      </c>
    </row>
    <row r="1594" spans="1:4">
      <c r="A1594" s="41">
        <v>46041</v>
      </c>
      <c r="B1594" t="s">
        <v>175</v>
      </c>
      <c r="C1594">
        <v>9007</v>
      </c>
      <c r="D1594">
        <v>204215</v>
      </c>
    </row>
    <row r="1595" spans="1:4">
      <c r="A1595" s="41">
        <v>46041</v>
      </c>
      <c r="B1595" t="s">
        <v>177</v>
      </c>
      <c r="C1595">
        <v>8651</v>
      </c>
      <c r="D1595">
        <v>191605</v>
      </c>
    </row>
    <row r="1596" spans="1:4">
      <c r="A1596" s="41">
        <v>46041</v>
      </c>
      <c r="B1596" t="s">
        <v>187</v>
      </c>
      <c r="D1596">
        <v>532381</v>
      </c>
    </row>
    <row r="1597" spans="1:4">
      <c r="A1597" s="41">
        <v>46041</v>
      </c>
      <c r="B1597" t="s">
        <v>249</v>
      </c>
      <c r="C1597">
        <v>4771</v>
      </c>
    </row>
    <row r="1598" spans="1:4">
      <c r="A1598" s="41">
        <v>46041</v>
      </c>
      <c r="B1598" t="s">
        <v>254</v>
      </c>
      <c r="C1598">
        <v>15457</v>
      </c>
    </row>
    <row r="1599" spans="1:4">
      <c r="A1599" s="41">
        <v>46041</v>
      </c>
      <c r="B1599" t="s">
        <v>258</v>
      </c>
      <c r="C1599">
        <v>2431</v>
      </c>
    </row>
    <row r="1600" spans="1:4">
      <c r="A1600" s="41">
        <v>46041</v>
      </c>
      <c r="B1600" t="s">
        <v>263</v>
      </c>
      <c r="C1600">
        <v>9779</v>
      </c>
    </row>
    <row r="1601" spans="1:4">
      <c r="A1601" s="41">
        <v>46041</v>
      </c>
      <c r="B1601" t="s">
        <v>288</v>
      </c>
      <c r="C1601">
        <v>1156</v>
      </c>
    </row>
    <row r="1602" spans="1:4">
      <c r="A1602" s="41">
        <v>46041</v>
      </c>
      <c r="B1602" t="s">
        <v>314</v>
      </c>
      <c r="C1602">
        <v>27640</v>
      </c>
    </row>
    <row r="1603" spans="1:4">
      <c r="A1603" s="41">
        <v>46041</v>
      </c>
      <c r="B1603" t="s">
        <v>356</v>
      </c>
      <c r="C1603">
        <v>15510</v>
      </c>
    </row>
    <row r="1604" spans="1:4">
      <c r="A1604" s="41">
        <v>46041</v>
      </c>
      <c r="B1604" t="s">
        <v>359</v>
      </c>
      <c r="C1604">
        <v>13567</v>
      </c>
    </row>
    <row r="1605" spans="1:4">
      <c r="A1605" s="41">
        <v>46041</v>
      </c>
      <c r="B1605" t="s">
        <v>378</v>
      </c>
      <c r="D1605">
        <v>3631</v>
      </c>
    </row>
    <row r="1606" spans="1:4">
      <c r="A1606" s="41">
        <v>46041</v>
      </c>
      <c r="B1606" t="s">
        <v>414</v>
      </c>
      <c r="C1606">
        <v>10186</v>
      </c>
    </row>
    <row r="1607" spans="1:4">
      <c r="A1607" s="41">
        <v>46041</v>
      </c>
      <c r="B1607" t="s">
        <v>430</v>
      </c>
      <c r="C1607">
        <v>6420</v>
      </c>
    </row>
    <row r="1608" spans="1:4">
      <c r="A1608" s="41">
        <v>46041</v>
      </c>
      <c r="B1608" t="s">
        <v>449</v>
      </c>
      <c r="C1608">
        <v>1588</v>
      </c>
    </row>
    <row r="1609" spans="1:4">
      <c r="A1609" s="41">
        <v>46041</v>
      </c>
      <c r="B1609" t="s">
        <v>451</v>
      </c>
      <c r="C1609">
        <v>1886</v>
      </c>
    </row>
    <row r="1610" spans="1:4">
      <c r="A1610" s="41">
        <v>46041</v>
      </c>
      <c r="B1610" t="s">
        <v>469</v>
      </c>
      <c r="D1610">
        <v>68260</v>
      </c>
    </row>
    <row r="1611" spans="1:4">
      <c r="A1611" s="41">
        <v>46041</v>
      </c>
      <c r="B1611" t="s">
        <v>490</v>
      </c>
      <c r="D1611">
        <v>75931</v>
      </c>
    </row>
    <row r="1612" spans="1:4">
      <c r="A1612" s="41">
        <v>46041</v>
      </c>
      <c r="B1612" t="s">
        <v>501</v>
      </c>
      <c r="D1612">
        <v>79446</v>
      </c>
    </row>
    <row r="1613" spans="1:4">
      <c r="A1613" s="41">
        <v>46041</v>
      </c>
      <c r="B1613" t="s">
        <v>506</v>
      </c>
      <c r="D1613">
        <v>54665</v>
      </c>
    </row>
    <row r="1614" spans="1:4">
      <c r="A1614" s="41">
        <v>46041</v>
      </c>
      <c r="B1614" t="s">
        <v>508</v>
      </c>
      <c r="D1614">
        <v>44696</v>
      </c>
    </row>
    <row r="1615" spans="1:4">
      <c r="A1615" s="41">
        <v>46041</v>
      </c>
      <c r="B1615" t="s">
        <v>514</v>
      </c>
      <c r="D1615">
        <v>56200</v>
      </c>
    </row>
    <row r="1616" spans="1:4">
      <c r="A1616" s="41">
        <v>46041</v>
      </c>
      <c r="B1616" t="s">
        <v>518</v>
      </c>
      <c r="D1616">
        <v>67100</v>
      </c>
    </row>
    <row r="1617" spans="1:4">
      <c r="A1617" s="41">
        <v>46041</v>
      </c>
      <c r="B1617" t="s">
        <v>518</v>
      </c>
      <c r="D1617">
        <v>67100</v>
      </c>
    </row>
    <row r="1618" spans="1:4">
      <c r="A1618" s="41">
        <v>46041</v>
      </c>
      <c r="B1618" t="s">
        <v>528</v>
      </c>
      <c r="D1618">
        <v>60820</v>
      </c>
    </row>
    <row r="1619" spans="1:4">
      <c r="A1619" s="41">
        <v>46041</v>
      </c>
      <c r="B1619" t="s">
        <v>533</v>
      </c>
      <c r="D1619">
        <v>67786</v>
      </c>
    </row>
    <row r="1620" spans="1:4">
      <c r="A1620" s="41">
        <v>46041</v>
      </c>
      <c r="B1620" t="s">
        <v>535</v>
      </c>
      <c r="D1620">
        <v>60497</v>
      </c>
    </row>
    <row r="1621" spans="1:4">
      <c r="A1621" s="41">
        <v>46041</v>
      </c>
      <c r="B1621" t="s">
        <v>535</v>
      </c>
      <c r="D1621">
        <v>60497</v>
      </c>
    </row>
    <row r="1622" spans="1:4">
      <c r="A1622" s="41">
        <v>46041</v>
      </c>
      <c r="B1622" t="s">
        <v>542</v>
      </c>
      <c r="D1622">
        <v>80895</v>
      </c>
    </row>
    <row r="1623" spans="1:4">
      <c r="A1623" s="41">
        <v>46041</v>
      </c>
      <c r="B1623" t="s">
        <v>572</v>
      </c>
      <c r="D1623">
        <v>144497</v>
      </c>
    </row>
    <row r="1624" spans="1:4">
      <c r="A1624" s="41">
        <v>46041</v>
      </c>
      <c r="B1624" t="s">
        <v>575</v>
      </c>
      <c r="D1624">
        <v>233447</v>
      </c>
    </row>
    <row r="1625" spans="1:4">
      <c r="A1625" s="41">
        <v>46041</v>
      </c>
      <c r="B1625" t="s">
        <v>577</v>
      </c>
      <c r="D1625">
        <v>222167</v>
      </c>
    </row>
    <row r="1626" spans="1:4">
      <c r="A1626" s="41">
        <v>46041</v>
      </c>
      <c r="B1626" t="s">
        <v>591</v>
      </c>
      <c r="D1626">
        <v>136563</v>
      </c>
    </row>
    <row r="1627" spans="1:4">
      <c r="A1627" s="41">
        <v>46041</v>
      </c>
      <c r="B1627" t="s">
        <v>594</v>
      </c>
      <c r="D1627">
        <v>132034</v>
      </c>
    </row>
    <row r="1628" spans="1:4">
      <c r="A1628" s="41">
        <v>46041</v>
      </c>
      <c r="B1628" t="s">
        <v>596</v>
      </c>
      <c r="D1628">
        <v>134465</v>
      </c>
    </row>
    <row r="1629" spans="1:4">
      <c r="A1629" s="41">
        <v>46041</v>
      </c>
      <c r="B1629" t="s">
        <v>598</v>
      </c>
      <c r="D1629">
        <v>131993</v>
      </c>
    </row>
    <row r="1630" spans="1:4">
      <c r="A1630" s="41">
        <v>46041</v>
      </c>
      <c r="B1630" t="s">
        <v>608</v>
      </c>
      <c r="D1630">
        <v>295442</v>
      </c>
    </row>
    <row r="1631" spans="1:4">
      <c r="A1631" s="41">
        <v>46041</v>
      </c>
      <c r="B1631" t="s">
        <v>614</v>
      </c>
      <c r="D1631">
        <v>141754</v>
      </c>
    </row>
    <row r="1632" spans="1:4">
      <c r="A1632" s="41">
        <v>46041</v>
      </c>
      <c r="B1632" t="s">
        <v>616</v>
      </c>
      <c r="D1632">
        <v>114925</v>
      </c>
    </row>
    <row r="1633" spans="1:4">
      <c r="A1633" s="41">
        <v>46041</v>
      </c>
      <c r="B1633" t="s">
        <v>626</v>
      </c>
      <c r="D1633">
        <v>101306</v>
      </c>
    </row>
    <row r="1634" spans="1:4">
      <c r="A1634" s="41">
        <v>46041</v>
      </c>
      <c r="B1634" t="s">
        <v>634</v>
      </c>
      <c r="D1634">
        <v>100357</v>
      </c>
    </row>
    <row r="1635" spans="1:4">
      <c r="A1635" s="41">
        <v>46042</v>
      </c>
      <c r="B1635" t="s">
        <v>19</v>
      </c>
      <c r="C1635">
        <v>9997</v>
      </c>
      <c r="D1635">
        <v>250943</v>
      </c>
    </row>
    <row r="1636" spans="1:4">
      <c r="A1636" s="41">
        <v>46042</v>
      </c>
      <c r="B1636" t="s">
        <v>50</v>
      </c>
      <c r="D1636">
        <v>271238</v>
      </c>
    </row>
    <row r="1637" spans="1:4">
      <c r="A1637" s="41">
        <v>46042</v>
      </c>
      <c r="B1637" t="s">
        <v>78</v>
      </c>
      <c r="D1637">
        <v>506635</v>
      </c>
    </row>
    <row r="1638" spans="1:4">
      <c r="A1638" s="41">
        <v>46042</v>
      </c>
      <c r="B1638" t="s">
        <v>81</v>
      </c>
      <c r="C1638">
        <v>2544</v>
      </c>
    </row>
    <row r="1639" spans="1:4">
      <c r="A1639" s="41">
        <v>46042</v>
      </c>
      <c r="B1639" t="s">
        <v>86</v>
      </c>
      <c r="C1639">
        <v>3258</v>
      </c>
      <c r="D1639">
        <v>79200</v>
      </c>
    </row>
    <row r="1640" spans="1:4">
      <c r="A1640" s="41">
        <v>46042</v>
      </c>
      <c r="B1640" t="s">
        <v>89</v>
      </c>
      <c r="C1640">
        <v>3312</v>
      </c>
      <c r="D1640">
        <v>86021</v>
      </c>
    </row>
    <row r="1641" spans="1:4">
      <c r="A1641" s="41">
        <v>46042</v>
      </c>
      <c r="B1641" t="s">
        <v>91</v>
      </c>
      <c r="C1641">
        <v>3441</v>
      </c>
      <c r="D1641">
        <v>89901</v>
      </c>
    </row>
    <row r="1642" spans="1:4">
      <c r="A1642" s="41">
        <v>46042</v>
      </c>
      <c r="B1642" t="s">
        <v>517</v>
      </c>
      <c r="D1642">
        <v>37226</v>
      </c>
    </row>
    <row r="1643" spans="1:4">
      <c r="A1643" s="41">
        <v>46042</v>
      </c>
      <c r="B1643" t="s">
        <v>93</v>
      </c>
      <c r="C1643">
        <v>3503</v>
      </c>
      <c r="D1643">
        <v>96580</v>
      </c>
    </row>
    <row r="1644" spans="1:4">
      <c r="A1644" s="41">
        <v>46042</v>
      </c>
      <c r="B1644" t="s">
        <v>97</v>
      </c>
      <c r="D1644">
        <v>66838</v>
      </c>
    </row>
    <row r="1645" spans="1:4">
      <c r="A1645" s="41">
        <v>46042</v>
      </c>
      <c r="B1645" t="s">
        <v>138</v>
      </c>
      <c r="D1645">
        <v>787536</v>
      </c>
    </row>
    <row r="1646" spans="1:4">
      <c r="A1646" s="41">
        <v>46042</v>
      </c>
      <c r="B1646" t="s">
        <v>152</v>
      </c>
      <c r="D1646">
        <v>260841</v>
      </c>
    </row>
    <row r="1647" spans="1:4">
      <c r="A1647" s="81">
        <v>44208</v>
      </c>
      <c r="B1647" t="s">
        <v>38</v>
      </c>
      <c r="C1647">
        <v>3339</v>
      </c>
    </row>
    <row r="1648" spans="1:4">
      <c r="A1648" s="41">
        <v>46042</v>
      </c>
      <c r="B1648" t="s">
        <v>171</v>
      </c>
      <c r="C1648">
        <v>1746</v>
      </c>
      <c r="D1648">
        <v>199197</v>
      </c>
    </row>
    <row r="1649" spans="1:4">
      <c r="A1649" s="41">
        <v>46042</v>
      </c>
      <c r="B1649" t="s">
        <v>177</v>
      </c>
      <c r="C1649">
        <v>8652</v>
      </c>
      <c r="D1649">
        <v>191881</v>
      </c>
    </row>
    <row r="1650" spans="1:4">
      <c r="A1650" s="41">
        <v>46042</v>
      </c>
      <c r="B1650" t="s">
        <v>254</v>
      </c>
      <c r="C1650">
        <v>15465</v>
      </c>
    </row>
    <row r="1651" spans="1:4">
      <c r="A1651" s="41">
        <v>46042</v>
      </c>
      <c r="B1651" t="s">
        <v>258</v>
      </c>
      <c r="C1651">
        <v>2484</v>
      </c>
    </row>
    <row r="1652" spans="1:4">
      <c r="A1652" s="41">
        <v>46042</v>
      </c>
      <c r="B1652" t="s">
        <v>268</v>
      </c>
      <c r="C1652">
        <v>5473</v>
      </c>
    </row>
    <row r="1653" spans="1:4">
      <c r="A1653" s="41">
        <v>46042</v>
      </c>
      <c r="B1653" t="s">
        <v>273</v>
      </c>
      <c r="C1653">
        <v>4007</v>
      </c>
    </row>
    <row r="1654" spans="1:4">
      <c r="A1654" s="41">
        <v>46042</v>
      </c>
      <c r="B1654" t="s">
        <v>275</v>
      </c>
      <c r="C1654">
        <v>1317</v>
      </c>
    </row>
    <row r="1655" spans="1:4">
      <c r="A1655" s="41">
        <v>46042</v>
      </c>
      <c r="B1655" t="s">
        <v>288</v>
      </c>
      <c r="C1655">
        <v>1164</v>
      </c>
    </row>
    <row r="1656" spans="1:4">
      <c r="A1656" s="41">
        <v>46042</v>
      </c>
      <c r="B1656" t="s">
        <v>333</v>
      </c>
      <c r="C1656">
        <v>11976</v>
      </c>
    </row>
    <row r="1657" spans="1:4">
      <c r="A1657" s="41">
        <v>46042</v>
      </c>
      <c r="B1657" t="s">
        <v>379</v>
      </c>
      <c r="C1657">
        <v>3425</v>
      </c>
    </row>
    <row r="1658" spans="1:4">
      <c r="A1658" s="41">
        <v>46042</v>
      </c>
      <c r="B1658" t="s">
        <v>386</v>
      </c>
      <c r="C1658">
        <v>7950</v>
      </c>
    </row>
    <row r="1659" spans="1:4">
      <c r="A1659" s="41">
        <v>46042</v>
      </c>
      <c r="B1659" t="s">
        <v>405</v>
      </c>
      <c r="C1659">
        <v>12546</v>
      </c>
    </row>
    <row r="1660" spans="1:4">
      <c r="A1660" s="41">
        <v>46042</v>
      </c>
      <c r="B1660" t="s">
        <v>420</v>
      </c>
      <c r="C1660">
        <v>5526</v>
      </c>
    </row>
    <row r="1661" spans="1:4">
      <c r="A1661" s="41">
        <v>46042</v>
      </c>
      <c r="B1661" t="s">
        <v>424</v>
      </c>
      <c r="C1661">
        <v>406</v>
      </c>
    </row>
    <row r="1662" spans="1:4">
      <c r="A1662" s="41">
        <v>46042</v>
      </c>
      <c r="B1662" t="s">
        <v>431</v>
      </c>
      <c r="C1662">
        <v>9874</v>
      </c>
    </row>
    <row r="1663" spans="1:4">
      <c r="A1663" s="41">
        <v>46042</v>
      </c>
      <c r="B1663" t="s">
        <v>443</v>
      </c>
      <c r="C1663">
        <v>2181</v>
      </c>
    </row>
    <row r="1664" spans="1:4">
      <c r="A1664" s="41">
        <v>46042</v>
      </c>
      <c r="B1664" t="s">
        <v>458</v>
      </c>
      <c r="D1664">
        <v>91839</v>
      </c>
    </row>
    <row r="1665" spans="1:4">
      <c r="A1665" s="41">
        <v>46042</v>
      </c>
      <c r="B1665" t="s">
        <v>485</v>
      </c>
      <c r="D1665">
        <v>74313</v>
      </c>
    </row>
    <row r="1666" spans="1:4">
      <c r="A1666" s="41">
        <v>46042</v>
      </c>
      <c r="B1666" t="s">
        <v>488</v>
      </c>
      <c r="D1666">
        <v>97373</v>
      </c>
    </row>
    <row r="1667" spans="1:4">
      <c r="A1667" s="41">
        <v>46042</v>
      </c>
      <c r="B1667" t="s">
        <v>493</v>
      </c>
      <c r="D1667">
        <v>53939</v>
      </c>
    </row>
    <row r="1668" spans="1:4">
      <c r="A1668" s="41">
        <v>46042</v>
      </c>
      <c r="B1668" t="s">
        <v>496</v>
      </c>
      <c r="D1668">
        <v>107145</v>
      </c>
    </row>
    <row r="1669" spans="1:4">
      <c r="A1669" s="41">
        <v>46042</v>
      </c>
      <c r="B1669" t="s">
        <v>510</v>
      </c>
      <c r="D1669">
        <v>39920</v>
      </c>
    </row>
    <row r="1670" spans="1:4">
      <c r="A1670" s="41">
        <v>46042</v>
      </c>
      <c r="B1670" t="s">
        <v>514</v>
      </c>
      <c r="D1670">
        <v>56370</v>
      </c>
    </row>
    <row r="1671" spans="1:4">
      <c r="A1671" s="41">
        <v>46042</v>
      </c>
      <c r="B1671" t="s">
        <v>515</v>
      </c>
      <c r="D1671">
        <v>63264</v>
      </c>
    </row>
    <row r="1672" spans="1:4">
      <c r="A1672" s="41">
        <v>46042</v>
      </c>
      <c r="B1672" t="s">
        <v>520</v>
      </c>
      <c r="D1672">
        <v>46981</v>
      </c>
    </row>
    <row r="1673" spans="1:4">
      <c r="A1673" s="41">
        <v>46042</v>
      </c>
      <c r="B1673" t="s">
        <v>520</v>
      </c>
      <c r="D1673">
        <v>46381</v>
      </c>
    </row>
    <row r="1674" spans="1:4">
      <c r="A1674" s="41">
        <v>46042</v>
      </c>
      <c r="B1674" t="s">
        <v>526</v>
      </c>
      <c r="D1674">
        <v>55705</v>
      </c>
    </row>
    <row r="1675" spans="1:4">
      <c r="A1675" s="41">
        <v>46042</v>
      </c>
      <c r="B1675" t="s">
        <v>537</v>
      </c>
      <c r="D1675">
        <v>86695</v>
      </c>
    </row>
    <row r="1676" spans="1:4">
      <c r="A1676" s="41">
        <v>46042</v>
      </c>
      <c r="B1676" t="s">
        <v>537</v>
      </c>
      <c r="D1676">
        <v>86950</v>
      </c>
    </row>
    <row r="1677" spans="1:4">
      <c r="A1677" s="41">
        <v>46042</v>
      </c>
      <c r="B1677" t="s">
        <v>549</v>
      </c>
      <c r="D1677">
        <v>7930</v>
      </c>
    </row>
    <row r="1678" spans="1:4">
      <c r="A1678" s="41">
        <v>46042</v>
      </c>
      <c r="B1678" t="s">
        <v>551</v>
      </c>
      <c r="D1678">
        <v>13292</v>
      </c>
    </row>
    <row r="1679" spans="1:4">
      <c r="A1679" s="41">
        <v>46042</v>
      </c>
      <c r="B1679" t="s">
        <v>559</v>
      </c>
      <c r="D1679">
        <v>556383</v>
      </c>
    </row>
    <row r="1680" spans="1:4">
      <c r="A1680" s="41">
        <v>46042</v>
      </c>
      <c r="B1680" t="s">
        <v>577</v>
      </c>
      <c r="D1680">
        <v>222600</v>
      </c>
    </row>
    <row r="1681" spans="1:4">
      <c r="A1681" s="41">
        <v>46042</v>
      </c>
      <c r="B1681" t="s">
        <v>593</v>
      </c>
      <c r="D1681">
        <v>157948</v>
      </c>
    </row>
    <row r="1682" spans="1:4">
      <c r="A1682" s="41">
        <v>46042</v>
      </c>
      <c r="B1682" t="s">
        <v>593</v>
      </c>
      <c r="D1682">
        <v>157948</v>
      </c>
    </row>
    <row r="1683" spans="1:4">
      <c r="A1683" s="41">
        <v>46042</v>
      </c>
      <c r="B1683" t="s">
        <v>594</v>
      </c>
      <c r="D1683">
        <v>132629</v>
      </c>
    </row>
    <row r="1684" spans="1:4">
      <c r="A1684" s="41">
        <v>46042</v>
      </c>
      <c r="B1684" t="s">
        <v>596</v>
      </c>
      <c r="D1684">
        <v>134797</v>
      </c>
    </row>
    <row r="1685" spans="1:4">
      <c r="A1685" s="41">
        <v>46042</v>
      </c>
      <c r="B1685" t="s">
        <v>611</v>
      </c>
      <c r="D1685">
        <v>255082</v>
      </c>
    </row>
    <row r="1686" spans="1:4">
      <c r="A1686" s="41">
        <v>46042</v>
      </c>
      <c r="B1686" t="s">
        <v>620</v>
      </c>
      <c r="D1686">
        <v>119697</v>
      </c>
    </row>
    <row r="1687" spans="1:4">
      <c r="A1687" s="41">
        <v>46042</v>
      </c>
      <c r="B1687" t="s">
        <v>622</v>
      </c>
      <c r="D1687">
        <v>84602</v>
      </c>
    </row>
    <row r="1688" spans="1:4">
      <c r="A1688" s="41">
        <v>46042</v>
      </c>
      <c r="B1688" t="s">
        <v>630</v>
      </c>
      <c r="D1688">
        <v>137055</v>
      </c>
    </row>
    <row r="1689" spans="1:4">
      <c r="A1689" s="41">
        <v>46042</v>
      </c>
      <c r="B1689" t="s">
        <v>634</v>
      </c>
      <c r="D1689">
        <v>100660</v>
      </c>
    </row>
    <row r="1690" spans="1:4">
      <c r="A1690" s="41">
        <v>46043</v>
      </c>
      <c r="B1690" t="s">
        <v>19</v>
      </c>
      <c r="C1690">
        <v>10007</v>
      </c>
      <c r="D1690">
        <v>251430</v>
      </c>
    </row>
    <row r="1691" spans="1:4">
      <c r="A1691" s="41">
        <v>46043</v>
      </c>
      <c r="B1691" t="s">
        <v>29</v>
      </c>
      <c r="C1691">
        <v>10546</v>
      </c>
      <c r="D1691">
        <v>253707</v>
      </c>
    </row>
    <row r="1692" spans="1:4">
      <c r="A1692" s="41">
        <v>46043</v>
      </c>
      <c r="B1692" t="s">
        <v>44</v>
      </c>
      <c r="D1692">
        <v>187562</v>
      </c>
    </row>
    <row r="1693" spans="1:4">
      <c r="A1693" s="41">
        <v>46043</v>
      </c>
      <c r="B1693" t="s">
        <v>61</v>
      </c>
      <c r="D1693">
        <v>802320</v>
      </c>
    </row>
    <row r="1694" spans="1:4">
      <c r="A1694" s="41">
        <v>46043</v>
      </c>
      <c r="B1694" t="s">
        <v>65</v>
      </c>
      <c r="C1694">
        <v>3772</v>
      </c>
    </row>
    <row r="1695" spans="1:4">
      <c r="A1695" s="41">
        <v>46043</v>
      </c>
      <c r="B1695" t="s">
        <v>68</v>
      </c>
      <c r="D1695">
        <v>329180</v>
      </c>
    </row>
    <row r="1696" spans="1:4">
      <c r="A1696" s="41">
        <v>46043</v>
      </c>
      <c r="B1696" t="s">
        <v>86</v>
      </c>
      <c r="C1696">
        <v>3272</v>
      </c>
      <c r="D1696">
        <v>79788</v>
      </c>
    </row>
    <row r="1697" spans="1:4">
      <c r="A1697" s="41">
        <v>46043</v>
      </c>
      <c r="B1697" t="s">
        <v>86</v>
      </c>
      <c r="C1697">
        <v>3267</v>
      </c>
      <c r="D1697">
        <v>79574</v>
      </c>
    </row>
    <row r="1698" spans="1:4">
      <c r="A1698" s="41">
        <v>46043</v>
      </c>
      <c r="B1698" t="s">
        <v>89</v>
      </c>
      <c r="C1698">
        <v>3319</v>
      </c>
      <c r="D1698">
        <v>86291</v>
      </c>
    </row>
    <row r="1699" spans="1:4">
      <c r="A1699" s="81">
        <v>44209</v>
      </c>
      <c r="B1699" t="s">
        <v>164</v>
      </c>
      <c r="D1699">
        <v>122456</v>
      </c>
    </row>
    <row r="1700" spans="1:4">
      <c r="A1700" s="41">
        <v>46043</v>
      </c>
      <c r="B1700" t="s">
        <v>661</v>
      </c>
      <c r="D1700">
        <v>304011</v>
      </c>
    </row>
    <row r="1701" spans="1:4">
      <c r="A1701" s="41">
        <v>46043</v>
      </c>
      <c r="B1701" t="s">
        <v>171</v>
      </c>
      <c r="C1701">
        <v>1755</v>
      </c>
      <c r="D1701">
        <v>200078</v>
      </c>
    </row>
    <row r="1702" spans="1:4">
      <c r="A1702" s="41">
        <v>46043</v>
      </c>
      <c r="B1702" t="s">
        <v>175</v>
      </c>
      <c r="C1702">
        <v>9025</v>
      </c>
      <c r="D1702">
        <v>204620</v>
      </c>
    </row>
    <row r="1703" spans="1:4">
      <c r="A1703" s="41">
        <v>46043</v>
      </c>
      <c r="B1703" t="s">
        <v>177</v>
      </c>
      <c r="C1703">
        <v>8676</v>
      </c>
      <c r="D1703">
        <v>192763</v>
      </c>
    </row>
    <row r="1704" spans="1:4">
      <c r="A1704" s="41">
        <v>46043</v>
      </c>
      <c r="B1704" t="s">
        <v>246</v>
      </c>
      <c r="C1704">
        <v>6382</v>
      </c>
    </row>
    <row r="1705" spans="1:4">
      <c r="A1705" s="41">
        <v>46043</v>
      </c>
      <c r="B1705" t="s">
        <v>263</v>
      </c>
      <c r="C1705">
        <v>9789</v>
      </c>
    </row>
    <row r="1706" spans="1:4">
      <c r="A1706" s="41">
        <v>46043</v>
      </c>
      <c r="B1706" t="s">
        <v>288</v>
      </c>
      <c r="C1706">
        <v>1175</v>
      </c>
    </row>
    <row r="1707" spans="1:4">
      <c r="A1707" s="41">
        <v>46043</v>
      </c>
      <c r="B1707" t="s">
        <v>330</v>
      </c>
      <c r="C1707">
        <v>25902</v>
      </c>
    </row>
    <row r="1708" spans="1:4">
      <c r="A1708" s="41">
        <v>46043</v>
      </c>
      <c r="B1708" t="s">
        <v>330</v>
      </c>
      <c r="C1708">
        <v>25898</v>
      </c>
    </row>
    <row r="1709" spans="1:4">
      <c r="A1709" s="41">
        <v>46043</v>
      </c>
      <c r="B1709" t="s">
        <v>354</v>
      </c>
      <c r="C1709">
        <v>6970</v>
      </c>
    </row>
    <row r="1710" spans="1:4">
      <c r="A1710" s="41">
        <v>46043</v>
      </c>
      <c r="B1710" t="s">
        <v>356</v>
      </c>
      <c r="C1710">
        <v>15521</v>
      </c>
    </row>
    <row r="1711" spans="1:4">
      <c r="A1711" s="41">
        <v>46043</v>
      </c>
      <c r="B1711" t="s">
        <v>387</v>
      </c>
      <c r="C1711">
        <v>17149</v>
      </c>
    </row>
    <row r="1712" spans="1:4">
      <c r="A1712" s="41">
        <v>46043</v>
      </c>
      <c r="B1712" t="s">
        <v>408</v>
      </c>
      <c r="C1712">
        <v>4299</v>
      </c>
    </row>
    <row r="1713" spans="1:4">
      <c r="A1713" s="41">
        <v>46043</v>
      </c>
      <c r="B1713" t="s">
        <v>417</v>
      </c>
      <c r="C1713">
        <v>8052</v>
      </c>
    </row>
    <row r="1714" spans="1:4">
      <c r="A1714" s="41">
        <v>46043</v>
      </c>
      <c r="B1714" t="s">
        <v>430</v>
      </c>
      <c r="C1714">
        <v>6429</v>
      </c>
    </row>
    <row r="1715" spans="1:4">
      <c r="A1715" s="41">
        <v>46043</v>
      </c>
      <c r="B1715" t="s">
        <v>440</v>
      </c>
      <c r="C1715">
        <v>1853</v>
      </c>
    </row>
    <row r="1716" spans="1:4">
      <c r="A1716" s="41">
        <v>46043</v>
      </c>
      <c r="B1716" t="s">
        <v>455</v>
      </c>
      <c r="C1716">
        <v>2386</v>
      </c>
    </row>
    <row r="1717" spans="1:4">
      <c r="A1717" s="41">
        <v>46043</v>
      </c>
      <c r="B1717" t="s">
        <v>456</v>
      </c>
      <c r="C1717">
        <v>1997</v>
      </c>
    </row>
    <row r="1718" spans="1:4">
      <c r="A1718" s="41">
        <v>46043</v>
      </c>
      <c r="B1718" t="s">
        <v>469</v>
      </c>
      <c r="D1718">
        <v>68680</v>
      </c>
    </row>
    <row r="1719" spans="1:4">
      <c r="A1719" s="41">
        <v>46043</v>
      </c>
      <c r="B1719" t="s">
        <v>485</v>
      </c>
      <c r="D1719">
        <v>74683</v>
      </c>
    </row>
    <row r="1720" spans="1:4">
      <c r="A1720" s="41">
        <v>46043</v>
      </c>
      <c r="B1720" t="s">
        <v>512</v>
      </c>
      <c r="D1720">
        <v>44917</v>
      </c>
    </row>
    <row r="1721" spans="1:4">
      <c r="A1721" s="41">
        <v>46043</v>
      </c>
      <c r="B1721" t="s">
        <v>518</v>
      </c>
      <c r="D1721">
        <v>67903</v>
      </c>
    </row>
    <row r="1722" spans="1:4">
      <c r="A1722" s="41">
        <v>46043</v>
      </c>
      <c r="B1722" t="s">
        <v>549</v>
      </c>
      <c r="D1722">
        <v>8151</v>
      </c>
    </row>
    <row r="1723" spans="1:4">
      <c r="A1723" s="41">
        <v>46043</v>
      </c>
      <c r="B1723" t="s">
        <v>552</v>
      </c>
      <c r="D1723">
        <v>9004</v>
      </c>
    </row>
    <row r="1724" spans="1:4">
      <c r="A1724" s="41">
        <v>46043</v>
      </c>
      <c r="B1724" t="s">
        <v>591</v>
      </c>
      <c r="D1724">
        <v>135845</v>
      </c>
    </row>
    <row r="1725" spans="1:4">
      <c r="A1725" s="41">
        <v>46043</v>
      </c>
      <c r="B1725" t="s">
        <v>593</v>
      </c>
      <c r="D1725">
        <v>158406</v>
      </c>
    </row>
    <row r="1726" spans="1:4">
      <c r="A1726" s="41">
        <v>46043</v>
      </c>
      <c r="B1726" t="s">
        <v>594</v>
      </c>
      <c r="D1726">
        <v>133178</v>
      </c>
    </row>
    <row r="1727" spans="1:4">
      <c r="A1727" s="41">
        <v>46043</v>
      </c>
      <c r="B1727" t="s">
        <v>596</v>
      </c>
      <c r="D1727">
        <v>135197</v>
      </c>
    </row>
    <row r="1728" spans="1:4">
      <c r="A1728" s="41">
        <v>46043</v>
      </c>
      <c r="B1728" t="s">
        <v>614</v>
      </c>
      <c r="D1728">
        <v>142082</v>
      </c>
    </row>
    <row r="1729" spans="1:4">
      <c r="A1729" s="41">
        <v>46043</v>
      </c>
      <c r="B1729" t="s">
        <v>618</v>
      </c>
      <c r="D1729">
        <v>106996</v>
      </c>
    </row>
    <row r="1730" spans="1:4">
      <c r="A1730" s="41">
        <v>46043</v>
      </c>
      <c r="B1730" t="s">
        <v>628</v>
      </c>
      <c r="D1730">
        <v>86461</v>
      </c>
    </row>
    <row r="1731" spans="1:4">
      <c r="A1731" s="41">
        <v>46043</v>
      </c>
      <c r="B1731" t="s">
        <v>634</v>
      </c>
      <c r="D1731">
        <v>100918</v>
      </c>
    </row>
    <row r="1732" spans="1:4">
      <c r="A1732" s="41">
        <v>46044</v>
      </c>
      <c r="B1732" t="s">
        <v>19</v>
      </c>
      <c r="C1732">
        <v>10012</v>
      </c>
      <c r="D1732">
        <v>251700</v>
      </c>
    </row>
    <row r="1733" spans="1:4">
      <c r="A1733" s="41">
        <v>46044</v>
      </c>
      <c r="B1733" t="s">
        <v>29</v>
      </c>
      <c r="C1733">
        <v>10555</v>
      </c>
      <c r="D1733">
        <v>254100</v>
      </c>
    </row>
    <row r="1734" spans="1:4">
      <c r="A1734" s="41">
        <v>46044</v>
      </c>
      <c r="B1734" t="s">
        <v>50</v>
      </c>
      <c r="D1734">
        <v>271528</v>
      </c>
    </row>
    <row r="1735" spans="1:4">
      <c r="A1735" s="41">
        <v>46044</v>
      </c>
      <c r="B1735" t="s">
        <v>72</v>
      </c>
      <c r="D1735">
        <v>329583</v>
      </c>
    </row>
    <row r="1736" spans="1:4">
      <c r="A1736" s="41">
        <v>46044</v>
      </c>
      <c r="B1736" t="s">
        <v>81</v>
      </c>
      <c r="C1736">
        <v>2558</v>
      </c>
    </row>
    <row r="1737" spans="1:4">
      <c r="A1737" s="41">
        <v>46044</v>
      </c>
      <c r="B1737" t="s">
        <v>86</v>
      </c>
      <c r="C1737">
        <v>3280</v>
      </c>
      <c r="D1737">
        <v>80079</v>
      </c>
    </row>
    <row r="1738" spans="1:4">
      <c r="A1738" s="41">
        <v>46044</v>
      </c>
      <c r="B1738" t="s">
        <v>89</v>
      </c>
      <c r="C1738">
        <v>3327</v>
      </c>
      <c r="D1738">
        <v>86641</v>
      </c>
    </row>
    <row r="1739" spans="1:4">
      <c r="A1739" s="41">
        <v>46044</v>
      </c>
      <c r="B1739" t="s">
        <v>517</v>
      </c>
      <c r="D1739">
        <v>37492</v>
      </c>
    </row>
    <row r="1740" spans="1:4">
      <c r="A1740" s="41">
        <v>46044</v>
      </c>
      <c r="B1740" t="s">
        <v>121</v>
      </c>
      <c r="C1740">
        <v>7453</v>
      </c>
      <c r="D1740">
        <v>189234</v>
      </c>
    </row>
    <row r="1741" spans="1:4">
      <c r="A1741" s="41">
        <v>46044</v>
      </c>
      <c r="B1741" t="s">
        <v>121</v>
      </c>
      <c r="C1741">
        <v>7452</v>
      </c>
      <c r="D1741">
        <v>189107</v>
      </c>
    </row>
    <row r="1742" spans="1:4">
      <c r="A1742" s="41">
        <v>46044</v>
      </c>
      <c r="B1742" t="s">
        <v>138</v>
      </c>
      <c r="D1742">
        <v>288054</v>
      </c>
    </row>
    <row r="1743" spans="1:4">
      <c r="A1743" s="41">
        <v>46044</v>
      </c>
      <c r="B1743" t="s">
        <v>152</v>
      </c>
      <c r="D1743">
        <v>210912</v>
      </c>
    </row>
    <row r="1744" spans="1:4">
      <c r="A1744" s="81">
        <v>44218</v>
      </c>
      <c r="B1744" t="s">
        <v>173</v>
      </c>
      <c r="C1744">
        <v>2075</v>
      </c>
      <c r="D1744">
        <v>41954</v>
      </c>
    </row>
    <row r="1745" spans="1:4">
      <c r="A1745" s="41">
        <v>46044</v>
      </c>
      <c r="B1745" t="s">
        <v>171</v>
      </c>
      <c r="C1745">
        <v>1772</v>
      </c>
      <c r="D1745">
        <v>200714</v>
      </c>
    </row>
    <row r="1746" spans="1:4">
      <c r="A1746" s="41">
        <v>46044</v>
      </c>
      <c r="B1746" t="s">
        <v>175</v>
      </c>
      <c r="C1746">
        <v>9033</v>
      </c>
      <c r="D1746">
        <v>204830</v>
      </c>
    </row>
    <row r="1747" spans="1:4">
      <c r="A1747" s="41">
        <v>46044</v>
      </c>
      <c r="B1747" t="s">
        <v>177</v>
      </c>
      <c r="C1747">
        <v>8687</v>
      </c>
      <c r="D1747">
        <v>192997</v>
      </c>
    </row>
    <row r="1748" spans="1:4">
      <c r="A1748" s="41">
        <v>46044</v>
      </c>
      <c r="B1748" t="s">
        <v>185</v>
      </c>
      <c r="C1748">
        <v>3096</v>
      </c>
      <c r="D1748">
        <v>567510</v>
      </c>
    </row>
    <row r="1749" spans="1:4">
      <c r="A1749" s="41">
        <v>46044</v>
      </c>
      <c r="B1749" t="s">
        <v>273</v>
      </c>
      <c r="C1749">
        <v>4019</v>
      </c>
    </row>
    <row r="1750" spans="1:4">
      <c r="A1750" s="41">
        <v>46044</v>
      </c>
      <c r="B1750" t="s">
        <v>275</v>
      </c>
      <c r="C1750">
        <v>1324</v>
      </c>
    </row>
    <row r="1751" spans="1:4">
      <c r="A1751" s="41">
        <v>46044</v>
      </c>
      <c r="B1751" t="s">
        <v>288</v>
      </c>
      <c r="C1751">
        <v>1186</v>
      </c>
    </row>
    <row r="1752" spans="1:4">
      <c r="A1752" s="41">
        <v>46044</v>
      </c>
      <c r="B1752" t="s">
        <v>306</v>
      </c>
      <c r="C1752">
        <v>21365</v>
      </c>
    </row>
    <row r="1753" spans="1:4">
      <c r="A1753" s="41">
        <v>46044</v>
      </c>
      <c r="B1753" t="s">
        <v>321</v>
      </c>
      <c r="C1753">
        <v>6835</v>
      </c>
    </row>
    <row r="1754" spans="1:4">
      <c r="A1754" s="41">
        <v>46044</v>
      </c>
      <c r="B1754" t="s">
        <v>324</v>
      </c>
      <c r="C1754">
        <v>6983</v>
      </c>
    </row>
    <row r="1755" spans="1:4">
      <c r="A1755" s="41">
        <v>46044</v>
      </c>
      <c r="B1755" t="s">
        <v>330</v>
      </c>
      <c r="C1755">
        <v>25912</v>
      </c>
    </row>
    <row r="1756" spans="1:4">
      <c r="A1756" s="41">
        <v>46044</v>
      </c>
      <c r="B1756" t="s">
        <v>333</v>
      </c>
      <c r="C1756">
        <v>11807</v>
      </c>
    </row>
    <row r="1757" spans="1:4">
      <c r="A1757" s="41">
        <v>46044</v>
      </c>
      <c r="B1757" t="s">
        <v>379</v>
      </c>
      <c r="C1757">
        <v>3430</v>
      </c>
    </row>
    <row r="1758" spans="1:4">
      <c r="A1758" s="41">
        <v>46044</v>
      </c>
      <c r="B1758" t="s">
        <v>405</v>
      </c>
      <c r="C1758">
        <v>12564</v>
      </c>
    </row>
    <row r="1759" spans="1:4">
      <c r="A1759" s="41">
        <v>46044</v>
      </c>
      <c r="B1759" t="s">
        <v>417</v>
      </c>
      <c r="C1759">
        <v>8060</v>
      </c>
    </row>
    <row r="1760" spans="1:4">
      <c r="A1760" s="41">
        <v>46044</v>
      </c>
      <c r="B1760" t="s">
        <v>431</v>
      </c>
      <c r="C1760">
        <v>9892</v>
      </c>
    </row>
    <row r="1761" spans="1:4">
      <c r="A1761" s="41">
        <v>46044</v>
      </c>
      <c r="B1761" t="s">
        <v>443</v>
      </c>
      <c r="C1761">
        <v>2190</v>
      </c>
    </row>
    <row r="1762" spans="1:4">
      <c r="A1762" s="41">
        <v>46044</v>
      </c>
      <c r="B1762" t="s">
        <v>449</v>
      </c>
      <c r="C1762">
        <v>1597</v>
      </c>
    </row>
    <row r="1763" spans="1:4">
      <c r="A1763" s="41">
        <v>46044</v>
      </c>
      <c r="B1763" t="s">
        <v>456</v>
      </c>
      <c r="C1763">
        <v>2006</v>
      </c>
    </row>
    <row r="1764" spans="1:4">
      <c r="A1764" s="41">
        <v>46044</v>
      </c>
      <c r="B1764" t="s">
        <v>485</v>
      </c>
      <c r="D1764">
        <v>75579</v>
      </c>
    </row>
    <row r="1765" spans="1:4">
      <c r="A1765" s="41">
        <v>46044</v>
      </c>
      <c r="B1765" t="s">
        <v>488</v>
      </c>
      <c r="D1765">
        <v>97834</v>
      </c>
    </row>
    <row r="1766" spans="1:4">
      <c r="A1766" s="41">
        <v>46044</v>
      </c>
      <c r="B1766" t="s">
        <v>495</v>
      </c>
      <c r="D1766">
        <v>100870</v>
      </c>
    </row>
    <row r="1767" spans="1:4">
      <c r="A1767" s="41">
        <v>46044</v>
      </c>
      <c r="B1767" t="s">
        <v>496</v>
      </c>
      <c r="D1767">
        <v>107343</v>
      </c>
    </row>
    <row r="1768" spans="1:4">
      <c r="A1768" s="41">
        <v>46044</v>
      </c>
      <c r="B1768" t="s">
        <v>499</v>
      </c>
      <c r="D1768">
        <v>57833</v>
      </c>
    </row>
    <row r="1769" spans="1:4">
      <c r="A1769" s="41">
        <v>46044</v>
      </c>
      <c r="B1769" t="s">
        <v>506</v>
      </c>
      <c r="D1769">
        <v>56326</v>
      </c>
    </row>
    <row r="1770" spans="1:4">
      <c r="A1770" s="41">
        <v>46044</v>
      </c>
      <c r="B1770" t="s">
        <v>510</v>
      </c>
      <c r="D1770">
        <v>40366</v>
      </c>
    </row>
    <row r="1771" spans="1:4">
      <c r="A1771" s="41">
        <v>46044</v>
      </c>
      <c r="B1771" t="s">
        <v>512</v>
      </c>
      <c r="D1771">
        <v>45191</v>
      </c>
    </row>
    <row r="1772" spans="1:4">
      <c r="A1772" s="41">
        <v>46044</v>
      </c>
      <c r="B1772" t="s">
        <v>520</v>
      </c>
      <c r="D1772">
        <v>47553</v>
      </c>
    </row>
    <row r="1773" spans="1:4">
      <c r="A1773" s="41">
        <v>46044</v>
      </c>
      <c r="B1773" t="s">
        <v>523</v>
      </c>
      <c r="D1773">
        <v>53217</v>
      </c>
    </row>
    <row r="1774" spans="1:4">
      <c r="A1774" s="41">
        <v>46044</v>
      </c>
      <c r="B1774" t="s">
        <v>526</v>
      </c>
      <c r="D1774">
        <v>55912</v>
      </c>
    </row>
    <row r="1775" spans="1:4">
      <c r="A1775" s="41">
        <v>46044</v>
      </c>
      <c r="B1775" t="s">
        <v>533</v>
      </c>
      <c r="D1775">
        <v>68323</v>
      </c>
    </row>
    <row r="1776" spans="1:4">
      <c r="A1776" s="41">
        <v>46044</v>
      </c>
      <c r="B1776" t="s">
        <v>551</v>
      </c>
      <c r="D1776">
        <v>13583</v>
      </c>
    </row>
    <row r="1777" spans="1:4">
      <c r="A1777" s="41">
        <v>46044</v>
      </c>
      <c r="B1777" t="s">
        <v>559</v>
      </c>
      <c r="D1777">
        <v>556694</v>
      </c>
    </row>
    <row r="1778" spans="1:4">
      <c r="A1778" s="41">
        <v>46044</v>
      </c>
      <c r="B1778" t="s">
        <v>596</v>
      </c>
      <c r="D1778">
        <v>135553</v>
      </c>
    </row>
    <row r="1779" spans="1:4">
      <c r="A1779" s="41">
        <v>46044</v>
      </c>
      <c r="B1779" t="s">
        <v>611</v>
      </c>
      <c r="D1779">
        <v>255785</v>
      </c>
    </row>
    <row r="1780" spans="1:4">
      <c r="A1780" s="41">
        <v>46044</v>
      </c>
      <c r="B1780" t="s">
        <v>620</v>
      </c>
      <c r="D1780">
        <v>119919</v>
      </c>
    </row>
    <row r="1781" spans="1:4">
      <c r="A1781" s="41">
        <v>46044</v>
      </c>
      <c r="B1781" t="s">
        <v>626</v>
      </c>
      <c r="D1781">
        <v>101753</v>
      </c>
    </row>
    <row r="1782" spans="1:4">
      <c r="A1782" s="41">
        <v>46044</v>
      </c>
      <c r="B1782" t="s">
        <v>630</v>
      </c>
      <c r="D1782">
        <v>137265</v>
      </c>
    </row>
    <row r="1783" spans="1:4">
      <c r="A1783" s="41">
        <v>46044</v>
      </c>
      <c r="B1783" t="s">
        <v>634</v>
      </c>
      <c r="D1783">
        <v>101218</v>
      </c>
    </row>
    <row r="1784" spans="1:4">
      <c r="A1784" s="41">
        <v>46045</v>
      </c>
      <c r="B1784" t="s">
        <v>19</v>
      </c>
      <c r="C1784">
        <v>10022</v>
      </c>
      <c r="D1784">
        <v>251990</v>
      </c>
    </row>
    <row r="1785" spans="1:4">
      <c r="A1785" s="41">
        <v>46045</v>
      </c>
      <c r="B1785" t="s">
        <v>29</v>
      </c>
      <c r="C1785">
        <v>10564</v>
      </c>
      <c r="D1785">
        <v>254365</v>
      </c>
    </row>
    <row r="1786" spans="1:4">
      <c r="A1786" s="41">
        <v>46045</v>
      </c>
      <c r="B1786" t="s">
        <v>91</v>
      </c>
      <c r="C1786">
        <v>3458</v>
      </c>
      <c r="D1786">
        <v>90297</v>
      </c>
    </row>
    <row r="1787" spans="1:4">
      <c r="A1787" s="41">
        <v>46045</v>
      </c>
      <c r="B1787" t="s">
        <v>97</v>
      </c>
      <c r="D1787">
        <v>68501</v>
      </c>
    </row>
    <row r="1788" spans="1:4">
      <c r="A1788" s="41">
        <v>46045</v>
      </c>
      <c r="B1788" t="s">
        <v>121</v>
      </c>
      <c r="C1788">
        <v>7463</v>
      </c>
      <c r="D1788">
        <v>189497</v>
      </c>
    </row>
    <row r="1789" spans="1:4">
      <c r="A1789" s="41">
        <v>46045</v>
      </c>
      <c r="B1789" t="s">
        <v>138</v>
      </c>
      <c r="D1789">
        <v>288314</v>
      </c>
    </row>
    <row r="1790" spans="1:4">
      <c r="A1790" s="81">
        <v>44218</v>
      </c>
      <c r="B1790" t="s">
        <v>148</v>
      </c>
      <c r="D1790">
        <v>169355</v>
      </c>
    </row>
    <row r="1791" spans="1:4">
      <c r="A1791" s="41">
        <v>46045</v>
      </c>
      <c r="B1791" t="s">
        <v>169</v>
      </c>
      <c r="C1791">
        <v>9191</v>
      </c>
      <c r="D1791">
        <v>194627</v>
      </c>
    </row>
    <row r="1792" spans="1:4">
      <c r="A1792" s="41">
        <v>46045</v>
      </c>
      <c r="B1792" t="s">
        <v>173</v>
      </c>
      <c r="C1792">
        <v>8486</v>
      </c>
      <c r="D1792">
        <v>163189</v>
      </c>
    </row>
    <row r="1793" spans="1:5">
      <c r="A1793" s="41">
        <v>46045</v>
      </c>
      <c r="B1793" t="s">
        <v>187</v>
      </c>
      <c r="D1793">
        <v>532854</v>
      </c>
    </row>
    <row r="1794" spans="1:5">
      <c r="A1794" s="41">
        <v>46045</v>
      </c>
      <c r="B1794" t="s">
        <v>202</v>
      </c>
      <c r="C1794">
        <v>691</v>
      </c>
      <c r="E1794" t="s">
        <v>300</v>
      </c>
    </row>
    <row r="1795" spans="1:5">
      <c r="A1795" s="41">
        <v>46045</v>
      </c>
      <c r="B1795" t="s">
        <v>258</v>
      </c>
      <c r="C1795">
        <v>2472</v>
      </c>
    </row>
    <row r="1796" spans="1:5">
      <c r="A1796" s="41">
        <v>46045</v>
      </c>
      <c r="B1796" t="s">
        <v>263</v>
      </c>
      <c r="C1796">
        <v>9799</v>
      </c>
    </row>
    <row r="1797" spans="1:5">
      <c r="A1797" s="41">
        <v>46045</v>
      </c>
      <c r="B1797" t="s">
        <v>288</v>
      </c>
      <c r="C1797">
        <v>1194</v>
      </c>
    </row>
    <row r="1798" spans="1:5">
      <c r="A1798" s="41">
        <v>46045</v>
      </c>
      <c r="B1798" t="s">
        <v>314</v>
      </c>
      <c r="C1798">
        <v>27651</v>
      </c>
    </row>
    <row r="1799" spans="1:5">
      <c r="A1799" s="41">
        <v>46045</v>
      </c>
      <c r="B1799" t="s">
        <v>408</v>
      </c>
      <c r="C1799">
        <v>4310</v>
      </c>
    </row>
    <row r="1800" spans="1:5">
      <c r="A1800" s="41">
        <v>46045</v>
      </c>
      <c r="B1800" t="s">
        <v>414</v>
      </c>
      <c r="C1800">
        <v>10195</v>
      </c>
    </row>
    <row r="1801" spans="1:5">
      <c r="A1801" s="41">
        <v>46045</v>
      </c>
      <c r="B1801" t="s">
        <v>417</v>
      </c>
      <c r="C1801">
        <v>8067</v>
      </c>
    </row>
    <row r="1802" spans="1:5">
      <c r="A1802" s="41">
        <v>46045</v>
      </c>
      <c r="B1802" t="s">
        <v>440</v>
      </c>
      <c r="C1802">
        <v>1860</v>
      </c>
    </row>
    <row r="1803" spans="1:5">
      <c r="A1803" s="41">
        <v>46045</v>
      </c>
      <c r="B1803" t="s">
        <v>451</v>
      </c>
      <c r="C1803">
        <v>1894</v>
      </c>
    </row>
    <row r="1804" spans="1:5">
      <c r="A1804" s="41">
        <v>46045</v>
      </c>
      <c r="B1804" t="s">
        <v>469</v>
      </c>
      <c r="D1804">
        <v>69275</v>
      </c>
    </row>
    <row r="1805" spans="1:5">
      <c r="A1805" s="41">
        <v>46045</v>
      </c>
      <c r="B1805" t="s">
        <v>508</v>
      </c>
      <c r="D1805">
        <v>45184</v>
      </c>
    </row>
    <row r="1806" spans="1:5">
      <c r="A1806" s="41">
        <v>46045</v>
      </c>
      <c r="B1806" t="s">
        <v>512</v>
      </c>
      <c r="D1806">
        <v>45363</v>
      </c>
    </row>
    <row r="1807" spans="1:5">
      <c r="A1807" s="41">
        <v>46045</v>
      </c>
      <c r="B1807" t="s">
        <v>514</v>
      </c>
      <c r="D1807">
        <v>56858</v>
      </c>
    </row>
    <row r="1808" spans="1:5">
      <c r="A1808" s="41">
        <v>46045</v>
      </c>
      <c r="B1808" t="s">
        <v>515</v>
      </c>
      <c r="D1808">
        <v>63511</v>
      </c>
    </row>
    <row r="1809" spans="1:4">
      <c r="A1809" s="41">
        <v>46045</v>
      </c>
      <c r="B1809" t="s">
        <v>518</v>
      </c>
      <c r="D1809">
        <v>68617</v>
      </c>
    </row>
    <row r="1810" spans="1:4">
      <c r="A1810" s="41">
        <v>46045</v>
      </c>
      <c r="B1810" t="s">
        <v>518</v>
      </c>
      <c r="D1810">
        <v>68617</v>
      </c>
    </row>
    <row r="1811" spans="1:4">
      <c r="A1811" s="41">
        <v>46045</v>
      </c>
      <c r="B1811" t="s">
        <v>528</v>
      </c>
      <c r="D1811">
        <v>61303</v>
      </c>
    </row>
    <row r="1812" spans="1:4">
      <c r="A1812" s="41">
        <v>46045</v>
      </c>
      <c r="B1812" t="s">
        <v>537</v>
      </c>
      <c r="D1812">
        <v>87866</v>
      </c>
    </row>
    <row r="1813" spans="1:4">
      <c r="A1813" s="41">
        <v>46045</v>
      </c>
      <c r="B1813" t="s">
        <v>547</v>
      </c>
      <c r="D1813">
        <v>9424</v>
      </c>
    </row>
    <row r="1814" spans="1:4">
      <c r="A1814" s="41">
        <v>46045</v>
      </c>
      <c r="B1814" t="s">
        <v>549</v>
      </c>
      <c r="D1814">
        <v>8704</v>
      </c>
    </row>
    <row r="1815" spans="1:4">
      <c r="A1815" s="41">
        <v>46045</v>
      </c>
      <c r="B1815" t="s">
        <v>568</v>
      </c>
      <c r="D1815">
        <v>153379</v>
      </c>
    </row>
    <row r="1816" spans="1:4">
      <c r="A1816" s="41">
        <v>46045</v>
      </c>
      <c r="B1816" t="s">
        <v>572</v>
      </c>
      <c r="D1816">
        <v>144895</v>
      </c>
    </row>
    <row r="1817" spans="1:4">
      <c r="A1817" s="41">
        <v>46045</v>
      </c>
      <c r="B1817" t="s">
        <v>575</v>
      </c>
      <c r="D1817">
        <v>234075</v>
      </c>
    </row>
    <row r="1818" spans="1:4">
      <c r="A1818" s="41">
        <v>46045</v>
      </c>
      <c r="B1818" t="s">
        <v>591</v>
      </c>
      <c r="D1818">
        <v>137077</v>
      </c>
    </row>
    <row r="1819" spans="1:4">
      <c r="A1819" s="41">
        <v>46045</v>
      </c>
      <c r="B1819" t="s">
        <v>593</v>
      </c>
      <c r="D1819">
        <v>159135</v>
      </c>
    </row>
    <row r="1820" spans="1:4">
      <c r="A1820" s="41">
        <v>46045</v>
      </c>
      <c r="B1820" t="s">
        <v>593</v>
      </c>
      <c r="D1820">
        <v>159135</v>
      </c>
    </row>
    <row r="1821" spans="1:4">
      <c r="A1821" s="41">
        <v>46045</v>
      </c>
      <c r="B1821" t="s">
        <v>596</v>
      </c>
      <c r="D1821">
        <v>135987</v>
      </c>
    </row>
    <row r="1822" spans="1:4">
      <c r="A1822" s="41">
        <v>46045</v>
      </c>
      <c r="B1822" t="s">
        <v>598</v>
      </c>
      <c r="D1822">
        <v>132267</v>
      </c>
    </row>
    <row r="1823" spans="1:4">
      <c r="A1823" s="41">
        <v>46045</v>
      </c>
      <c r="B1823" t="s">
        <v>608</v>
      </c>
      <c r="D1823">
        <v>296110</v>
      </c>
    </row>
    <row r="1824" spans="1:4">
      <c r="A1824" s="41">
        <v>46045</v>
      </c>
      <c r="B1824" t="s">
        <v>616</v>
      </c>
      <c r="D1824">
        <v>115251</v>
      </c>
    </row>
    <row r="1825" spans="1:4">
      <c r="A1825" s="41">
        <v>46045</v>
      </c>
      <c r="B1825" t="s">
        <v>618</v>
      </c>
      <c r="D1825">
        <v>107172</v>
      </c>
    </row>
    <row r="1826" spans="1:4">
      <c r="A1826" s="41">
        <v>46045</v>
      </c>
      <c r="B1826" t="s">
        <v>628</v>
      </c>
      <c r="D1826">
        <v>86704</v>
      </c>
    </row>
    <row r="1827" spans="1:4">
      <c r="A1827" s="41">
        <v>46045</v>
      </c>
      <c r="B1827" t="s">
        <v>634</v>
      </c>
      <c r="D1827">
        <v>101487</v>
      </c>
    </row>
    <row r="1828" spans="1:4">
      <c r="A1828" s="41">
        <v>46048</v>
      </c>
      <c r="B1828" t="s">
        <v>19</v>
      </c>
      <c r="C1828">
        <v>10031</v>
      </c>
      <c r="D1828">
        <v>252425</v>
      </c>
    </row>
    <row r="1829" spans="1:4">
      <c r="A1829" s="41">
        <v>46048</v>
      </c>
      <c r="B1829" t="s">
        <v>29</v>
      </c>
      <c r="C1829">
        <v>10572</v>
      </c>
      <c r="D1829">
        <v>254780</v>
      </c>
    </row>
    <row r="1830" spans="1:4">
      <c r="A1830" s="41">
        <v>46048</v>
      </c>
      <c r="B1830" t="s">
        <v>41</v>
      </c>
    </row>
    <row r="1831" spans="1:4">
      <c r="A1831" s="41">
        <v>46048</v>
      </c>
      <c r="B1831" t="s">
        <v>44</v>
      </c>
      <c r="D1831">
        <v>187736</v>
      </c>
    </row>
    <row r="1832" spans="1:4">
      <c r="A1832" s="41">
        <v>46048</v>
      </c>
      <c r="B1832" t="s">
        <v>50</v>
      </c>
      <c r="D1832">
        <v>271834</v>
      </c>
    </row>
    <row r="1833" spans="1:4">
      <c r="A1833" s="41">
        <v>46048</v>
      </c>
      <c r="B1833" t="s">
        <v>65</v>
      </c>
      <c r="C1833">
        <v>3730</v>
      </c>
    </row>
    <row r="1834" spans="1:4">
      <c r="A1834" s="41">
        <v>46048</v>
      </c>
      <c r="B1834" t="s">
        <v>78</v>
      </c>
      <c r="D1834">
        <v>507249</v>
      </c>
    </row>
    <row r="1835" spans="1:4">
      <c r="A1835" s="41">
        <v>46048</v>
      </c>
      <c r="B1835" t="s">
        <v>81</v>
      </c>
      <c r="C1835">
        <v>2568</v>
      </c>
      <c r="D1835">
        <v>190791</v>
      </c>
    </row>
    <row r="1836" spans="1:4">
      <c r="A1836" s="41">
        <v>46048</v>
      </c>
      <c r="B1836" t="s">
        <v>86</v>
      </c>
      <c r="C1836">
        <v>3296</v>
      </c>
      <c r="D1836">
        <v>80247</v>
      </c>
    </row>
    <row r="1837" spans="1:4">
      <c r="A1837" s="41">
        <v>46048</v>
      </c>
      <c r="B1837" t="s">
        <v>89</v>
      </c>
      <c r="C1837">
        <v>3344</v>
      </c>
      <c r="D1837">
        <v>86776</v>
      </c>
    </row>
    <row r="1838" spans="1:4">
      <c r="A1838" s="41">
        <v>46048</v>
      </c>
      <c r="B1838" t="s">
        <v>91</v>
      </c>
      <c r="C1838">
        <v>3468</v>
      </c>
      <c r="D1838">
        <v>90605</v>
      </c>
    </row>
    <row r="1839" spans="1:4">
      <c r="A1839" s="41">
        <v>46048</v>
      </c>
      <c r="B1839" t="s">
        <v>93</v>
      </c>
      <c r="C1839">
        <v>3533</v>
      </c>
      <c r="D1839">
        <v>97243</v>
      </c>
    </row>
    <row r="1840" spans="1:4">
      <c r="A1840" s="41">
        <v>46048</v>
      </c>
      <c r="B1840" t="s">
        <v>96</v>
      </c>
      <c r="D1840">
        <v>48160</v>
      </c>
    </row>
    <row r="1841" spans="1:4">
      <c r="A1841" s="41">
        <v>46048</v>
      </c>
      <c r="B1841" t="s">
        <v>106</v>
      </c>
      <c r="D1841">
        <v>116988</v>
      </c>
    </row>
    <row r="1842" spans="1:4">
      <c r="A1842" s="41">
        <v>46048</v>
      </c>
      <c r="B1842" t="s">
        <v>121</v>
      </c>
      <c r="C1842">
        <v>7472</v>
      </c>
      <c r="D1842">
        <v>188235</v>
      </c>
    </row>
    <row r="1843" spans="1:4">
      <c r="A1843" s="41">
        <v>46048</v>
      </c>
      <c r="B1843" t="s">
        <v>138</v>
      </c>
      <c r="D1843">
        <v>288405</v>
      </c>
    </row>
    <row r="1844" spans="1:4">
      <c r="A1844" s="41">
        <v>46048</v>
      </c>
      <c r="B1844" t="s">
        <v>152</v>
      </c>
      <c r="D1844">
        <v>261040</v>
      </c>
    </row>
    <row r="1845" spans="1:4">
      <c r="A1845" s="81">
        <v>44229</v>
      </c>
      <c r="B1845" t="s">
        <v>175</v>
      </c>
      <c r="C1845">
        <v>2276</v>
      </c>
      <c r="D1845">
        <v>54885</v>
      </c>
    </row>
    <row r="1846" spans="1:4">
      <c r="A1846" s="41">
        <v>46048</v>
      </c>
      <c r="B1846" t="s">
        <v>661</v>
      </c>
      <c r="D1846">
        <v>303222</v>
      </c>
    </row>
    <row r="1847" spans="1:4">
      <c r="A1847" s="41">
        <v>46048</v>
      </c>
      <c r="B1847" t="s">
        <v>661</v>
      </c>
      <c r="D1847">
        <v>304880</v>
      </c>
    </row>
    <row r="1848" spans="1:4">
      <c r="A1848" s="41">
        <v>46048</v>
      </c>
      <c r="B1848" t="s">
        <v>169</v>
      </c>
      <c r="C1848">
        <v>9200</v>
      </c>
      <c r="D1848">
        <v>194774</v>
      </c>
    </row>
    <row r="1849" spans="1:4">
      <c r="A1849" s="41">
        <v>46048</v>
      </c>
      <c r="B1849" t="s">
        <v>171</v>
      </c>
      <c r="C1849">
        <v>1783</v>
      </c>
      <c r="D1849">
        <v>201079</v>
      </c>
    </row>
    <row r="1850" spans="1:4">
      <c r="A1850" s="41">
        <v>46048</v>
      </c>
      <c r="B1850" t="s">
        <v>171</v>
      </c>
      <c r="C1850">
        <v>1786</v>
      </c>
      <c r="D1850">
        <v>201250</v>
      </c>
    </row>
    <row r="1851" spans="1:4">
      <c r="A1851" s="41">
        <v>46048</v>
      </c>
      <c r="B1851" t="s">
        <v>175</v>
      </c>
      <c r="C1851">
        <v>9051</v>
      </c>
      <c r="D1851">
        <v>205184</v>
      </c>
    </row>
    <row r="1852" spans="1:4">
      <c r="A1852" s="41">
        <v>46048</v>
      </c>
      <c r="B1852" t="s">
        <v>187</v>
      </c>
      <c r="D1852">
        <v>533309</v>
      </c>
    </row>
    <row r="1853" spans="1:4">
      <c r="A1853" s="41">
        <v>46048</v>
      </c>
      <c r="B1853" t="s">
        <v>207</v>
      </c>
      <c r="D1853">
        <v>58585</v>
      </c>
    </row>
    <row r="1854" spans="1:4">
      <c r="A1854" s="41">
        <v>46048</v>
      </c>
      <c r="B1854" t="s">
        <v>254</v>
      </c>
      <c r="C1854">
        <v>15493</v>
      </c>
    </row>
    <row r="1855" spans="1:4">
      <c r="A1855" s="41">
        <v>46048</v>
      </c>
      <c r="B1855" t="s">
        <v>258</v>
      </c>
      <c r="C1855">
        <v>2480</v>
      </c>
    </row>
    <row r="1856" spans="1:4">
      <c r="A1856" s="41">
        <v>46048</v>
      </c>
      <c r="B1856" t="s">
        <v>268</v>
      </c>
      <c r="C1856">
        <v>5486</v>
      </c>
    </row>
    <row r="1857" spans="1:4">
      <c r="A1857" s="41">
        <v>46048</v>
      </c>
      <c r="B1857" t="s">
        <v>273</v>
      </c>
      <c r="C1857">
        <v>4029</v>
      </c>
    </row>
    <row r="1858" spans="1:4">
      <c r="A1858" s="41">
        <v>46048</v>
      </c>
      <c r="B1858" t="s">
        <v>288</v>
      </c>
      <c r="C1858">
        <v>1201</v>
      </c>
    </row>
    <row r="1859" spans="1:4">
      <c r="A1859" s="41">
        <v>46048</v>
      </c>
      <c r="B1859" t="s">
        <v>305</v>
      </c>
      <c r="C1859">
        <v>16811</v>
      </c>
    </row>
    <row r="1860" spans="1:4">
      <c r="A1860" s="41">
        <v>46048</v>
      </c>
      <c r="B1860" t="s">
        <v>333</v>
      </c>
      <c r="C1860">
        <v>11812</v>
      </c>
    </row>
    <row r="1861" spans="1:4">
      <c r="A1861" s="41">
        <v>46048</v>
      </c>
      <c r="B1861" t="s">
        <v>379</v>
      </c>
      <c r="C1861">
        <v>3435</v>
      </c>
    </row>
    <row r="1862" spans="1:4">
      <c r="A1862" s="41">
        <v>46048</v>
      </c>
      <c r="B1862" t="s">
        <v>405</v>
      </c>
      <c r="C1862">
        <v>12575</v>
      </c>
    </row>
    <row r="1863" spans="1:4">
      <c r="A1863" s="41">
        <v>46048</v>
      </c>
      <c r="B1863" t="s">
        <v>414</v>
      </c>
      <c r="C1863">
        <v>10199</v>
      </c>
    </row>
    <row r="1864" spans="1:4">
      <c r="A1864" s="41">
        <v>46048</v>
      </c>
      <c r="B1864" t="s">
        <v>417</v>
      </c>
      <c r="C1864">
        <v>8074</v>
      </c>
    </row>
    <row r="1865" spans="1:4">
      <c r="A1865" s="41">
        <v>46048</v>
      </c>
      <c r="B1865" t="s">
        <v>424</v>
      </c>
      <c r="C1865">
        <v>512</v>
      </c>
    </row>
    <row r="1866" spans="1:4">
      <c r="A1866" s="41">
        <v>46048</v>
      </c>
      <c r="B1866" t="s">
        <v>431</v>
      </c>
      <c r="C1866">
        <v>9904</v>
      </c>
    </row>
    <row r="1867" spans="1:4">
      <c r="A1867" s="41">
        <v>46048</v>
      </c>
      <c r="B1867" t="s">
        <v>443</v>
      </c>
      <c r="C1867">
        <v>2199</v>
      </c>
    </row>
    <row r="1868" spans="1:4">
      <c r="A1868" s="41">
        <v>46048</v>
      </c>
      <c r="B1868" t="s">
        <v>447</v>
      </c>
      <c r="C1868">
        <v>1601</v>
      </c>
    </row>
    <row r="1869" spans="1:4">
      <c r="A1869" s="41">
        <v>46048</v>
      </c>
      <c r="B1869" t="s">
        <v>449</v>
      </c>
      <c r="C1869">
        <v>1608</v>
      </c>
    </row>
    <row r="1870" spans="1:4">
      <c r="A1870" s="41">
        <v>46048</v>
      </c>
      <c r="B1870" t="s">
        <v>465</v>
      </c>
      <c r="D1870">
        <v>98906</v>
      </c>
    </row>
    <row r="1871" spans="1:4">
      <c r="A1871" s="41">
        <v>46048</v>
      </c>
      <c r="B1871" t="s">
        <v>469</v>
      </c>
      <c r="D1871">
        <v>69053</v>
      </c>
    </row>
    <row r="1872" spans="1:4">
      <c r="A1872" s="41">
        <v>46048</v>
      </c>
      <c r="B1872" t="s">
        <v>471</v>
      </c>
      <c r="D1872">
        <v>58660</v>
      </c>
    </row>
    <row r="1873" spans="1:4">
      <c r="A1873" s="41">
        <v>46048</v>
      </c>
      <c r="B1873" t="s">
        <v>485</v>
      </c>
      <c r="D1873">
        <v>75859</v>
      </c>
    </row>
    <row r="1874" spans="1:4">
      <c r="A1874" s="41">
        <v>46048</v>
      </c>
      <c r="B1874" t="s">
        <v>488</v>
      </c>
      <c r="D1874">
        <v>98345</v>
      </c>
    </row>
    <row r="1875" spans="1:4">
      <c r="A1875" s="41">
        <v>46048</v>
      </c>
      <c r="B1875" t="s">
        <v>493</v>
      </c>
      <c r="D1875">
        <v>54356</v>
      </c>
    </row>
    <row r="1876" spans="1:4">
      <c r="A1876" s="41">
        <v>46048</v>
      </c>
      <c r="B1876" t="s">
        <v>501</v>
      </c>
      <c r="D1876">
        <v>81028</v>
      </c>
    </row>
    <row r="1877" spans="1:4">
      <c r="A1877" s="41">
        <v>46048</v>
      </c>
      <c r="B1877" t="s">
        <v>506</v>
      </c>
      <c r="D1877">
        <v>56157</v>
      </c>
    </row>
    <row r="1878" spans="1:4">
      <c r="A1878" s="41">
        <v>46048</v>
      </c>
      <c r="B1878" t="s">
        <v>510</v>
      </c>
      <c r="D1878">
        <v>40691</v>
      </c>
    </row>
    <row r="1879" spans="1:4">
      <c r="A1879" s="41">
        <v>46048</v>
      </c>
      <c r="B1879" t="s">
        <v>514</v>
      </c>
      <c r="D1879">
        <v>57376</v>
      </c>
    </row>
    <row r="1880" spans="1:4">
      <c r="A1880" s="41">
        <v>46048</v>
      </c>
      <c r="B1880" t="s">
        <v>515</v>
      </c>
      <c r="D1880">
        <v>54138</v>
      </c>
    </row>
    <row r="1881" spans="1:4">
      <c r="A1881" s="41">
        <v>46048</v>
      </c>
      <c r="B1881" t="s">
        <v>518</v>
      </c>
      <c r="D1881">
        <v>69053</v>
      </c>
    </row>
    <row r="1882" spans="1:4">
      <c r="A1882" s="41">
        <v>46048</v>
      </c>
      <c r="B1882" t="s">
        <v>523</v>
      </c>
      <c r="D1882">
        <v>53459</v>
      </c>
    </row>
    <row r="1883" spans="1:4">
      <c r="A1883" s="41">
        <v>46048</v>
      </c>
      <c r="B1883" t="s">
        <v>526</v>
      </c>
      <c r="D1883">
        <v>56486</v>
      </c>
    </row>
    <row r="1884" spans="1:4">
      <c r="A1884" s="41">
        <v>46048</v>
      </c>
      <c r="B1884" t="s">
        <v>551</v>
      </c>
      <c r="D1884">
        <v>14369</v>
      </c>
    </row>
    <row r="1885" spans="1:4">
      <c r="A1885" s="41">
        <v>46048</v>
      </c>
      <c r="B1885" t="s">
        <v>559</v>
      </c>
      <c r="D1885">
        <v>556794</v>
      </c>
    </row>
    <row r="1886" spans="1:4">
      <c r="A1886" s="41">
        <v>46048</v>
      </c>
      <c r="B1886" t="s">
        <v>575</v>
      </c>
      <c r="D1886">
        <v>234663</v>
      </c>
    </row>
    <row r="1887" spans="1:4">
      <c r="A1887" s="41">
        <v>46048</v>
      </c>
      <c r="B1887" t="s">
        <v>593</v>
      </c>
      <c r="D1887">
        <v>159741</v>
      </c>
    </row>
    <row r="1888" spans="1:4">
      <c r="A1888" s="41">
        <v>46048</v>
      </c>
      <c r="B1888" t="s">
        <v>596</v>
      </c>
      <c r="D1888">
        <v>136553</v>
      </c>
    </row>
    <row r="1889" spans="1:4">
      <c r="A1889" s="41">
        <v>46048</v>
      </c>
      <c r="B1889" t="s">
        <v>611</v>
      </c>
      <c r="D1889">
        <v>256228</v>
      </c>
    </row>
    <row r="1890" spans="1:4">
      <c r="A1890" s="41">
        <v>46048</v>
      </c>
      <c r="B1890" t="s">
        <v>616</v>
      </c>
      <c r="D1890">
        <v>116218</v>
      </c>
    </row>
    <row r="1891" spans="1:4">
      <c r="A1891" s="41">
        <v>46048</v>
      </c>
      <c r="B1891" t="s">
        <v>620</v>
      </c>
      <c r="D1891">
        <v>120544</v>
      </c>
    </row>
    <row r="1892" spans="1:4">
      <c r="A1892" s="41">
        <v>46048</v>
      </c>
      <c r="B1892" t="s">
        <v>626</v>
      </c>
      <c r="D1892">
        <v>102303</v>
      </c>
    </row>
    <row r="1893" spans="1:4">
      <c r="A1893" s="41">
        <v>46048</v>
      </c>
      <c r="B1893" t="s">
        <v>630</v>
      </c>
      <c r="D1893">
        <v>137912</v>
      </c>
    </row>
    <row r="1894" spans="1:4">
      <c r="A1894" s="41">
        <v>46048</v>
      </c>
      <c r="B1894" t="s">
        <v>634</v>
      </c>
      <c r="D1894">
        <v>101745</v>
      </c>
    </row>
    <row r="1895" spans="1:4">
      <c r="A1895" s="41">
        <v>46049</v>
      </c>
      <c r="B1895" t="s">
        <v>19</v>
      </c>
      <c r="C1895">
        <v>10041</v>
      </c>
      <c r="D1895">
        <v>252747</v>
      </c>
    </row>
    <row r="1896" spans="1:4">
      <c r="A1896" s="41">
        <v>46049</v>
      </c>
      <c r="B1896" t="s">
        <v>29</v>
      </c>
      <c r="C1896">
        <v>10581</v>
      </c>
      <c r="D1896">
        <v>255100</v>
      </c>
    </row>
    <row r="1897" spans="1:4">
      <c r="A1897" s="41">
        <v>46049</v>
      </c>
      <c r="B1897" t="s">
        <v>35</v>
      </c>
      <c r="C1897">
        <v>8221</v>
      </c>
      <c r="D1897">
        <v>168332</v>
      </c>
    </row>
    <row r="1898" spans="1:4">
      <c r="A1898" s="41">
        <v>46049</v>
      </c>
      <c r="B1898" t="s">
        <v>97</v>
      </c>
      <c r="D1898">
        <v>69000</v>
      </c>
    </row>
    <row r="1899" spans="1:4">
      <c r="A1899" s="41">
        <v>46049</v>
      </c>
      <c r="B1899" t="s">
        <v>106</v>
      </c>
      <c r="D1899">
        <v>117178</v>
      </c>
    </row>
    <row r="1900" spans="1:4">
      <c r="A1900" s="41">
        <v>46049</v>
      </c>
      <c r="B1900" t="s">
        <v>109</v>
      </c>
      <c r="D1900">
        <v>139707</v>
      </c>
    </row>
    <row r="1901" spans="1:4">
      <c r="A1901" s="41">
        <v>46049</v>
      </c>
      <c r="B1901" t="s">
        <v>121</v>
      </c>
      <c r="C1901">
        <v>7492</v>
      </c>
      <c r="D1901">
        <v>189861</v>
      </c>
    </row>
    <row r="1902" spans="1:4">
      <c r="A1902" s="41">
        <v>46049</v>
      </c>
      <c r="B1902" t="s">
        <v>138</v>
      </c>
      <c r="D1902">
        <v>288871</v>
      </c>
    </row>
    <row r="1903" spans="1:4">
      <c r="A1903" s="81">
        <v>44235</v>
      </c>
      <c r="B1903" t="s">
        <v>187</v>
      </c>
      <c r="D1903">
        <v>289897</v>
      </c>
    </row>
    <row r="1904" spans="1:4">
      <c r="A1904" s="41">
        <v>46049</v>
      </c>
      <c r="B1904" t="s">
        <v>169</v>
      </c>
      <c r="C1904">
        <v>9204</v>
      </c>
      <c r="D1904">
        <v>194842</v>
      </c>
    </row>
    <row r="1905" spans="1:4">
      <c r="A1905" s="41">
        <v>46049</v>
      </c>
      <c r="B1905" t="s">
        <v>171</v>
      </c>
      <c r="C1905">
        <v>1795</v>
      </c>
      <c r="D1905">
        <v>201570</v>
      </c>
    </row>
    <row r="1906" spans="1:4">
      <c r="A1906" s="41">
        <v>46049</v>
      </c>
      <c r="B1906" t="s">
        <v>173</v>
      </c>
      <c r="C1906">
        <v>8498</v>
      </c>
      <c r="D1906">
        <v>163335</v>
      </c>
    </row>
    <row r="1907" spans="1:4">
      <c r="A1907" s="41">
        <v>46049</v>
      </c>
      <c r="B1907" t="s">
        <v>175</v>
      </c>
      <c r="C1907">
        <v>9057</v>
      </c>
      <c r="D1907">
        <v>205286</v>
      </c>
    </row>
    <row r="1908" spans="1:4">
      <c r="A1908" s="41">
        <v>46049</v>
      </c>
      <c r="B1908" t="s">
        <v>249</v>
      </c>
      <c r="C1908">
        <v>4778</v>
      </c>
    </row>
    <row r="1909" spans="1:4">
      <c r="A1909" s="41">
        <v>46049</v>
      </c>
      <c r="B1909" t="s">
        <v>254</v>
      </c>
      <c r="C1909">
        <v>15503</v>
      </c>
    </row>
    <row r="1910" spans="1:4">
      <c r="A1910" s="41">
        <v>46049</v>
      </c>
      <c r="B1910" t="s">
        <v>258</v>
      </c>
      <c r="C1910">
        <v>2490</v>
      </c>
    </row>
    <row r="1911" spans="1:4">
      <c r="A1911" s="41">
        <v>46049</v>
      </c>
      <c r="B1911" t="s">
        <v>263</v>
      </c>
      <c r="C1911">
        <v>9807</v>
      </c>
    </row>
    <row r="1912" spans="1:4">
      <c r="A1912" s="41">
        <v>46049</v>
      </c>
      <c r="B1912" t="s">
        <v>288</v>
      </c>
      <c r="C1912">
        <v>1211</v>
      </c>
    </row>
    <row r="1913" spans="1:4">
      <c r="A1913" s="41">
        <v>46049</v>
      </c>
      <c r="B1913" t="s">
        <v>301</v>
      </c>
      <c r="C1913">
        <v>14400</v>
      </c>
    </row>
    <row r="1914" spans="1:4">
      <c r="A1914" s="41">
        <v>46049</v>
      </c>
      <c r="B1914" t="s">
        <v>306</v>
      </c>
      <c r="C1914">
        <v>21372</v>
      </c>
    </row>
    <row r="1915" spans="1:4">
      <c r="A1915" s="41">
        <v>46049</v>
      </c>
      <c r="B1915" t="s">
        <v>330</v>
      </c>
      <c r="C1915">
        <v>25923</v>
      </c>
    </row>
    <row r="1916" spans="1:4">
      <c r="A1916" s="41">
        <v>46049</v>
      </c>
      <c r="B1916" t="s">
        <v>378</v>
      </c>
      <c r="C1916">
        <v>3643</v>
      </c>
    </row>
    <row r="1917" spans="1:4">
      <c r="A1917" s="41">
        <v>46049</v>
      </c>
      <c r="B1917" t="s">
        <v>408</v>
      </c>
      <c r="C1917">
        <v>4318</v>
      </c>
    </row>
    <row r="1918" spans="1:4">
      <c r="A1918" s="41">
        <v>46049</v>
      </c>
      <c r="B1918" t="s">
        <v>414</v>
      </c>
      <c r="C1918">
        <v>10203</v>
      </c>
    </row>
    <row r="1919" spans="1:4">
      <c r="A1919" s="41">
        <v>46049</v>
      </c>
      <c r="B1919" t="s">
        <v>440</v>
      </c>
      <c r="C1919">
        <v>1870</v>
      </c>
    </row>
    <row r="1920" spans="1:4">
      <c r="A1920" s="41">
        <v>46049</v>
      </c>
      <c r="B1920" t="s">
        <v>490</v>
      </c>
      <c r="D1920">
        <v>78317</v>
      </c>
    </row>
    <row r="1921" spans="1:4">
      <c r="A1921" s="41">
        <v>46049</v>
      </c>
      <c r="B1921" t="s">
        <v>501</v>
      </c>
      <c r="D1921">
        <v>81545</v>
      </c>
    </row>
    <row r="1922" spans="1:4">
      <c r="A1922" s="41">
        <v>46049</v>
      </c>
      <c r="B1922" t="s">
        <v>508</v>
      </c>
      <c r="D1922">
        <v>45386</v>
      </c>
    </row>
    <row r="1923" spans="1:4">
      <c r="A1923" s="41">
        <v>46049</v>
      </c>
      <c r="B1923" t="s">
        <v>512</v>
      </c>
      <c r="D1923">
        <v>46106</v>
      </c>
    </row>
    <row r="1924" spans="1:4">
      <c r="A1924" s="41">
        <v>46049</v>
      </c>
      <c r="B1924" t="s">
        <v>528</v>
      </c>
      <c r="D1924">
        <v>61938</v>
      </c>
    </row>
    <row r="1925" spans="1:4">
      <c r="A1925" s="41">
        <v>46049</v>
      </c>
      <c r="B1925" t="s">
        <v>533</v>
      </c>
      <c r="D1925">
        <v>68680</v>
      </c>
    </row>
    <row r="1926" spans="1:4">
      <c r="A1926" s="41">
        <v>46049</v>
      </c>
      <c r="B1926" t="s">
        <v>539</v>
      </c>
      <c r="D1926">
        <v>34537</v>
      </c>
    </row>
    <row r="1927" spans="1:4">
      <c r="A1927" s="41">
        <v>46049</v>
      </c>
      <c r="B1927" t="s">
        <v>549</v>
      </c>
    </row>
    <row r="1928" spans="1:4">
      <c r="A1928" s="41">
        <v>46049</v>
      </c>
      <c r="B1928" t="s">
        <v>552</v>
      </c>
      <c r="D1928">
        <v>10043</v>
      </c>
    </row>
    <row r="1929" spans="1:4">
      <c r="A1929" s="41">
        <v>46049</v>
      </c>
      <c r="B1929" t="s">
        <v>568</v>
      </c>
      <c r="D1929">
        <v>154311</v>
      </c>
    </row>
    <row r="1930" spans="1:4">
      <c r="A1930" s="41">
        <v>46049</v>
      </c>
      <c r="B1930" t="s">
        <v>596</v>
      </c>
      <c r="D1930">
        <v>136643</v>
      </c>
    </row>
    <row r="1931" spans="1:4">
      <c r="A1931" s="41">
        <v>46049</v>
      </c>
      <c r="B1931" t="s">
        <v>598</v>
      </c>
      <c r="D1931">
        <v>132732</v>
      </c>
    </row>
    <row r="1932" spans="1:4">
      <c r="A1932" s="41">
        <v>46049</v>
      </c>
      <c r="B1932" t="s">
        <v>608</v>
      </c>
      <c r="D1932">
        <v>296600</v>
      </c>
    </row>
    <row r="1933" spans="1:4">
      <c r="A1933" s="41">
        <v>46049</v>
      </c>
      <c r="B1933" t="s">
        <v>614</v>
      </c>
      <c r="D1933">
        <v>143270</v>
      </c>
    </row>
    <row r="1934" spans="1:4">
      <c r="A1934" s="41">
        <v>46049</v>
      </c>
      <c r="B1934" t="s">
        <v>618</v>
      </c>
      <c r="D1934">
        <v>107827</v>
      </c>
    </row>
    <row r="1935" spans="1:4">
      <c r="A1935" s="41">
        <v>46050</v>
      </c>
      <c r="B1935" t="s">
        <v>19</v>
      </c>
      <c r="C1935">
        <v>10050</v>
      </c>
      <c r="D1935">
        <v>253084</v>
      </c>
    </row>
    <row r="1936" spans="1:4">
      <c r="A1936" s="41">
        <v>46050</v>
      </c>
      <c r="B1936" t="s">
        <v>29</v>
      </c>
      <c r="C1936">
        <v>10590</v>
      </c>
      <c r="D1936">
        <v>255480</v>
      </c>
    </row>
    <row r="1937" spans="1:4">
      <c r="A1937" s="41">
        <v>46050</v>
      </c>
      <c r="B1937" t="s">
        <v>41</v>
      </c>
    </row>
    <row r="1938" spans="1:4">
      <c r="A1938" s="41">
        <v>46050</v>
      </c>
      <c r="B1938" t="s">
        <v>50</v>
      </c>
      <c r="D1938">
        <v>272062</v>
      </c>
    </row>
    <row r="1939" spans="1:4">
      <c r="A1939" s="41">
        <v>46050</v>
      </c>
      <c r="B1939" t="s">
        <v>61</v>
      </c>
      <c r="D1939">
        <v>121065</v>
      </c>
    </row>
    <row r="1940" spans="1:4">
      <c r="A1940" s="41">
        <v>46050</v>
      </c>
      <c r="B1940" t="s">
        <v>65</v>
      </c>
      <c r="C1940">
        <v>3761</v>
      </c>
    </row>
    <row r="1941" spans="1:4">
      <c r="A1941" s="41">
        <v>46050</v>
      </c>
      <c r="B1941" t="s">
        <v>68</v>
      </c>
      <c r="D1941">
        <v>340286</v>
      </c>
    </row>
    <row r="1942" spans="1:4">
      <c r="A1942" s="41">
        <v>46050</v>
      </c>
      <c r="B1942" t="s">
        <v>78</v>
      </c>
      <c r="D1942">
        <v>507383</v>
      </c>
    </row>
    <row r="1943" spans="1:4">
      <c r="A1943" s="41">
        <v>46050</v>
      </c>
      <c r="B1943" t="s">
        <v>81</v>
      </c>
      <c r="C1943">
        <v>2581</v>
      </c>
      <c r="D1943">
        <v>191021</v>
      </c>
    </row>
    <row r="1944" spans="1:4">
      <c r="A1944" s="41">
        <v>46050</v>
      </c>
      <c r="B1944" t="s">
        <v>86</v>
      </c>
      <c r="C1944">
        <v>3309</v>
      </c>
      <c r="D1944">
        <v>80355</v>
      </c>
    </row>
    <row r="1945" spans="1:4">
      <c r="A1945" s="41">
        <v>46050</v>
      </c>
      <c r="B1945" t="s">
        <v>89</v>
      </c>
      <c r="C1945">
        <v>3355</v>
      </c>
      <c r="D1945">
        <v>86885</v>
      </c>
    </row>
    <row r="1946" spans="1:4">
      <c r="A1946" s="41">
        <v>46050</v>
      </c>
      <c r="B1946" t="s">
        <v>91</v>
      </c>
      <c r="C1946">
        <v>3479</v>
      </c>
      <c r="D1946">
        <v>90834</v>
      </c>
    </row>
    <row r="1947" spans="1:4">
      <c r="A1947" s="41">
        <v>46050</v>
      </c>
      <c r="B1947" t="s">
        <v>517</v>
      </c>
      <c r="D1947">
        <v>37911</v>
      </c>
    </row>
    <row r="1948" spans="1:4">
      <c r="A1948" s="41">
        <v>46050</v>
      </c>
      <c r="B1948" t="s">
        <v>93</v>
      </c>
      <c r="C1948">
        <v>3543</v>
      </c>
      <c r="D1948">
        <v>97381</v>
      </c>
    </row>
    <row r="1949" spans="1:4">
      <c r="A1949" s="41">
        <v>46050</v>
      </c>
      <c r="B1949" t="s">
        <v>106</v>
      </c>
      <c r="D1949">
        <v>117472</v>
      </c>
    </row>
    <row r="1950" spans="1:4">
      <c r="A1950" s="41">
        <v>46050</v>
      </c>
      <c r="B1950" t="s">
        <v>121</v>
      </c>
      <c r="C1950">
        <v>7488</v>
      </c>
      <c r="D1950">
        <v>190163</v>
      </c>
    </row>
    <row r="1951" spans="1:4">
      <c r="A1951" s="41">
        <v>46050</v>
      </c>
      <c r="B1951" t="s">
        <v>124</v>
      </c>
      <c r="D1951">
        <v>121065</v>
      </c>
    </row>
    <row r="1952" spans="1:4">
      <c r="A1952" s="41">
        <v>46050</v>
      </c>
      <c r="B1952" t="s">
        <v>126</v>
      </c>
      <c r="D1952">
        <v>59894</v>
      </c>
    </row>
    <row r="1953" spans="1:4">
      <c r="A1953" s="41">
        <v>46050</v>
      </c>
      <c r="B1953" t="s">
        <v>152</v>
      </c>
      <c r="D1953">
        <v>261141</v>
      </c>
    </row>
    <row r="1954" spans="1:4">
      <c r="A1954" s="81">
        <v>44242</v>
      </c>
      <c r="B1954" t="s">
        <v>1194</v>
      </c>
      <c r="D1954">
        <v>612317</v>
      </c>
    </row>
    <row r="1955" spans="1:4">
      <c r="A1955" s="41">
        <v>46050</v>
      </c>
      <c r="B1955" t="s">
        <v>159</v>
      </c>
      <c r="D1955">
        <v>139383</v>
      </c>
    </row>
    <row r="1956" spans="1:4">
      <c r="A1956" s="41">
        <v>46050</v>
      </c>
      <c r="B1956" t="s">
        <v>661</v>
      </c>
      <c r="D1956">
        <v>306174</v>
      </c>
    </row>
    <row r="1957" spans="1:4">
      <c r="A1957" s="41">
        <v>46050</v>
      </c>
      <c r="B1957" t="s">
        <v>169</v>
      </c>
      <c r="C1957">
        <v>9212</v>
      </c>
      <c r="D1957">
        <v>195009</v>
      </c>
    </row>
    <row r="1958" spans="1:4">
      <c r="A1958" s="41">
        <v>46050</v>
      </c>
      <c r="B1958" t="s">
        <v>171</v>
      </c>
      <c r="C1958">
        <v>1803</v>
      </c>
      <c r="D1958">
        <v>201875</v>
      </c>
    </row>
    <row r="1959" spans="1:4">
      <c r="A1959" s="41">
        <v>46050</v>
      </c>
      <c r="B1959" t="s">
        <v>175</v>
      </c>
      <c r="C1959">
        <v>9066</v>
      </c>
      <c r="D1959">
        <v>205497</v>
      </c>
    </row>
    <row r="1960" spans="1:4">
      <c r="A1960" s="41">
        <v>46050</v>
      </c>
      <c r="B1960" t="s">
        <v>193</v>
      </c>
      <c r="D1960">
        <v>132504</v>
      </c>
    </row>
    <row r="1961" spans="1:4">
      <c r="A1961" s="41">
        <v>46050</v>
      </c>
      <c r="B1961" t="s">
        <v>207</v>
      </c>
      <c r="C1961">
        <v>1509</v>
      </c>
    </row>
    <row r="1962" spans="1:4">
      <c r="A1962" s="41">
        <v>46050</v>
      </c>
      <c r="B1962" t="s">
        <v>227</v>
      </c>
      <c r="C1962">
        <v>701</v>
      </c>
    </row>
    <row r="1963" spans="1:4">
      <c r="A1963" s="41">
        <v>46050</v>
      </c>
      <c r="B1963" t="s">
        <v>254</v>
      </c>
      <c r="C1963">
        <v>15511</v>
      </c>
    </row>
    <row r="1964" spans="1:4">
      <c r="A1964" s="41">
        <v>46050</v>
      </c>
      <c r="B1964" t="s">
        <v>268</v>
      </c>
      <c r="C1964">
        <v>5499</v>
      </c>
    </row>
    <row r="1965" spans="1:4">
      <c r="A1965" s="41">
        <v>46050</v>
      </c>
      <c r="B1965" t="s">
        <v>273</v>
      </c>
      <c r="C1965">
        <v>4039</v>
      </c>
    </row>
    <row r="1966" spans="1:4">
      <c r="A1966" s="41">
        <v>46050</v>
      </c>
      <c r="B1966" t="s">
        <v>275</v>
      </c>
      <c r="C1966">
        <v>1341</v>
      </c>
    </row>
    <row r="1967" spans="1:4">
      <c r="A1967" s="41">
        <v>46050</v>
      </c>
      <c r="B1967" t="s">
        <v>288</v>
      </c>
      <c r="C1967">
        <v>1221</v>
      </c>
    </row>
    <row r="1968" spans="1:4">
      <c r="A1968" s="41">
        <v>46050</v>
      </c>
      <c r="B1968" t="s">
        <v>305</v>
      </c>
      <c r="C1968">
        <v>16821</v>
      </c>
    </row>
    <row r="1969" spans="1:3">
      <c r="A1969" s="41">
        <v>46050</v>
      </c>
      <c r="B1969" t="s">
        <v>314</v>
      </c>
      <c r="C1969">
        <v>27662</v>
      </c>
    </row>
    <row r="1970" spans="1:3">
      <c r="A1970" s="41">
        <v>46050</v>
      </c>
      <c r="B1970" t="s">
        <v>333</v>
      </c>
      <c r="C1970">
        <v>11818</v>
      </c>
    </row>
    <row r="1971" spans="1:3">
      <c r="A1971" s="41">
        <v>46050</v>
      </c>
      <c r="B1971" t="s">
        <v>354</v>
      </c>
      <c r="C1971">
        <v>6979</v>
      </c>
    </row>
    <row r="1972" spans="1:3">
      <c r="A1972" s="41">
        <v>46050</v>
      </c>
      <c r="B1972" t="s">
        <v>365</v>
      </c>
      <c r="C1972">
        <v>4754</v>
      </c>
    </row>
    <row r="1973" spans="1:3">
      <c r="A1973" s="41">
        <v>46050</v>
      </c>
      <c r="B1973" t="s">
        <v>379</v>
      </c>
      <c r="C1973">
        <v>3441</v>
      </c>
    </row>
    <row r="1974" spans="1:3">
      <c r="A1974" s="41">
        <v>46050</v>
      </c>
      <c r="B1974" t="s">
        <v>396</v>
      </c>
      <c r="C1974">
        <v>8536</v>
      </c>
    </row>
    <row r="1975" spans="1:3">
      <c r="A1975" s="41">
        <v>46050</v>
      </c>
      <c r="B1975" t="s">
        <v>405</v>
      </c>
      <c r="C1975">
        <v>12587</v>
      </c>
    </row>
    <row r="1976" spans="1:3">
      <c r="A1976" s="41">
        <v>46050</v>
      </c>
      <c r="B1976" t="s">
        <v>417</v>
      </c>
      <c r="C1976">
        <v>8091</v>
      </c>
    </row>
    <row r="1977" spans="1:3">
      <c r="A1977" s="41">
        <v>46050</v>
      </c>
      <c r="B1977" t="s">
        <v>420</v>
      </c>
      <c r="C1977">
        <v>5547</v>
      </c>
    </row>
    <row r="1978" spans="1:3">
      <c r="A1978" s="41">
        <v>46050</v>
      </c>
      <c r="B1978" t="s">
        <v>424</v>
      </c>
      <c r="C1978">
        <v>520</v>
      </c>
    </row>
    <row r="1979" spans="1:3">
      <c r="A1979" s="41">
        <v>46050</v>
      </c>
      <c r="B1979" t="s">
        <v>431</v>
      </c>
      <c r="C1979">
        <v>9912</v>
      </c>
    </row>
    <row r="1980" spans="1:3">
      <c r="A1980" s="41">
        <v>46050</v>
      </c>
      <c r="B1980" t="s">
        <v>443</v>
      </c>
      <c r="C1980">
        <v>2211</v>
      </c>
    </row>
    <row r="1981" spans="1:3">
      <c r="A1981" s="41">
        <v>46050</v>
      </c>
      <c r="B1981" t="s">
        <v>447</v>
      </c>
      <c r="C1981">
        <v>1632</v>
      </c>
    </row>
    <row r="1982" spans="1:3">
      <c r="A1982" s="41">
        <v>46050</v>
      </c>
      <c r="B1982" t="s">
        <v>449</v>
      </c>
      <c r="C1982">
        <v>1615</v>
      </c>
    </row>
    <row r="1983" spans="1:3">
      <c r="A1983" s="41">
        <v>46050</v>
      </c>
      <c r="B1983" t="s">
        <v>451</v>
      </c>
      <c r="C1983">
        <v>1901</v>
      </c>
    </row>
    <row r="1984" spans="1:3">
      <c r="A1984" s="41">
        <v>46050</v>
      </c>
      <c r="B1984" t="s">
        <v>456</v>
      </c>
      <c r="C1984">
        <v>2015</v>
      </c>
    </row>
    <row r="1985" spans="1:4">
      <c r="A1985" s="41">
        <v>46050</v>
      </c>
      <c r="B1985" t="s">
        <v>465</v>
      </c>
      <c r="D1985">
        <v>99378</v>
      </c>
    </row>
    <row r="1986" spans="1:4">
      <c r="A1986" s="41">
        <v>46050</v>
      </c>
      <c r="B1986" t="s">
        <v>469</v>
      </c>
      <c r="D1986">
        <v>69681</v>
      </c>
    </row>
    <row r="1987" spans="1:4">
      <c r="A1987" s="41">
        <v>46050</v>
      </c>
      <c r="B1987" t="s">
        <v>485</v>
      </c>
      <c r="D1987">
        <v>76376</v>
      </c>
    </row>
    <row r="1988" spans="1:4">
      <c r="A1988" s="41">
        <v>46050</v>
      </c>
      <c r="B1988" t="s">
        <v>488</v>
      </c>
      <c r="D1988">
        <v>98818</v>
      </c>
    </row>
    <row r="1989" spans="1:4">
      <c r="A1989" s="41">
        <v>46050</v>
      </c>
      <c r="B1989" t="s">
        <v>501</v>
      </c>
      <c r="D1989">
        <v>82061</v>
      </c>
    </row>
    <row r="1990" spans="1:4">
      <c r="A1990" s="41">
        <v>46050</v>
      </c>
      <c r="B1990" t="s">
        <v>506</v>
      </c>
      <c r="D1990">
        <v>57380</v>
      </c>
    </row>
    <row r="1991" spans="1:4">
      <c r="A1991" s="41">
        <v>46050</v>
      </c>
      <c r="B1991" t="s">
        <v>518</v>
      </c>
      <c r="D1991">
        <v>69749</v>
      </c>
    </row>
    <row r="1992" spans="1:4">
      <c r="A1992" s="41">
        <v>46050</v>
      </c>
      <c r="B1992" t="s">
        <v>518</v>
      </c>
      <c r="D1992">
        <v>69749</v>
      </c>
    </row>
    <row r="1993" spans="1:4">
      <c r="A1993" s="41">
        <v>46050</v>
      </c>
      <c r="B1993" t="s">
        <v>523</v>
      </c>
      <c r="D1993">
        <v>53837</v>
      </c>
    </row>
    <row r="1994" spans="1:4">
      <c r="A1994" s="41">
        <v>46050</v>
      </c>
      <c r="B1994" t="s">
        <v>526</v>
      </c>
      <c r="D1994">
        <v>56898</v>
      </c>
    </row>
    <row r="1995" spans="1:4">
      <c r="A1995" s="41">
        <v>46050</v>
      </c>
      <c r="B1995" t="s">
        <v>551</v>
      </c>
      <c r="D1995">
        <v>14645</v>
      </c>
    </row>
    <row r="1996" spans="1:4">
      <c r="A1996" s="41">
        <v>46050</v>
      </c>
      <c r="B1996" t="s">
        <v>572</v>
      </c>
      <c r="D1996">
        <v>145731</v>
      </c>
    </row>
    <row r="1997" spans="1:4">
      <c r="A1997" s="41">
        <v>46050</v>
      </c>
      <c r="B1997" t="s">
        <v>596</v>
      </c>
      <c r="D1997">
        <v>137042</v>
      </c>
    </row>
    <row r="1998" spans="1:4">
      <c r="A1998" s="41">
        <v>46050</v>
      </c>
      <c r="B1998" t="s">
        <v>611</v>
      </c>
      <c r="D1998">
        <v>256622</v>
      </c>
    </row>
    <row r="1999" spans="1:4">
      <c r="A1999" s="41">
        <v>46050</v>
      </c>
      <c r="B1999" t="s">
        <v>620</v>
      </c>
      <c r="D1999">
        <v>120871</v>
      </c>
    </row>
    <row r="2000" spans="1:4">
      <c r="A2000" s="41">
        <v>46050</v>
      </c>
      <c r="B2000" t="s">
        <v>624</v>
      </c>
      <c r="D2000">
        <v>86307</v>
      </c>
    </row>
    <row r="2001" spans="1:4">
      <c r="A2001" s="41">
        <v>46050</v>
      </c>
      <c r="B2001" t="s">
        <v>626</v>
      </c>
      <c r="D2001">
        <v>102460</v>
      </c>
    </row>
    <row r="2002" spans="1:4">
      <c r="A2002" s="41">
        <v>46050</v>
      </c>
      <c r="B2002" t="s">
        <v>630</v>
      </c>
      <c r="D2002">
        <v>138147</v>
      </c>
    </row>
    <row r="2003" spans="1:4">
      <c r="A2003" s="41">
        <v>46050</v>
      </c>
      <c r="B2003" t="s">
        <v>634</v>
      </c>
      <c r="D2003">
        <v>102347</v>
      </c>
    </row>
    <row r="2004" spans="1:4">
      <c r="A2004" s="41">
        <v>46051</v>
      </c>
      <c r="B2004" t="s">
        <v>19</v>
      </c>
      <c r="C2004">
        <v>10061</v>
      </c>
      <c r="D2004">
        <v>253395</v>
      </c>
    </row>
    <row r="2005" spans="1:4">
      <c r="A2005" s="41">
        <v>46051</v>
      </c>
      <c r="B2005" t="s">
        <v>29</v>
      </c>
      <c r="C2005">
        <v>10600</v>
      </c>
      <c r="D2005">
        <v>255778</v>
      </c>
    </row>
    <row r="2006" spans="1:4">
      <c r="A2006" s="41">
        <v>46051</v>
      </c>
      <c r="B2006" t="s">
        <v>38</v>
      </c>
      <c r="C2006">
        <v>10789</v>
      </c>
    </row>
    <row r="2007" spans="1:4">
      <c r="A2007" s="41">
        <v>46051</v>
      </c>
      <c r="B2007" t="s">
        <v>78</v>
      </c>
      <c r="D2007">
        <v>508598</v>
      </c>
    </row>
    <row r="2008" spans="1:4">
      <c r="A2008" s="41">
        <v>46051</v>
      </c>
      <c r="B2008" t="s">
        <v>97</v>
      </c>
      <c r="D2008">
        <v>69456</v>
      </c>
    </row>
    <row r="2009" spans="1:4">
      <c r="A2009" s="41">
        <v>46051</v>
      </c>
      <c r="B2009" t="s">
        <v>106</v>
      </c>
      <c r="D2009">
        <v>117601</v>
      </c>
    </row>
    <row r="2010" spans="1:4">
      <c r="A2010" s="41">
        <v>46051</v>
      </c>
      <c r="B2010" t="s">
        <v>121</v>
      </c>
      <c r="C2010">
        <v>9497</v>
      </c>
      <c r="D2010">
        <v>19039</v>
      </c>
    </row>
    <row r="2011" spans="1:4">
      <c r="A2011" s="81">
        <v>44308</v>
      </c>
      <c r="B2011" t="s">
        <v>161</v>
      </c>
      <c r="C2011">
        <v>7867</v>
      </c>
      <c r="D2011">
        <v>112495</v>
      </c>
    </row>
    <row r="2012" spans="1:4">
      <c r="A2012" s="41">
        <v>46051</v>
      </c>
      <c r="B2012" t="s">
        <v>169</v>
      </c>
      <c r="C2012">
        <v>9223</v>
      </c>
      <c r="D2012">
        <v>195226</v>
      </c>
    </row>
    <row r="2013" spans="1:4">
      <c r="A2013" s="41">
        <v>46051</v>
      </c>
      <c r="B2013" t="s">
        <v>171</v>
      </c>
      <c r="C2013">
        <v>1812</v>
      </c>
      <c r="D2013">
        <v>202106</v>
      </c>
    </row>
    <row r="2014" spans="1:4">
      <c r="A2014" s="41">
        <v>46051</v>
      </c>
      <c r="B2014" t="s">
        <v>175</v>
      </c>
      <c r="C2014">
        <v>9076</v>
      </c>
      <c r="D2014">
        <v>205714</v>
      </c>
    </row>
    <row r="2015" spans="1:4">
      <c r="A2015" s="41">
        <v>46051</v>
      </c>
      <c r="B2015" t="s">
        <v>177</v>
      </c>
      <c r="D2015">
        <v>193247</v>
      </c>
    </row>
    <row r="2016" spans="1:4">
      <c r="A2016" s="41">
        <v>46051</v>
      </c>
      <c r="B2016" t="s">
        <v>187</v>
      </c>
      <c r="D2016">
        <v>433790</v>
      </c>
    </row>
    <row r="2017" spans="1:4">
      <c r="A2017" s="41">
        <v>46051</v>
      </c>
      <c r="B2017" t="s">
        <v>227</v>
      </c>
      <c r="C2017">
        <v>706</v>
      </c>
    </row>
    <row r="2018" spans="1:4">
      <c r="A2018" s="41">
        <v>46051</v>
      </c>
      <c r="B2018" t="s">
        <v>254</v>
      </c>
      <c r="C2018">
        <v>15521</v>
      </c>
    </row>
    <row r="2019" spans="1:4">
      <c r="A2019" s="41">
        <v>46051</v>
      </c>
      <c r="B2019" t="s">
        <v>258</v>
      </c>
      <c r="C2019">
        <v>2510</v>
      </c>
    </row>
    <row r="2020" spans="1:4">
      <c r="A2020" s="41">
        <v>46051</v>
      </c>
      <c r="B2020" t="s">
        <v>263</v>
      </c>
      <c r="C2020">
        <v>9822</v>
      </c>
    </row>
    <row r="2021" spans="1:4">
      <c r="A2021" s="41">
        <v>46051</v>
      </c>
      <c r="B2021" t="s">
        <v>288</v>
      </c>
      <c r="C2021">
        <v>1231</v>
      </c>
    </row>
    <row r="2022" spans="1:4">
      <c r="A2022" s="41">
        <v>46051</v>
      </c>
      <c r="B2022" t="s">
        <v>301</v>
      </c>
      <c r="C2022">
        <v>14451</v>
      </c>
    </row>
    <row r="2023" spans="1:4">
      <c r="A2023" s="41">
        <v>46051</v>
      </c>
      <c r="B2023" t="s">
        <v>356</v>
      </c>
      <c r="C2023">
        <v>15547</v>
      </c>
    </row>
    <row r="2024" spans="1:4">
      <c r="A2024" s="41">
        <v>46051</v>
      </c>
      <c r="B2024" t="s">
        <v>485</v>
      </c>
      <c r="D2024">
        <v>76742</v>
      </c>
    </row>
    <row r="2025" spans="1:4">
      <c r="A2025" s="41">
        <v>46051</v>
      </c>
      <c r="B2025" t="s">
        <v>490</v>
      </c>
      <c r="D2025">
        <v>78897</v>
      </c>
    </row>
    <row r="2026" spans="1:4">
      <c r="A2026" s="41">
        <v>46051</v>
      </c>
      <c r="B2026" t="s">
        <v>501</v>
      </c>
      <c r="D2026">
        <v>82557</v>
      </c>
    </row>
    <row r="2027" spans="1:4">
      <c r="A2027" s="41">
        <v>46051</v>
      </c>
      <c r="B2027" t="s">
        <v>508</v>
      </c>
      <c r="D2027">
        <v>45637</v>
      </c>
    </row>
    <row r="2028" spans="1:4">
      <c r="A2028" s="41">
        <v>46051</v>
      </c>
      <c r="B2028" t="s">
        <v>514</v>
      </c>
      <c r="D2028">
        <v>57947</v>
      </c>
    </row>
    <row r="2029" spans="1:4">
      <c r="A2029" s="41">
        <v>46051</v>
      </c>
      <c r="B2029" t="s">
        <v>515</v>
      </c>
      <c r="D2029">
        <v>64802</v>
      </c>
    </row>
    <row r="2030" spans="1:4">
      <c r="A2030" s="41">
        <v>46051</v>
      </c>
      <c r="B2030" t="s">
        <v>528</v>
      </c>
      <c r="D2030">
        <v>62084</v>
      </c>
    </row>
    <row r="2031" spans="1:4">
      <c r="A2031" s="41">
        <v>46051</v>
      </c>
      <c r="B2031" t="s">
        <v>533</v>
      </c>
      <c r="D2031">
        <v>69028</v>
      </c>
    </row>
    <row r="2032" spans="1:4">
      <c r="A2032" s="41">
        <v>46051</v>
      </c>
      <c r="B2032" t="s">
        <v>535</v>
      </c>
      <c r="D2032">
        <v>63581</v>
      </c>
    </row>
    <row r="2033" spans="1:4">
      <c r="A2033" s="41">
        <v>46051</v>
      </c>
      <c r="B2033" t="s">
        <v>537</v>
      </c>
      <c r="D2033">
        <v>89630</v>
      </c>
    </row>
    <row r="2034" spans="1:4">
      <c r="A2034" s="41">
        <v>46051</v>
      </c>
      <c r="B2034" t="s">
        <v>549</v>
      </c>
    </row>
    <row r="2035" spans="1:4">
      <c r="A2035" s="41">
        <v>46051</v>
      </c>
      <c r="B2035" t="s">
        <v>549</v>
      </c>
      <c r="D2035">
        <v>9496</v>
      </c>
    </row>
    <row r="2036" spans="1:4">
      <c r="A2036" s="41">
        <v>46051</v>
      </c>
      <c r="B2036" t="s">
        <v>552</v>
      </c>
      <c r="D2036">
        <v>10283</v>
      </c>
    </row>
    <row r="2037" spans="1:4">
      <c r="A2037" s="41">
        <v>46051</v>
      </c>
      <c r="B2037" t="s">
        <v>596</v>
      </c>
      <c r="D2037">
        <v>137418</v>
      </c>
    </row>
    <row r="2038" spans="1:4">
      <c r="A2038" s="41">
        <v>46051</v>
      </c>
      <c r="B2038" t="s">
        <v>614</v>
      </c>
      <c r="D2038">
        <v>143891</v>
      </c>
    </row>
    <row r="2039" spans="1:4">
      <c r="A2039" s="41">
        <v>46051</v>
      </c>
      <c r="B2039" t="s">
        <v>634</v>
      </c>
      <c r="D2039">
        <v>102654</v>
      </c>
    </row>
    <row r="2040" spans="1:4">
      <c r="A2040" s="41">
        <v>46052</v>
      </c>
      <c r="B2040" t="s">
        <v>35</v>
      </c>
      <c r="C2040">
        <v>8328</v>
      </c>
      <c r="D2040">
        <v>168556</v>
      </c>
    </row>
    <row r="2041" spans="1:4">
      <c r="A2041" s="41">
        <v>46052</v>
      </c>
      <c r="B2041" t="s">
        <v>41</v>
      </c>
    </row>
    <row r="2042" spans="1:4">
      <c r="A2042" s="41">
        <v>46052</v>
      </c>
      <c r="B2042" t="s">
        <v>44</v>
      </c>
      <c r="D2042">
        <v>188017</v>
      </c>
    </row>
    <row r="2043" spans="1:4">
      <c r="A2043" s="41">
        <v>46052</v>
      </c>
      <c r="B2043" t="s">
        <v>50</v>
      </c>
      <c r="D2043">
        <v>272309</v>
      </c>
    </row>
    <row r="2044" spans="1:4">
      <c r="A2044" s="41">
        <v>46052</v>
      </c>
      <c r="B2044" t="s">
        <v>65</v>
      </c>
      <c r="C2044">
        <v>3734</v>
      </c>
    </row>
    <row r="2045" spans="1:4">
      <c r="A2045" s="41">
        <v>46052</v>
      </c>
      <c r="B2045" t="s">
        <v>78</v>
      </c>
      <c r="D2045">
        <v>509987</v>
      </c>
    </row>
    <row r="2046" spans="1:4">
      <c r="A2046" s="41">
        <v>46052</v>
      </c>
      <c r="B2046" t="s">
        <v>81</v>
      </c>
      <c r="C2046">
        <v>2591</v>
      </c>
    </row>
    <row r="2047" spans="1:4">
      <c r="A2047" s="41">
        <v>46052</v>
      </c>
      <c r="B2047" t="s">
        <v>89</v>
      </c>
      <c r="C2047">
        <v>3365</v>
      </c>
      <c r="D2047">
        <v>86958</v>
      </c>
    </row>
    <row r="2048" spans="1:4">
      <c r="A2048" s="41">
        <v>46052</v>
      </c>
      <c r="B2048" t="s">
        <v>106</v>
      </c>
      <c r="D2048">
        <v>117888</v>
      </c>
    </row>
    <row r="2049" spans="1:4">
      <c r="A2049" s="41">
        <v>46052</v>
      </c>
      <c r="B2049" t="s">
        <v>152</v>
      </c>
      <c r="D2049">
        <v>261206</v>
      </c>
    </row>
    <row r="2050" spans="1:4">
      <c r="A2050" s="81">
        <v>44309</v>
      </c>
      <c r="B2050" t="s">
        <v>1191</v>
      </c>
      <c r="C2050">
        <v>11587</v>
      </c>
    </row>
    <row r="2051" spans="1:4">
      <c r="A2051" s="41">
        <v>46052</v>
      </c>
      <c r="B2051" t="s">
        <v>159</v>
      </c>
      <c r="D2051">
        <v>139516</v>
      </c>
    </row>
    <row r="2052" spans="1:4">
      <c r="A2052" s="41">
        <v>46052</v>
      </c>
      <c r="B2052" t="s">
        <v>173</v>
      </c>
      <c r="C2052">
        <v>8514</v>
      </c>
      <c r="D2052">
        <v>163549</v>
      </c>
    </row>
    <row r="2053" spans="1:4">
      <c r="A2053" s="41">
        <v>46052</v>
      </c>
      <c r="B2053" t="s">
        <v>185</v>
      </c>
      <c r="C2053">
        <v>3122</v>
      </c>
      <c r="D2053">
        <v>569319</v>
      </c>
    </row>
    <row r="2054" spans="1:4">
      <c r="A2054" s="41">
        <v>46052</v>
      </c>
      <c r="B2054" t="s">
        <v>193</v>
      </c>
      <c r="D2054">
        <v>132557</v>
      </c>
    </row>
    <row r="2055" spans="1:4">
      <c r="A2055" s="41">
        <v>46052</v>
      </c>
      <c r="B2055" t="s">
        <v>234</v>
      </c>
      <c r="C2055">
        <v>1900</v>
      </c>
    </row>
    <row r="2056" spans="1:4">
      <c r="A2056" s="41">
        <v>46052</v>
      </c>
      <c r="B2056" t="s">
        <v>246</v>
      </c>
      <c r="C2056">
        <v>6398</v>
      </c>
    </row>
    <row r="2057" spans="1:4">
      <c r="A2057" s="41">
        <v>46052</v>
      </c>
      <c r="B2057" t="s">
        <v>268</v>
      </c>
      <c r="C2057">
        <v>5505</v>
      </c>
    </row>
    <row r="2058" spans="1:4">
      <c r="A2058" s="41">
        <v>46052</v>
      </c>
      <c r="B2058" t="s">
        <v>273</v>
      </c>
      <c r="C2058">
        <v>4048</v>
      </c>
    </row>
    <row r="2059" spans="1:4">
      <c r="A2059" s="41">
        <v>46052</v>
      </c>
      <c r="B2059" t="s">
        <v>275</v>
      </c>
      <c r="C2059">
        <v>1348</v>
      </c>
    </row>
    <row r="2060" spans="1:4">
      <c r="A2060" s="41">
        <v>46052</v>
      </c>
      <c r="B2060" t="s">
        <v>305</v>
      </c>
      <c r="C2060">
        <v>16834</v>
      </c>
    </row>
    <row r="2061" spans="1:4">
      <c r="A2061" s="41">
        <v>46052</v>
      </c>
      <c r="B2061" t="s">
        <v>314</v>
      </c>
      <c r="C2061">
        <v>27672</v>
      </c>
    </row>
    <row r="2062" spans="1:4">
      <c r="A2062" s="41">
        <v>46052</v>
      </c>
      <c r="B2062" t="s">
        <v>324</v>
      </c>
      <c r="C2062">
        <v>6996</v>
      </c>
    </row>
    <row r="2063" spans="1:4">
      <c r="A2063" s="41">
        <v>46052</v>
      </c>
      <c r="B2063" t="s">
        <v>379</v>
      </c>
      <c r="C2063">
        <v>3450</v>
      </c>
    </row>
    <row r="2064" spans="1:4">
      <c r="A2064" s="41">
        <v>46052</v>
      </c>
      <c r="B2064" t="s">
        <v>396</v>
      </c>
      <c r="C2064">
        <v>8543</v>
      </c>
    </row>
    <row r="2065" spans="1:4">
      <c r="A2065" s="41">
        <v>46052</v>
      </c>
      <c r="B2065" t="s">
        <v>405</v>
      </c>
      <c r="C2065">
        <v>12601</v>
      </c>
    </row>
    <row r="2066" spans="1:4">
      <c r="A2066" s="41">
        <v>46052</v>
      </c>
      <c r="B2066" t="s">
        <v>424</v>
      </c>
      <c r="C2066">
        <v>523</v>
      </c>
    </row>
    <row r="2067" spans="1:4">
      <c r="A2067" s="41">
        <v>46052</v>
      </c>
      <c r="B2067" t="s">
        <v>431</v>
      </c>
      <c r="C2067">
        <v>9925</v>
      </c>
    </row>
    <row r="2068" spans="1:4">
      <c r="A2068" s="41">
        <v>46052</v>
      </c>
      <c r="B2068" t="s">
        <v>440</v>
      </c>
      <c r="C2068">
        <v>1880</v>
      </c>
    </row>
    <row r="2069" spans="1:4">
      <c r="A2069" s="41">
        <v>46052</v>
      </c>
      <c r="B2069" t="s">
        <v>443</v>
      </c>
      <c r="C2069">
        <v>2219</v>
      </c>
    </row>
    <row r="2070" spans="1:4">
      <c r="A2070" s="41">
        <v>46052</v>
      </c>
      <c r="B2070" t="s">
        <v>449</v>
      </c>
      <c r="C2070">
        <v>1622</v>
      </c>
    </row>
    <row r="2071" spans="1:4">
      <c r="A2071" s="41">
        <v>46052</v>
      </c>
      <c r="B2071" t="s">
        <v>456</v>
      </c>
      <c r="C2071">
        <v>2025</v>
      </c>
    </row>
    <row r="2072" spans="1:4">
      <c r="A2072" s="41">
        <v>46052</v>
      </c>
      <c r="B2072" t="s">
        <v>469</v>
      </c>
      <c r="D2072">
        <v>70252</v>
      </c>
    </row>
    <row r="2073" spans="1:4">
      <c r="A2073" s="41">
        <v>46052</v>
      </c>
      <c r="B2073" t="s">
        <v>488</v>
      </c>
      <c r="D2073">
        <v>99196</v>
      </c>
    </row>
    <row r="2074" spans="1:4">
      <c r="A2074" s="41">
        <v>46052</v>
      </c>
      <c r="B2074" t="s">
        <v>493</v>
      </c>
      <c r="D2074">
        <v>54706</v>
      </c>
    </row>
    <row r="2075" spans="1:4">
      <c r="A2075" s="41">
        <v>46052</v>
      </c>
      <c r="B2075" t="s">
        <v>496</v>
      </c>
      <c r="D2075">
        <v>108409</v>
      </c>
    </row>
    <row r="2076" spans="1:4">
      <c r="A2076" s="41">
        <v>46052</v>
      </c>
      <c r="B2076" t="s">
        <v>499</v>
      </c>
      <c r="D2076">
        <v>59012</v>
      </c>
    </row>
    <row r="2077" spans="1:4">
      <c r="A2077" s="41">
        <v>46052</v>
      </c>
      <c r="B2077" t="s">
        <v>501</v>
      </c>
      <c r="D2077">
        <v>83149</v>
      </c>
    </row>
    <row r="2078" spans="1:4">
      <c r="A2078" s="41">
        <v>46052</v>
      </c>
      <c r="B2078" t="s">
        <v>510</v>
      </c>
      <c r="D2078">
        <v>41250</v>
      </c>
    </row>
    <row r="2079" spans="1:4">
      <c r="A2079" s="41">
        <v>46052</v>
      </c>
      <c r="B2079" t="s">
        <v>512</v>
      </c>
      <c r="D2079">
        <v>46613</v>
      </c>
    </row>
    <row r="2080" spans="1:4">
      <c r="A2080" s="41">
        <v>46052</v>
      </c>
      <c r="B2080" t="s">
        <v>515</v>
      </c>
      <c r="D2080">
        <v>65479</v>
      </c>
    </row>
    <row r="2081" spans="1:4">
      <c r="A2081" s="41">
        <v>46052</v>
      </c>
      <c r="B2081" t="s">
        <v>526</v>
      </c>
      <c r="D2081">
        <v>57186</v>
      </c>
    </row>
    <row r="2082" spans="1:4">
      <c r="A2082" s="41">
        <v>46052</v>
      </c>
      <c r="B2082" t="s">
        <v>537</v>
      </c>
      <c r="D2082">
        <v>89501</v>
      </c>
    </row>
    <row r="2083" spans="1:4">
      <c r="A2083" s="41">
        <v>46052</v>
      </c>
      <c r="B2083" t="s">
        <v>542</v>
      </c>
      <c r="D2083">
        <v>81592</v>
      </c>
    </row>
    <row r="2084" spans="1:4">
      <c r="A2084" s="41">
        <v>46052</v>
      </c>
      <c r="B2084" t="s">
        <v>549</v>
      </c>
      <c r="D2084">
        <v>9708</v>
      </c>
    </row>
    <row r="2085" spans="1:4">
      <c r="A2085" s="41">
        <v>46052</v>
      </c>
      <c r="B2085" t="s">
        <v>551</v>
      </c>
      <c r="D2085">
        <v>14861</v>
      </c>
    </row>
    <row r="2086" spans="1:4">
      <c r="A2086" s="41">
        <v>46052</v>
      </c>
      <c r="B2086" t="s">
        <v>559</v>
      </c>
      <c r="D2086">
        <v>557303</v>
      </c>
    </row>
    <row r="2087" spans="1:4">
      <c r="A2087" s="41">
        <v>46052</v>
      </c>
      <c r="B2087" t="s">
        <v>568</v>
      </c>
      <c r="D2087">
        <v>154533</v>
      </c>
    </row>
    <row r="2088" spans="1:4">
      <c r="A2088" s="41">
        <v>46052</v>
      </c>
      <c r="B2088" t="s">
        <v>572</v>
      </c>
      <c r="D2088">
        <v>145991</v>
      </c>
    </row>
    <row r="2089" spans="1:4">
      <c r="A2089" s="41">
        <v>46052</v>
      </c>
      <c r="B2089" t="s">
        <v>596</v>
      </c>
      <c r="D2089">
        <v>137788</v>
      </c>
    </row>
    <row r="2090" spans="1:4">
      <c r="A2090" s="41">
        <v>46052</v>
      </c>
      <c r="B2090" t="s">
        <v>598</v>
      </c>
      <c r="D2090">
        <v>133263</v>
      </c>
    </row>
    <row r="2091" spans="1:4">
      <c r="A2091" s="41">
        <v>46052</v>
      </c>
      <c r="B2091" t="s">
        <v>608</v>
      </c>
      <c r="D2091">
        <v>297076</v>
      </c>
    </row>
    <row r="2092" spans="1:4">
      <c r="A2092" s="41">
        <v>46052</v>
      </c>
      <c r="B2092" t="s">
        <v>611</v>
      </c>
      <c r="D2092">
        <v>256742</v>
      </c>
    </row>
    <row r="2093" spans="1:4">
      <c r="A2093" s="41">
        <v>46052</v>
      </c>
      <c r="B2093" t="s">
        <v>614</v>
      </c>
      <c r="D2093">
        <v>144007</v>
      </c>
    </row>
    <row r="2094" spans="1:4">
      <c r="A2094" s="41">
        <v>46052</v>
      </c>
      <c r="B2094" t="s">
        <v>616</v>
      </c>
      <c r="D2094">
        <v>116577</v>
      </c>
    </row>
    <row r="2095" spans="1:4">
      <c r="A2095" s="41">
        <v>46052</v>
      </c>
      <c r="B2095" t="s">
        <v>620</v>
      </c>
      <c r="D2095">
        <v>121065</v>
      </c>
    </row>
    <row r="2096" spans="1:4">
      <c r="A2096" s="41">
        <v>46052</v>
      </c>
      <c r="B2096" t="s">
        <v>624</v>
      </c>
      <c r="D2096">
        <v>86609</v>
      </c>
    </row>
    <row r="2097" spans="1:4">
      <c r="A2097" s="41">
        <v>46052</v>
      </c>
      <c r="B2097" t="s">
        <v>626</v>
      </c>
      <c r="D2097">
        <v>102739</v>
      </c>
    </row>
    <row r="2098" spans="1:4">
      <c r="A2098" s="41">
        <v>46052</v>
      </c>
      <c r="B2098" t="s">
        <v>628</v>
      </c>
      <c r="D2098">
        <v>87283</v>
      </c>
    </row>
    <row r="2099" spans="1:4">
      <c r="A2099" s="41">
        <v>46052</v>
      </c>
      <c r="B2099" t="s">
        <v>630</v>
      </c>
      <c r="D2099">
        <v>138380</v>
      </c>
    </row>
    <row r="2100" spans="1:4">
      <c r="A2100" s="41">
        <v>46052</v>
      </c>
      <c r="B2100" t="s">
        <v>634</v>
      </c>
      <c r="D2100">
        <v>102854</v>
      </c>
    </row>
    <row r="2101" spans="1:4">
      <c r="A2101" s="41">
        <v>46053</v>
      </c>
      <c r="B2101" t="s">
        <v>187</v>
      </c>
      <c r="D2101">
        <v>534403</v>
      </c>
    </row>
    <row r="2102" spans="1:4">
      <c r="A2102" s="41">
        <v>46053</v>
      </c>
      <c r="B2102" t="s">
        <v>493</v>
      </c>
      <c r="D2102">
        <v>55070</v>
      </c>
    </row>
    <row r="2103" spans="1:4">
      <c r="A2103" s="41">
        <v>46055</v>
      </c>
      <c r="B2103" t="s">
        <v>19</v>
      </c>
      <c r="C2103">
        <v>10076</v>
      </c>
      <c r="D2103">
        <v>253853</v>
      </c>
    </row>
    <row r="2104" spans="1:4">
      <c r="A2104" s="41">
        <v>46055</v>
      </c>
      <c r="B2104" t="s">
        <v>19</v>
      </c>
      <c r="C2104">
        <v>10069</v>
      </c>
      <c r="D2104">
        <v>253652</v>
      </c>
    </row>
    <row r="2105" spans="1:4">
      <c r="A2105" s="41">
        <v>46055</v>
      </c>
      <c r="B2105" t="s">
        <v>29</v>
      </c>
      <c r="C2105">
        <v>10667</v>
      </c>
      <c r="D2105">
        <v>255980</v>
      </c>
    </row>
    <row r="2106" spans="1:4">
      <c r="A2106" s="41">
        <v>46055</v>
      </c>
      <c r="B2106" t="s">
        <v>32</v>
      </c>
      <c r="D2106">
        <v>247297</v>
      </c>
    </row>
    <row r="2107" spans="1:4">
      <c r="A2107" s="41">
        <v>46055</v>
      </c>
      <c r="B2107" t="s">
        <v>38</v>
      </c>
      <c r="C2107">
        <v>10799</v>
      </c>
    </row>
    <row r="2108" spans="1:4">
      <c r="A2108" s="41">
        <v>46055</v>
      </c>
      <c r="B2108" t="s">
        <v>78</v>
      </c>
      <c r="D2108">
        <v>538590</v>
      </c>
    </row>
    <row r="2109" spans="1:4">
      <c r="A2109" s="41">
        <v>46055</v>
      </c>
      <c r="B2109" t="s">
        <v>81</v>
      </c>
      <c r="C2109">
        <v>2601</v>
      </c>
    </row>
    <row r="2110" spans="1:4">
      <c r="A2110" s="41">
        <v>46055</v>
      </c>
      <c r="B2110" t="s">
        <v>91</v>
      </c>
      <c r="C2110">
        <v>3503</v>
      </c>
      <c r="D2110">
        <v>91156</v>
      </c>
    </row>
    <row r="2111" spans="1:4">
      <c r="A2111" s="41">
        <v>46055</v>
      </c>
      <c r="B2111" t="s">
        <v>93</v>
      </c>
      <c r="C2111">
        <v>3564</v>
      </c>
      <c r="D2111">
        <v>97570</v>
      </c>
    </row>
    <row r="2112" spans="1:4">
      <c r="A2112" s="41">
        <v>46055</v>
      </c>
      <c r="B2112" t="s">
        <v>106</v>
      </c>
      <c r="D2112">
        <v>118417</v>
      </c>
    </row>
    <row r="2113" spans="1:4">
      <c r="A2113" s="41">
        <v>46055</v>
      </c>
      <c r="B2113" t="s">
        <v>109</v>
      </c>
      <c r="D2113">
        <v>40108</v>
      </c>
    </row>
    <row r="2114" spans="1:4">
      <c r="A2114" s="41">
        <v>46055</v>
      </c>
      <c r="B2114" t="s">
        <v>138</v>
      </c>
      <c r="D2114">
        <v>289743</v>
      </c>
    </row>
    <row r="2115" spans="1:4">
      <c r="A2115" s="41">
        <v>46055</v>
      </c>
      <c r="B2115" t="s">
        <v>661</v>
      </c>
      <c r="D2115">
        <v>306987</v>
      </c>
    </row>
    <row r="2116" spans="1:4">
      <c r="A2116" s="41">
        <v>46055</v>
      </c>
      <c r="B2116" t="s">
        <v>169</v>
      </c>
      <c r="C2116">
        <v>9234</v>
      </c>
      <c r="D2116">
        <v>195439</v>
      </c>
    </row>
    <row r="2117" spans="1:4">
      <c r="A2117" s="41">
        <v>46055</v>
      </c>
      <c r="B2117" t="s">
        <v>173</v>
      </c>
      <c r="C2117">
        <v>8530</v>
      </c>
      <c r="D2117">
        <v>163846</v>
      </c>
    </row>
    <row r="2118" spans="1:4">
      <c r="A2118" s="41">
        <v>46055</v>
      </c>
      <c r="B2118" t="s">
        <v>175</v>
      </c>
      <c r="C2118">
        <v>9087</v>
      </c>
      <c r="D2118">
        <v>205928</v>
      </c>
    </row>
    <row r="2119" spans="1:4">
      <c r="A2119" s="41">
        <v>46055</v>
      </c>
      <c r="B2119" t="s">
        <v>254</v>
      </c>
      <c r="C2119">
        <v>15537</v>
      </c>
    </row>
    <row r="2120" spans="1:4">
      <c r="A2120" s="41">
        <v>46055</v>
      </c>
      <c r="B2120" t="s">
        <v>258</v>
      </c>
      <c r="C2120">
        <v>2527</v>
      </c>
    </row>
    <row r="2121" spans="1:4">
      <c r="A2121" s="41">
        <v>46055</v>
      </c>
      <c r="B2121" t="s">
        <v>258</v>
      </c>
      <c r="C2121">
        <v>2519</v>
      </c>
    </row>
    <row r="2122" spans="1:4">
      <c r="A2122" s="41">
        <v>46055</v>
      </c>
      <c r="B2122" t="s">
        <v>288</v>
      </c>
      <c r="C2122">
        <v>1247</v>
      </c>
    </row>
    <row r="2123" spans="1:4">
      <c r="A2123" s="41">
        <v>46055</v>
      </c>
      <c r="B2123" t="s">
        <v>288</v>
      </c>
      <c r="C2123">
        <v>1240</v>
      </c>
    </row>
    <row r="2124" spans="1:4">
      <c r="A2124" s="41">
        <v>46055</v>
      </c>
      <c r="B2124" t="s">
        <v>290</v>
      </c>
      <c r="C2124">
        <v>1849</v>
      </c>
    </row>
    <row r="2125" spans="1:4">
      <c r="A2125" s="41">
        <v>46055</v>
      </c>
      <c r="B2125" t="s">
        <v>301</v>
      </c>
      <c r="C2125">
        <v>14464</v>
      </c>
    </row>
    <row r="2126" spans="1:4">
      <c r="A2126" s="41">
        <v>46055</v>
      </c>
      <c r="B2126" t="s">
        <v>417</v>
      </c>
      <c r="C2126">
        <v>8111</v>
      </c>
    </row>
    <row r="2127" spans="1:4">
      <c r="A2127" s="41">
        <v>46055</v>
      </c>
      <c r="B2127" t="s">
        <v>430</v>
      </c>
      <c r="C2127">
        <v>6453</v>
      </c>
    </row>
    <row r="2128" spans="1:4">
      <c r="A2128" s="41">
        <v>46055</v>
      </c>
      <c r="B2128" t="s">
        <v>451</v>
      </c>
      <c r="C2128">
        <v>1913</v>
      </c>
    </row>
    <row r="2129" spans="1:4">
      <c r="A2129" s="41">
        <v>46055</v>
      </c>
      <c r="B2129" t="s">
        <v>465</v>
      </c>
      <c r="D2129">
        <v>100181</v>
      </c>
    </row>
    <row r="2130" spans="1:4">
      <c r="A2130" s="41">
        <v>46055</v>
      </c>
      <c r="B2130" t="s">
        <v>475</v>
      </c>
      <c r="D2130">
        <v>77781</v>
      </c>
    </row>
    <row r="2131" spans="1:4">
      <c r="A2131" s="41">
        <v>46055</v>
      </c>
      <c r="B2131" t="s">
        <v>488</v>
      </c>
      <c r="D2131">
        <v>99547</v>
      </c>
    </row>
    <row r="2132" spans="1:4">
      <c r="A2132" s="41">
        <v>46055</v>
      </c>
      <c r="B2132" t="s">
        <v>508</v>
      </c>
      <c r="D2132">
        <v>46225</v>
      </c>
    </row>
    <row r="2133" spans="1:4">
      <c r="A2133" s="41">
        <v>46055</v>
      </c>
      <c r="B2133" t="s">
        <v>518</v>
      </c>
      <c r="D2133">
        <v>70431</v>
      </c>
    </row>
    <row r="2134" spans="1:4">
      <c r="A2134" s="41">
        <v>46055</v>
      </c>
      <c r="B2134" t="s">
        <v>518</v>
      </c>
      <c r="D2134">
        <v>70431</v>
      </c>
    </row>
    <row r="2135" spans="1:4">
      <c r="A2135" s="41">
        <v>46055</v>
      </c>
      <c r="B2135" t="s">
        <v>528</v>
      </c>
      <c r="D2135">
        <v>62609</v>
      </c>
    </row>
    <row r="2136" spans="1:4">
      <c r="A2136" s="41">
        <v>46055</v>
      </c>
      <c r="B2136" t="s">
        <v>533</v>
      </c>
      <c r="D2136">
        <v>69311</v>
      </c>
    </row>
    <row r="2137" spans="1:4">
      <c r="A2137" s="41">
        <v>46055</v>
      </c>
      <c r="B2137" t="s">
        <v>535</v>
      </c>
      <c r="D2137">
        <v>65063</v>
      </c>
    </row>
    <row r="2138" spans="1:4">
      <c r="A2138" s="41">
        <v>46055</v>
      </c>
      <c r="B2138" t="s">
        <v>549</v>
      </c>
      <c r="D2138">
        <v>9921</v>
      </c>
    </row>
    <row r="2139" spans="1:4">
      <c r="A2139" s="41">
        <v>46055</v>
      </c>
      <c r="B2139" t="s">
        <v>552</v>
      </c>
      <c r="D2139">
        <v>10865</v>
      </c>
    </row>
    <row r="2140" spans="1:4">
      <c r="A2140" s="41">
        <v>46055</v>
      </c>
      <c r="B2140" t="s">
        <v>568</v>
      </c>
      <c r="D2140">
        <v>155170</v>
      </c>
    </row>
    <row r="2141" spans="1:4">
      <c r="A2141" s="41">
        <v>46055</v>
      </c>
      <c r="B2141" t="s">
        <v>572</v>
      </c>
      <c r="D2141">
        <v>146297</v>
      </c>
    </row>
    <row r="2142" spans="1:4">
      <c r="A2142" s="41">
        <v>46055</v>
      </c>
      <c r="B2142" t="s">
        <v>575</v>
      </c>
      <c r="D2142">
        <v>235348</v>
      </c>
    </row>
    <row r="2143" spans="1:4">
      <c r="A2143" s="41">
        <v>46055</v>
      </c>
      <c r="B2143" t="s">
        <v>593</v>
      </c>
      <c r="D2143">
        <v>159973</v>
      </c>
    </row>
    <row r="2144" spans="1:4">
      <c r="A2144" s="41">
        <v>46055</v>
      </c>
      <c r="B2144" t="s">
        <v>593</v>
      </c>
      <c r="D2144">
        <v>159973</v>
      </c>
    </row>
    <row r="2145" spans="1:4">
      <c r="A2145" s="41">
        <v>46055</v>
      </c>
      <c r="B2145" t="s">
        <v>593</v>
      </c>
      <c r="D2145">
        <v>160061</v>
      </c>
    </row>
    <row r="2146" spans="1:4">
      <c r="A2146" s="41">
        <v>46055</v>
      </c>
      <c r="B2146" t="s">
        <v>594</v>
      </c>
      <c r="D2146">
        <v>139908</v>
      </c>
    </row>
    <row r="2147" spans="1:4">
      <c r="A2147" s="41">
        <v>46055</v>
      </c>
      <c r="B2147" t="s">
        <v>596</v>
      </c>
      <c r="D2147">
        <v>138149</v>
      </c>
    </row>
    <row r="2148" spans="1:4">
      <c r="A2148" s="41">
        <v>46055</v>
      </c>
      <c r="B2148" t="s">
        <v>608</v>
      </c>
      <c r="D2148">
        <v>297207</v>
      </c>
    </row>
    <row r="2149" spans="1:4">
      <c r="A2149" s="41">
        <v>46055</v>
      </c>
      <c r="B2149" t="s">
        <v>614</v>
      </c>
      <c r="D2149">
        <v>144246</v>
      </c>
    </row>
    <row r="2150" spans="1:4">
      <c r="A2150" s="41">
        <v>46055</v>
      </c>
      <c r="B2150" t="s">
        <v>626</v>
      </c>
      <c r="D2150">
        <v>103176</v>
      </c>
    </row>
    <row r="2151" spans="1:4">
      <c r="A2151" s="41">
        <v>46055</v>
      </c>
      <c r="B2151" t="s">
        <v>634</v>
      </c>
      <c r="D2151">
        <v>103297</v>
      </c>
    </row>
    <row r="2152" spans="1:4">
      <c r="A2152" s="41">
        <v>46056</v>
      </c>
      <c r="B2152" t="s">
        <v>19</v>
      </c>
      <c r="C2152">
        <v>10084</v>
      </c>
      <c r="D2152">
        <v>254123</v>
      </c>
    </row>
    <row r="2153" spans="1:4">
      <c r="A2153" s="41">
        <v>46056</v>
      </c>
      <c r="B2153" t="s">
        <v>29</v>
      </c>
      <c r="C2153">
        <v>10617</v>
      </c>
      <c r="D2153">
        <v>256250</v>
      </c>
    </row>
    <row r="2154" spans="1:4">
      <c r="A2154" s="41">
        <v>46056</v>
      </c>
      <c r="B2154" t="s">
        <v>32</v>
      </c>
      <c r="C2154">
        <v>10304</v>
      </c>
      <c r="D2154">
        <v>147738</v>
      </c>
    </row>
    <row r="2155" spans="1:4">
      <c r="A2155" s="41">
        <v>46056</v>
      </c>
      <c r="B2155" t="s">
        <v>38</v>
      </c>
      <c r="C2155">
        <v>10804</v>
      </c>
    </row>
    <row r="2156" spans="1:4">
      <c r="A2156" s="41">
        <v>46056</v>
      </c>
      <c r="B2156" t="s">
        <v>44</v>
      </c>
      <c r="D2156">
        <v>188176</v>
      </c>
    </row>
    <row r="2157" spans="1:4">
      <c r="A2157" s="41">
        <v>46056</v>
      </c>
      <c r="B2157" t="s">
        <v>50</v>
      </c>
      <c r="D2157">
        <v>272700</v>
      </c>
    </row>
    <row r="2158" spans="1:4">
      <c r="A2158" s="41">
        <v>46056</v>
      </c>
      <c r="B2158" t="s">
        <v>78</v>
      </c>
      <c r="D2158">
        <v>508894</v>
      </c>
    </row>
    <row r="2159" spans="1:4">
      <c r="A2159" s="41">
        <v>46056</v>
      </c>
      <c r="B2159" t="s">
        <v>81</v>
      </c>
      <c r="C2159">
        <v>2734</v>
      </c>
    </row>
    <row r="2160" spans="1:4">
      <c r="A2160" s="41">
        <v>46056</v>
      </c>
      <c r="B2160" t="s">
        <v>86</v>
      </c>
      <c r="C2160">
        <v>3324</v>
      </c>
      <c r="D2160">
        <v>80508</v>
      </c>
    </row>
    <row r="2161" spans="1:4">
      <c r="A2161" s="41">
        <v>46056</v>
      </c>
      <c r="B2161" t="s">
        <v>89</v>
      </c>
      <c r="C2161">
        <v>3374</v>
      </c>
      <c r="D2161">
        <v>87044</v>
      </c>
    </row>
    <row r="2162" spans="1:4">
      <c r="A2162" s="41">
        <v>46056</v>
      </c>
      <c r="B2162" t="s">
        <v>91</v>
      </c>
      <c r="C2162">
        <v>3647</v>
      </c>
      <c r="D2162">
        <v>94541</v>
      </c>
    </row>
    <row r="2163" spans="1:4">
      <c r="A2163" s="41">
        <v>46056</v>
      </c>
      <c r="B2163" t="s">
        <v>517</v>
      </c>
      <c r="D2163">
        <v>38479</v>
      </c>
    </row>
    <row r="2164" spans="1:4">
      <c r="A2164" s="41">
        <v>46056</v>
      </c>
      <c r="B2164" t="s">
        <v>93</v>
      </c>
      <c r="D2164">
        <v>99593</v>
      </c>
    </row>
    <row r="2165" spans="1:4">
      <c r="A2165" s="41">
        <v>46056</v>
      </c>
      <c r="B2165" t="s">
        <v>106</v>
      </c>
      <c r="D2165">
        <v>118610</v>
      </c>
    </row>
    <row r="2166" spans="1:4">
      <c r="A2166" s="41">
        <v>46056</v>
      </c>
      <c r="B2166" t="s">
        <v>121</v>
      </c>
      <c r="C2166">
        <v>7499</v>
      </c>
      <c r="D2166">
        <v>190717</v>
      </c>
    </row>
    <row r="2167" spans="1:4">
      <c r="A2167" s="41">
        <v>46056</v>
      </c>
      <c r="B2167" t="s">
        <v>121</v>
      </c>
      <c r="C2167">
        <v>7517</v>
      </c>
      <c r="D2167">
        <v>191057</v>
      </c>
    </row>
    <row r="2168" spans="1:4">
      <c r="A2168" s="41">
        <v>46056</v>
      </c>
      <c r="B2168" t="s">
        <v>126</v>
      </c>
      <c r="D2168">
        <v>60362</v>
      </c>
    </row>
    <row r="2169" spans="1:4">
      <c r="A2169" s="41">
        <v>46056</v>
      </c>
      <c r="B2169" t="s">
        <v>138</v>
      </c>
      <c r="D2169">
        <v>289860</v>
      </c>
    </row>
    <row r="2170" spans="1:4">
      <c r="A2170" s="41">
        <v>46056</v>
      </c>
      <c r="B2170" t="s">
        <v>152</v>
      </c>
      <c r="D2170">
        <v>261266</v>
      </c>
    </row>
    <row r="2171" spans="1:4">
      <c r="A2171" s="41">
        <v>46056</v>
      </c>
      <c r="B2171" t="s">
        <v>661</v>
      </c>
      <c r="D2171">
        <v>307750</v>
      </c>
    </row>
    <row r="2172" spans="1:4">
      <c r="A2172" s="41">
        <v>46056</v>
      </c>
      <c r="B2172" t="s">
        <v>165</v>
      </c>
      <c r="C2172">
        <v>1626</v>
      </c>
    </row>
    <row r="2173" spans="1:4">
      <c r="A2173" s="41">
        <v>46056</v>
      </c>
      <c r="B2173" t="s">
        <v>169</v>
      </c>
      <c r="C2173">
        <v>9242</v>
      </c>
      <c r="D2173">
        <v>195614</v>
      </c>
    </row>
    <row r="2174" spans="1:4">
      <c r="A2174" s="41">
        <v>46056</v>
      </c>
      <c r="B2174" t="s">
        <v>169</v>
      </c>
      <c r="D2174">
        <v>195549</v>
      </c>
    </row>
    <row r="2175" spans="1:4">
      <c r="A2175" s="41">
        <v>46056</v>
      </c>
      <c r="B2175" t="s">
        <v>173</v>
      </c>
      <c r="C2175">
        <v>8535</v>
      </c>
      <c r="D2175">
        <v>163966</v>
      </c>
    </row>
    <row r="2176" spans="1:4">
      <c r="A2176" s="41">
        <v>46056</v>
      </c>
      <c r="B2176" t="s">
        <v>175</v>
      </c>
      <c r="C2176">
        <v>9095</v>
      </c>
      <c r="D2176">
        <v>206099</v>
      </c>
    </row>
    <row r="2177" spans="1:4">
      <c r="A2177" s="41">
        <v>46056</v>
      </c>
      <c r="B2177" t="s">
        <v>178</v>
      </c>
      <c r="D2177">
        <v>87289</v>
      </c>
    </row>
    <row r="2178" spans="1:4">
      <c r="A2178" s="41">
        <v>46056</v>
      </c>
      <c r="B2178" t="s">
        <v>234</v>
      </c>
      <c r="C2178">
        <v>1910</v>
      </c>
    </row>
    <row r="2179" spans="1:4">
      <c r="A2179" s="41">
        <v>46056</v>
      </c>
      <c r="B2179" t="s">
        <v>246</v>
      </c>
      <c r="C2179">
        <v>6410</v>
      </c>
    </row>
    <row r="2180" spans="1:4">
      <c r="A2180" s="41">
        <v>46056</v>
      </c>
      <c r="B2180" t="s">
        <v>254</v>
      </c>
      <c r="C2180">
        <v>15547</v>
      </c>
    </row>
    <row r="2181" spans="1:4">
      <c r="A2181" s="41">
        <v>46056</v>
      </c>
      <c r="B2181" t="s">
        <v>258</v>
      </c>
      <c r="C2181">
        <v>2538</v>
      </c>
    </row>
    <row r="2182" spans="1:4">
      <c r="A2182" s="41">
        <v>46056</v>
      </c>
      <c r="B2182" t="s">
        <v>268</v>
      </c>
      <c r="C2182">
        <v>5515</v>
      </c>
    </row>
    <row r="2183" spans="1:4">
      <c r="A2183" s="41">
        <v>46056</v>
      </c>
      <c r="B2183" t="s">
        <v>273</v>
      </c>
      <c r="C2183">
        <v>4059</v>
      </c>
    </row>
    <row r="2184" spans="1:4">
      <c r="A2184" s="41">
        <v>46056</v>
      </c>
      <c r="B2184" t="s">
        <v>273</v>
      </c>
      <c r="C2184">
        <v>4074</v>
      </c>
    </row>
    <row r="2185" spans="1:4">
      <c r="A2185" s="41">
        <v>46056</v>
      </c>
      <c r="B2185" t="s">
        <v>275</v>
      </c>
      <c r="C2185">
        <v>1355</v>
      </c>
    </row>
    <row r="2186" spans="1:4">
      <c r="A2186" s="41">
        <v>46056</v>
      </c>
      <c r="B2186" t="s">
        <v>288</v>
      </c>
      <c r="C2186">
        <v>1258</v>
      </c>
    </row>
    <row r="2187" spans="1:4">
      <c r="A2187" s="41">
        <v>46056</v>
      </c>
      <c r="B2187" t="s">
        <v>295</v>
      </c>
      <c r="C2187">
        <v>8817</v>
      </c>
    </row>
    <row r="2188" spans="1:4">
      <c r="A2188" s="41">
        <v>46056</v>
      </c>
      <c r="B2188" t="s">
        <v>305</v>
      </c>
      <c r="C2188">
        <v>16846</v>
      </c>
    </row>
    <row r="2189" spans="1:4">
      <c r="A2189" s="41">
        <v>46056</v>
      </c>
      <c r="B2189" t="s">
        <v>314</v>
      </c>
      <c r="C2189">
        <v>27691</v>
      </c>
    </row>
    <row r="2190" spans="1:4">
      <c r="A2190" s="41">
        <v>46056</v>
      </c>
      <c r="B2190" t="s">
        <v>330</v>
      </c>
      <c r="C2190">
        <v>25933</v>
      </c>
    </row>
    <row r="2191" spans="1:4">
      <c r="A2191" s="41">
        <v>46056</v>
      </c>
      <c r="B2191" t="s">
        <v>333</v>
      </c>
      <c r="C2191">
        <v>11830</v>
      </c>
    </row>
    <row r="2192" spans="1:4">
      <c r="A2192" s="41">
        <v>46056</v>
      </c>
      <c r="B2192" t="s">
        <v>339</v>
      </c>
      <c r="C2192">
        <v>1929</v>
      </c>
    </row>
    <row r="2193" spans="1:3">
      <c r="A2193" s="41">
        <v>46056</v>
      </c>
      <c r="B2193" t="s">
        <v>354</v>
      </c>
      <c r="C2193">
        <v>6990</v>
      </c>
    </row>
    <row r="2194" spans="1:3">
      <c r="A2194" s="41">
        <v>46056</v>
      </c>
      <c r="B2194" t="s">
        <v>365</v>
      </c>
      <c r="C2194">
        <v>4764</v>
      </c>
    </row>
    <row r="2195" spans="1:3">
      <c r="A2195" s="41">
        <v>46056</v>
      </c>
      <c r="B2195" t="s">
        <v>379</v>
      </c>
      <c r="C2195">
        <v>3456</v>
      </c>
    </row>
    <row r="2196" spans="1:3">
      <c r="A2196" s="41">
        <v>46056</v>
      </c>
      <c r="B2196" t="s">
        <v>379</v>
      </c>
      <c r="C2196">
        <v>3519</v>
      </c>
    </row>
    <row r="2197" spans="1:3">
      <c r="A2197" s="41">
        <v>46056</v>
      </c>
      <c r="B2197" t="s">
        <v>382</v>
      </c>
      <c r="C2197">
        <v>12957</v>
      </c>
    </row>
    <row r="2198" spans="1:3">
      <c r="A2198" s="41">
        <v>46056</v>
      </c>
      <c r="B2198" t="s">
        <v>405</v>
      </c>
      <c r="C2198">
        <v>12613</v>
      </c>
    </row>
    <row r="2199" spans="1:3">
      <c r="A2199" s="41">
        <v>46056</v>
      </c>
      <c r="B2199" t="s">
        <v>417</v>
      </c>
      <c r="C2199">
        <v>8122</v>
      </c>
    </row>
    <row r="2200" spans="1:3">
      <c r="A2200" s="41">
        <v>46056</v>
      </c>
      <c r="B2200" t="s">
        <v>424</v>
      </c>
      <c r="C2200">
        <v>522</v>
      </c>
    </row>
    <row r="2201" spans="1:3">
      <c r="A2201" s="41">
        <v>46056</v>
      </c>
      <c r="B2201" t="s">
        <v>424</v>
      </c>
      <c r="C2201">
        <v>554</v>
      </c>
    </row>
    <row r="2202" spans="1:3">
      <c r="A2202" s="41">
        <v>46056</v>
      </c>
      <c r="B2202" t="s">
        <v>431</v>
      </c>
      <c r="C2202">
        <v>9935</v>
      </c>
    </row>
    <row r="2203" spans="1:3">
      <c r="A2203" s="41">
        <v>46056</v>
      </c>
      <c r="B2203" t="s">
        <v>440</v>
      </c>
      <c r="C2203">
        <v>1897</v>
      </c>
    </row>
    <row r="2204" spans="1:3">
      <c r="A2204" s="41">
        <v>46056</v>
      </c>
      <c r="B2204" t="s">
        <v>443</v>
      </c>
      <c r="C2204">
        <v>2230</v>
      </c>
    </row>
    <row r="2205" spans="1:3">
      <c r="A2205" s="41">
        <v>46056</v>
      </c>
      <c r="B2205" t="s">
        <v>447</v>
      </c>
      <c r="C2205">
        <v>1628</v>
      </c>
    </row>
    <row r="2206" spans="1:3">
      <c r="A2206" s="41">
        <v>46056</v>
      </c>
      <c r="B2206" t="s">
        <v>449</v>
      </c>
      <c r="C2206">
        <v>1626</v>
      </c>
    </row>
    <row r="2207" spans="1:3">
      <c r="A2207" s="41">
        <v>46056</v>
      </c>
      <c r="B2207" t="s">
        <v>449</v>
      </c>
      <c r="C2207">
        <v>1704</v>
      </c>
    </row>
    <row r="2208" spans="1:3">
      <c r="A2208" s="41">
        <v>46056</v>
      </c>
      <c r="B2208" t="s">
        <v>451</v>
      </c>
      <c r="C2208">
        <v>1930</v>
      </c>
    </row>
    <row r="2209" spans="1:4">
      <c r="A2209" s="41">
        <v>46056</v>
      </c>
      <c r="B2209" t="s">
        <v>456</v>
      </c>
      <c r="C2209">
        <v>2038</v>
      </c>
    </row>
    <row r="2210" spans="1:4">
      <c r="A2210" s="41">
        <v>46056</v>
      </c>
      <c r="B2210" t="s">
        <v>465</v>
      </c>
      <c r="D2210">
        <v>100423</v>
      </c>
    </row>
    <row r="2211" spans="1:4">
      <c r="A2211" s="41">
        <v>46056</v>
      </c>
      <c r="B2211" t="s">
        <v>490</v>
      </c>
      <c r="D2211">
        <v>80230</v>
      </c>
    </row>
    <row r="2212" spans="1:4">
      <c r="A2212" s="41">
        <v>46056</v>
      </c>
      <c r="B2212" t="s">
        <v>493</v>
      </c>
      <c r="D2212">
        <v>55822</v>
      </c>
    </row>
    <row r="2213" spans="1:4">
      <c r="A2213" s="41">
        <v>46056</v>
      </c>
      <c r="B2213" t="s">
        <v>496</v>
      </c>
      <c r="D2213">
        <v>109066</v>
      </c>
    </row>
    <row r="2214" spans="1:4">
      <c r="A2214" s="41">
        <v>46056</v>
      </c>
      <c r="B2214" t="s">
        <v>499</v>
      </c>
      <c r="D2214">
        <v>59868</v>
      </c>
    </row>
    <row r="2215" spans="1:4">
      <c r="A2215" s="41">
        <v>46056</v>
      </c>
      <c r="B2215" t="s">
        <v>501</v>
      </c>
      <c r="D2215">
        <v>83636</v>
      </c>
    </row>
    <row r="2216" spans="1:4">
      <c r="A2216" s="41">
        <v>46056</v>
      </c>
      <c r="B2216" t="s">
        <v>510</v>
      </c>
      <c r="D2216">
        <v>41768</v>
      </c>
    </row>
    <row r="2217" spans="1:4">
      <c r="A2217" s="41">
        <v>46056</v>
      </c>
      <c r="B2217" t="s">
        <v>514</v>
      </c>
      <c r="D2217">
        <v>58546</v>
      </c>
    </row>
    <row r="2218" spans="1:4">
      <c r="A2218" s="41">
        <v>46056</v>
      </c>
      <c r="B2218" t="s">
        <v>515</v>
      </c>
      <c r="D2218">
        <v>71574</v>
      </c>
    </row>
    <row r="2219" spans="1:4">
      <c r="A2219" s="41">
        <v>46056</v>
      </c>
      <c r="B2219" t="s">
        <v>520</v>
      </c>
      <c r="D2219">
        <v>49377</v>
      </c>
    </row>
    <row r="2220" spans="1:4">
      <c r="A2220" s="41">
        <v>46056</v>
      </c>
      <c r="B2220" t="s">
        <v>523</v>
      </c>
      <c r="D2220">
        <v>54487</v>
      </c>
    </row>
    <row r="2221" spans="1:4">
      <c r="A2221" s="41">
        <v>46056</v>
      </c>
      <c r="B2221" t="s">
        <v>526</v>
      </c>
      <c r="D2221">
        <v>57778</v>
      </c>
    </row>
    <row r="2222" spans="1:4">
      <c r="A2222" s="41">
        <v>46056</v>
      </c>
      <c r="B2222" t="s">
        <v>528</v>
      </c>
      <c r="D2222">
        <v>66882</v>
      </c>
    </row>
    <row r="2223" spans="1:4">
      <c r="A2223" s="41">
        <v>46056</v>
      </c>
      <c r="B2223" t="s">
        <v>542</v>
      </c>
      <c r="D2223">
        <v>82735</v>
      </c>
    </row>
    <row r="2224" spans="1:4">
      <c r="A2224" s="41">
        <v>46056</v>
      </c>
      <c r="B2224" t="s">
        <v>549</v>
      </c>
      <c r="D2224">
        <v>10133</v>
      </c>
    </row>
    <row r="2225" spans="1:4">
      <c r="A2225" s="41">
        <v>46056</v>
      </c>
      <c r="B2225" t="s">
        <v>551</v>
      </c>
      <c r="D2225">
        <v>15478</v>
      </c>
    </row>
    <row r="2226" spans="1:4">
      <c r="A2226" s="41">
        <v>46056</v>
      </c>
      <c r="B2226" t="s">
        <v>552</v>
      </c>
      <c r="D2226">
        <v>14777</v>
      </c>
    </row>
    <row r="2227" spans="1:4">
      <c r="A2227" s="41">
        <v>46056</v>
      </c>
      <c r="B2227" t="s">
        <v>559</v>
      </c>
      <c r="D2227">
        <v>557646</v>
      </c>
    </row>
    <row r="2228" spans="1:4">
      <c r="A2228" s="41">
        <v>46056</v>
      </c>
      <c r="B2228" t="s">
        <v>577</v>
      </c>
      <c r="D2228">
        <v>226207</v>
      </c>
    </row>
    <row r="2229" spans="1:4">
      <c r="A2229" s="41">
        <v>46056</v>
      </c>
      <c r="B2229" t="s">
        <v>594</v>
      </c>
      <c r="D2229">
        <v>135556</v>
      </c>
    </row>
    <row r="2230" spans="1:4">
      <c r="A2230" s="41">
        <v>46056</v>
      </c>
      <c r="B2230" t="s">
        <v>596</v>
      </c>
      <c r="D2230">
        <v>138475</v>
      </c>
    </row>
    <row r="2231" spans="1:4">
      <c r="A2231" s="41">
        <v>46056</v>
      </c>
      <c r="B2231" t="s">
        <v>598</v>
      </c>
      <c r="D2231">
        <v>134063</v>
      </c>
    </row>
    <row r="2232" spans="1:4">
      <c r="A2232" s="41">
        <v>46056</v>
      </c>
      <c r="B2232" t="s">
        <v>608</v>
      </c>
      <c r="D2232">
        <v>297429</v>
      </c>
    </row>
    <row r="2233" spans="1:4">
      <c r="A2233" s="41">
        <v>46056</v>
      </c>
      <c r="B2233" t="s">
        <v>611</v>
      </c>
      <c r="D2233">
        <v>257254</v>
      </c>
    </row>
    <row r="2234" spans="1:4">
      <c r="A2234" s="41">
        <v>46056</v>
      </c>
      <c r="B2234" t="s">
        <v>616</v>
      </c>
      <c r="D2234">
        <v>117453</v>
      </c>
    </row>
    <row r="2235" spans="1:4">
      <c r="A2235" s="41">
        <v>46056</v>
      </c>
      <c r="B2235" t="s">
        <v>620</v>
      </c>
      <c r="D2235">
        <v>122124</v>
      </c>
    </row>
    <row r="2236" spans="1:4">
      <c r="A2236" s="41">
        <v>46056</v>
      </c>
      <c r="B2236" t="s">
        <v>620</v>
      </c>
      <c r="D2236">
        <v>121906</v>
      </c>
    </row>
    <row r="2237" spans="1:4">
      <c r="A2237" s="41">
        <v>46056</v>
      </c>
      <c r="B2237" t="s">
        <v>630</v>
      </c>
      <c r="D2237">
        <v>139052</v>
      </c>
    </row>
    <row r="2238" spans="1:4">
      <c r="A2238" s="41">
        <v>46056</v>
      </c>
      <c r="B2238" t="s">
        <v>634</v>
      </c>
      <c r="D2238">
        <v>103548</v>
      </c>
    </row>
    <row r="2239" spans="1:4">
      <c r="A2239" s="41">
        <v>46057</v>
      </c>
      <c r="B2239" t="s">
        <v>19</v>
      </c>
      <c r="C2239">
        <v>10095</v>
      </c>
      <c r="D2239">
        <v>254436</v>
      </c>
    </row>
    <row r="2240" spans="1:4">
      <c r="A2240" s="41">
        <v>46057</v>
      </c>
      <c r="B2240" t="s">
        <v>29</v>
      </c>
      <c r="C2240">
        <v>10626</v>
      </c>
      <c r="D2240">
        <v>255598</v>
      </c>
    </row>
    <row r="2241" spans="1:4">
      <c r="A2241" s="41">
        <v>46057</v>
      </c>
      <c r="B2241" t="s">
        <v>38</v>
      </c>
      <c r="C2241">
        <v>10916</v>
      </c>
    </row>
    <row r="2242" spans="1:4">
      <c r="A2242" s="41">
        <v>46057</v>
      </c>
      <c r="B2242" t="s">
        <v>44</v>
      </c>
      <c r="D2242">
        <v>188227</v>
      </c>
    </row>
    <row r="2243" spans="1:4">
      <c r="A2243" s="41">
        <v>46057</v>
      </c>
      <c r="B2243" t="s">
        <v>91</v>
      </c>
      <c r="C2243">
        <v>3518</v>
      </c>
      <c r="D2243">
        <v>91428</v>
      </c>
    </row>
    <row r="2244" spans="1:4">
      <c r="A2244" s="41">
        <v>46057</v>
      </c>
      <c r="B2244" t="s">
        <v>93</v>
      </c>
      <c r="C2244">
        <v>3574</v>
      </c>
      <c r="D2244">
        <v>97640</v>
      </c>
    </row>
    <row r="2245" spans="1:4">
      <c r="A2245" s="41">
        <v>46057</v>
      </c>
      <c r="B2245" t="s">
        <v>106</v>
      </c>
      <c r="D2245">
        <v>118774</v>
      </c>
    </row>
    <row r="2246" spans="1:4">
      <c r="A2246" s="41">
        <v>46057</v>
      </c>
      <c r="B2246" t="s">
        <v>121</v>
      </c>
      <c r="C2246">
        <v>7524</v>
      </c>
      <c r="D2246">
        <v>191102</v>
      </c>
    </row>
    <row r="2247" spans="1:4">
      <c r="A2247" s="41">
        <v>46057</v>
      </c>
      <c r="B2247" t="s">
        <v>128</v>
      </c>
      <c r="D2247">
        <v>643427</v>
      </c>
    </row>
    <row r="2248" spans="1:4">
      <c r="A2248" s="81">
        <v>44310</v>
      </c>
      <c r="B2248" t="s">
        <v>187</v>
      </c>
      <c r="D2248">
        <v>302647</v>
      </c>
    </row>
    <row r="2249" spans="1:4">
      <c r="A2249" s="41">
        <v>46057</v>
      </c>
      <c r="B2249" t="s">
        <v>169</v>
      </c>
      <c r="C2249">
        <v>9249</v>
      </c>
      <c r="D2249">
        <v>195724</v>
      </c>
    </row>
    <row r="2250" spans="1:4">
      <c r="A2250" s="41">
        <v>46057</v>
      </c>
      <c r="B2250" t="s">
        <v>175</v>
      </c>
      <c r="C2250">
        <v>9102</v>
      </c>
      <c r="D2250">
        <v>206201</v>
      </c>
    </row>
    <row r="2251" spans="1:4">
      <c r="A2251" s="41">
        <v>46057</v>
      </c>
      <c r="B2251" t="s">
        <v>227</v>
      </c>
      <c r="C2251">
        <v>716</v>
      </c>
    </row>
    <row r="2252" spans="1:4">
      <c r="A2252" s="41">
        <v>46057</v>
      </c>
      <c r="B2252" t="s">
        <v>254</v>
      </c>
      <c r="C2252">
        <v>15554</v>
      </c>
    </row>
    <row r="2253" spans="1:4">
      <c r="A2253" s="41">
        <v>46057</v>
      </c>
      <c r="B2253" t="s">
        <v>258</v>
      </c>
      <c r="C2253">
        <v>2548</v>
      </c>
    </row>
    <row r="2254" spans="1:4">
      <c r="A2254" s="41">
        <v>46057</v>
      </c>
      <c r="B2254" t="s">
        <v>288</v>
      </c>
      <c r="C2254">
        <v>1268</v>
      </c>
    </row>
    <row r="2255" spans="1:4">
      <c r="A2255" s="41">
        <v>46057</v>
      </c>
      <c r="B2255" t="s">
        <v>301</v>
      </c>
      <c r="C2255">
        <v>14477</v>
      </c>
    </row>
    <row r="2256" spans="1:4">
      <c r="A2256" s="41">
        <v>46057</v>
      </c>
      <c r="B2256" t="s">
        <v>359</v>
      </c>
      <c r="C2256">
        <v>13579</v>
      </c>
    </row>
    <row r="2257" spans="1:4">
      <c r="A2257" s="41">
        <v>46057</v>
      </c>
      <c r="B2257" t="s">
        <v>417</v>
      </c>
      <c r="C2257">
        <v>8131</v>
      </c>
    </row>
    <row r="2258" spans="1:4">
      <c r="A2258" s="41">
        <v>46057</v>
      </c>
      <c r="B2258" t="s">
        <v>508</v>
      </c>
      <c r="D2258">
        <v>46507</v>
      </c>
    </row>
    <row r="2259" spans="1:4">
      <c r="A2259" s="41">
        <v>46057</v>
      </c>
      <c r="B2259" t="s">
        <v>515</v>
      </c>
      <c r="C2259">
        <v>14477</v>
      </c>
      <c r="D2259">
        <v>65585</v>
      </c>
    </row>
    <row r="2260" spans="1:4">
      <c r="A2260" s="41">
        <v>46057</v>
      </c>
      <c r="B2260" t="s">
        <v>533</v>
      </c>
      <c r="D2260">
        <v>69729</v>
      </c>
    </row>
    <row r="2261" spans="1:4">
      <c r="A2261" s="41">
        <v>46057</v>
      </c>
      <c r="B2261" t="s">
        <v>535</v>
      </c>
      <c r="D2261">
        <v>65875</v>
      </c>
    </row>
    <row r="2262" spans="1:4">
      <c r="A2262" s="41">
        <v>46057</v>
      </c>
      <c r="B2262" t="s">
        <v>537</v>
      </c>
      <c r="D2262">
        <v>90490</v>
      </c>
    </row>
    <row r="2263" spans="1:4">
      <c r="A2263" s="41">
        <v>46057</v>
      </c>
      <c r="B2263" t="s">
        <v>548</v>
      </c>
      <c r="D2263">
        <v>23669</v>
      </c>
    </row>
    <row r="2264" spans="1:4">
      <c r="A2264" s="41">
        <v>46057</v>
      </c>
      <c r="B2264" t="s">
        <v>549</v>
      </c>
      <c r="D2264">
        <v>10354</v>
      </c>
    </row>
    <row r="2265" spans="1:4">
      <c r="A2265" s="41">
        <v>46057</v>
      </c>
      <c r="B2265" t="s">
        <v>614</v>
      </c>
      <c r="D2265">
        <v>144733</v>
      </c>
    </row>
    <row r="2266" spans="1:4">
      <c r="A2266" s="41">
        <v>46057</v>
      </c>
      <c r="B2266" t="s">
        <v>626</v>
      </c>
      <c r="D2266">
        <v>103639</v>
      </c>
    </row>
    <row r="2267" spans="1:4">
      <c r="A2267" s="41">
        <v>46057</v>
      </c>
      <c r="B2267" t="s">
        <v>634</v>
      </c>
      <c r="D2267">
        <v>103703</v>
      </c>
    </row>
    <row r="2268" spans="1:4">
      <c r="A2268" s="41">
        <v>46058</v>
      </c>
      <c r="B2268" t="s">
        <v>19</v>
      </c>
      <c r="C2268">
        <v>10105</v>
      </c>
      <c r="D2268">
        <v>254710</v>
      </c>
    </row>
    <row r="2269" spans="1:4">
      <c r="A2269" s="41">
        <v>46058</v>
      </c>
      <c r="B2269" t="s">
        <v>32</v>
      </c>
      <c r="C2269">
        <v>10321</v>
      </c>
      <c r="D2269">
        <v>248137</v>
      </c>
    </row>
    <row r="2270" spans="1:4">
      <c r="A2270" s="41">
        <v>46058</v>
      </c>
      <c r="B2270" t="s">
        <v>50</v>
      </c>
      <c r="D2270">
        <v>272967</v>
      </c>
    </row>
    <row r="2271" spans="1:4">
      <c r="A2271" s="41">
        <v>46058</v>
      </c>
      <c r="B2271" t="s">
        <v>68</v>
      </c>
      <c r="D2271">
        <v>330885</v>
      </c>
    </row>
    <row r="2272" spans="1:4">
      <c r="A2272" s="41">
        <v>46058</v>
      </c>
      <c r="B2272" t="s">
        <v>78</v>
      </c>
      <c r="D2272">
        <v>309888</v>
      </c>
    </row>
    <row r="2273" spans="1:4">
      <c r="A2273" s="41">
        <v>46058</v>
      </c>
      <c r="B2273" t="s">
        <v>81</v>
      </c>
      <c r="C2273">
        <v>2623</v>
      </c>
      <c r="D2273">
        <v>191699</v>
      </c>
    </row>
    <row r="2274" spans="1:4">
      <c r="A2274" s="41">
        <v>46058</v>
      </c>
      <c r="B2274" t="s">
        <v>89</v>
      </c>
      <c r="C2274">
        <v>3384</v>
      </c>
      <c r="D2274">
        <v>87141</v>
      </c>
    </row>
    <row r="2275" spans="1:4">
      <c r="A2275" s="41">
        <v>46058</v>
      </c>
      <c r="B2275" t="s">
        <v>97</v>
      </c>
      <c r="D2275">
        <v>71109</v>
      </c>
    </row>
    <row r="2276" spans="1:4">
      <c r="A2276" s="41">
        <v>46058</v>
      </c>
      <c r="B2276" t="s">
        <v>97</v>
      </c>
      <c r="D2276">
        <v>70831</v>
      </c>
    </row>
    <row r="2277" spans="1:4">
      <c r="A2277" s="41">
        <v>46058</v>
      </c>
      <c r="B2277" t="s">
        <v>106</v>
      </c>
      <c r="D2277">
        <v>118992</v>
      </c>
    </row>
    <row r="2278" spans="1:4">
      <c r="A2278" s="41">
        <v>46058</v>
      </c>
      <c r="B2278" t="s">
        <v>121</v>
      </c>
      <c r="C2278">
        <v>7525</v>
      </c>
      <c r="D2278">
        <v>191432</v>
      </c>
    </row>
    <row r="2279" spans="1:4">
      <c r="A2279" s="41">
        <v>46058</v>
      </c>
      <c r="B2279" t="s">
        <v>138</v>
      </c>
      <c r="D2279">
        <v>290367</v>
      </c>
    </row>
    <row r="2280" spans="1:4">
      <c r="A2280" s="41">
        <v>46058</v>
      </c>
      <c r="B2280" t="s">
        <v>152</v>
      </c>
      <c r="D2280">
        <v>261307</v>
      </c>
    </row>
    <row r="2281" spans="1:4">
      <c r="A2281" s="81">
        <v>44320</v>
      </c>
      <c r="B2281" t="s">
        <v>1195</v>
      </c>
      <c r="D2281">
        <v>106150</v>
      </c>
    </row>
    <row r="2282" spans="1:4">
      <c r="A2282" s="41">
        <v>46058</v>
      </c>
      <c r="B2282" t="s">
        <v>159</v>
      </c>
      <c r="D2282">
        <v>139631</v>
      </c>
    </row>
    <row r="2283" spans="1:4">
      <c r="A2283" s="41">
        <v>46058</v>
      </c>
      <c r="B2283" t="s">
        <v>169</v>
      </c>
      <c r="C2283">
        <v>9259</v>
      </c>
      <c r="D2283">
        <v>195878</v>
      </c>
    </row>
    <row r="2284" spans="1:4">
      <c r="A2284" s="41">
        <v>46058</v>
      </c>
      <c r="B2284" t="s">
        <v>173</v>
      </c>
      <c r="C2284">
        <v>8548</v>
      </c>
      <c r="D2284">
        <v>164321</v>
      </c>
    </row>
    <row r="2285" spans="1:4">
      <c r="A2285" s="41">
        <v>46058</v>
      </c>
      <c r="B2285" t="s">
        <v>175</v>
      </c>
      <c r="C2285">
        <v>9109</v>
      </c>
      <c r="D2285">
        <v>206327</v>
      </c>
    </row>
    <row r="2286" spans="1:4">
      <c r="A2286" s="41">
        <v>46058</v>
      </c>
      <c r="B2286" t="s">
        <v>185</v>
      </c>
      <c r="C2286">
        <v>3273</v>
      </c>
      <c r="D2286">
        <v>570280</v>
      </c>
    </row>
    <row r="2287" spans="1:4">
      <c r="A2287" s="41">
        <v>46058</v>
      </c>
      <c r="B2287" t="s">
        <v>254</v>
      </c>
      <c r="C2287">
        <v>15566</v>
      </c>
    </row>
    <row r="2288" spans="1:4">
      <c r="A2288" s="41">
        <v>46058</v>
      </c>
      <c r="B2288" t="s">
        <v>258</v>
      </c>
      <c r="C2288">
        <v>2558</v>
      </c>
    </row>
    <row r="2289" spans="1:5">
      <c r="A2289" s="41">
        <v>46058</v>
      </c>
      <c r="B2289" t="s">
        <v>263</v>
      </c>
      <c r="C2289">
        <v>9848</v>
      </c>
    </row>
    <row r="2290" spans="1:5">
      <c r="A2290" s="41">
        <v>46058</v>
      </c>
      <c r="B2290" t="s">
        <v>268</v>
      </c>
      <c r="C2290">
        <v>5526</v>
      </c>
    </row>
    <row r="2291" spans="1:5">
      <c r="A2291" s="41">
        <v>46058</v>
      </c>
      <c r="B2291" t="s">
        <v>275</v>
      </c>
      <c r="C2291">
        <v>1364</v>
      </c>
    </row>
    <row r="2292" spans="1:5">
      <c r="A2292" s="41">
        <v>46058</v>
      </c>
      <c r="B2292" t="s">
        <v>288</v>
      </c>
      <c r="C2292">
        <v>1278</v>
      </c>
    </row>
    <row r="2293" spans="1:5">
      <c r="A2293" s="41">
        <v>46058</v>
      </c>
      <c r="B2293" t="s">
        <v>295</v>
      </c>
      <c r="C2293">
        <v>8881</v>
      </c>
    </row>
    <row r="2294" spans="1:5">
      <c r="A2294" s="41">
        <v>46058</v>
      </c>
      <c r="B2294" t="s">
        <v>305</v>
      </c>
      <c r="C2294">
        <v>16853</v>
      </c>
    </row>
    <row r="2295" spans="1:5">
      <c r="A2295" s="41">
        <v>46058</v>
      </c>
      <c r="B2295" t="s">
        <v>314</v>
      </c>
      <c r="C2295">
        <v>27707</v>
      </c>
    </row>
    <row r="2296" spans="1:5">
      <c r="A2296" s="41">
        <v>46058</v>
      </c>
      <c r="B2296" t="s">
        <v>324</v>
      </c>
      <c r="C2296">
        <v>7008</v>
      </c>
    </row>
    <row r="2297" spans="1:5">
      <c r="A2297" s="41">
        <v>46058</v>
      </c>
      <c r="B2297" t="s">
        <v>333</v>
      </c>
      <c r="C2297">
        <v>11841</v>
      </c>
    </row>
    <row r="2298" spans="1:5">
      <c r="A2298" s="41">
        <v>46058</v>
      </c>
      <c r="B2298" t="s">
        <v>354</v>
      </c>
      <c r="C2298">
        <v>6999</v>
      </c>
      <c r="E2298" t="s">
        <v>272</v>
      </c>
    </row>
    <row r="2299" spans="1:5">
      <c r="A2299" s="41">
        <v>46058</v>
      </c>
      <c r="B2299" t="s">
        <v>356</v>
      </c>
      <c r="C2299">
        <v>15558</v>
      </c>
    </row>
    <row r="2300" spans="1:5">
      <c r="A2300" s="41">
        <v>46058</v>
      </c>
      <c r="B2300" t="s">
        <v>365</v>
      </c>
      <c r="C2300">
        <v>4772</v>
      </c>
    </row>
    <row r="2301" spans="1:5">
      <c r="A2301" s="41">
        <v>46058</v>
      </c>
      <c r="B2301" t="s">
        <v>378</v>
      </c>
      <c r="C2301">
        <v>2652</v>
      </c>
    </row>
    <row r="2302" spans="1:5">
      <c r="A2302" s="41">
        <v>46058</v>
      </c>
      <c r="B2302" t="s">
        <v>379</v>
      </c>
      <c r="C2302">
        <v>3464</v>
      </c>
    </row>
    <row r="2303" spans="1:5">
      <c r="A2303" s="41">
        <v>46058</v>
      </c>
      <c r="B2303" t="s">
        <v>396</v>
      </c>
      <c r="C2303">
        <v>8557</v>
      </c>
    </row>
    <row r="2304" spans="1:5">
      <c r="A2304" s="41">
        <v>46058</v>
      </c>
      <c r="B2304" t="s">
        <v>405</v>
      </c>
      <c r="C2304">
        <v>12624</v>
      </c>
    </row>
    <row r="2305" spans="1:4">
      <c r="A2305" s="41">
        <v>46058</v>
      </c>
      <c r="B2305" t="s">
        <v>414</v>
      </c>
      <c r="C2305">
        <v>10222</v>
      </c>
    </row>
    <row r="2306" spans="1:4">
      <c r="A2306" s="41">
        <v>46058</v>
      </c>
      <c r="B2306" t="s">
        <v>424</v>
      </c>
    </row>
    <row r="2307" spans="1:4">
      <c r="A2307" s="41">
        <v>46058</v>
      </c>
      <c r="B2307" t="s">
        <v>431</v>
      </c>
      <c r="C2307">
        <v>9950</v>
      </c>
    </row>
    <row r="2308" spans="1:4">
      <c r="A2308" s="41">
        <v>46058</v>
      </c>
      <c r="B2308" t="s">
        <v>440</v>
      </c>
      <c r="C2308">
        <v>1908</v>
      </c>
    </row>
    <row r="2309" spans="1:4">
      <c r="A2309" s="41">
        <v>46058</v>
      </c>
      <c r="B2309" t="s">
        <v>443</v>
      </c>
      <c r="C2309">
        <v>2241</v>
      </c>
    </row>
    <row r="2310" spans="1:4">
      <c r="A2310" s="41">
        <v>46058</v>
      </c>
      <c r="B2310" t="s">
        <v>449</v>
      </c>
      <c r="C2310">
        <v>1636</v>
      </c>
    </row>
    <row r="2311" spans="1:4">
      <c r="A2311" s="41">
        <v>46058</v>
      </c>
      <c r="B2311" t="s">
        <v>456</v>
      </c>
      <c r="C2311">
        <v>2054</v>
      </c>
    </row>
    <row r="2312" spans="1:4">
      <c r="A2312" s="41">
        <v>46058</v>
      </c>
      <c r="B2312" t="s">
        <v>465</v>
      </c>
      <c r="D2312">
        <v>100785</v>
      </c>
    </row>
    <row r="2313" spans="1:4">
      <c r="A2313" s="41">
        <v>46058</v>
      </c>
      <c r="B2313" t="s">
        <v>488</v>
      </c>
      <c r="D2313">
        <v>100261</v>
      </c>
    </row>
    <row r="2314" spans="1:4">
      <c r="A2314" s="41">
        <v>46058</v>
      </c>
      <c r="B2314" t="s">
        <v>490</v>
      </c>
      <c r="D2314">
        <v>80995</v>
      </c>
    </row>
    <row r="2315" spans="1:4">
      <c r="A2315" s="41">
        <v>46058</v>
      </c>
      <c r="B2315" t="s">
        <v>496</v>
      </c>
      <c r="D2315">
        <v>109416</v>
      </c>
    </row>
    <row r="2316" spans="1:4">
      <c r="A2316" s="41">
        <v>46058</v>
      </c>
      <c r="B2316" t="s">
        <v>506</v>
      </c>
      <c r="D2316">
        <v>58610</v>
      </c>
    </row>
    <row r="2317" spans="1:4">
      <c r="A2317" s="41">
        <v>46058</v>
      </c>
      <c r="B2317" t="s">
        <v>514</v>
      </c>
      <c r="D2317">
        <v>59199</v>
      </c>
    </row>
    <row r="2318" spans="1:4">
      <c r="A2318" s="41">
        <v>46058</v>
      </c>
      <c r="B2318" t="s">
        <v>518</v>
      </c>
      <c r="D2318">
        <v>71459</v>
      </c>
    </row>
    <row r="2319" spans="1:4">
      <c r="A2319" s="41">
        <v>46058</v>
      </c>
      <c r="B2319" t="s">
        <v>518</v>
      </c>
      <c r="D2319">
        <v>71459</v>
      </c>
    </row>
    <row r="2320" spans="1:4">
      <c r="A2320" s="41">
        <v>46058</v>
      </c>
      <c r="B2320" t="s">
        <v>520</v>
      </c>
      <c r="D2320">
        <v>49491</v>
      </c>
    </row>
    <row r="2321" spans="1:4">
      <c r="A2321" s="41">
        <v>46058</v>
      </c>
      <c r="B2321" t="s">
        <v>523</v>
      </c>
      <c r="D2321">
        <v>54895</v>
      </c>
    </row>
    <row r="2322" spans="1:4">
      <c r="A2322" s="41">
        <v>46058</v>
      </c>
      <c r="B2322" t="s">
        <v>523</v>
      </c>
      <c r="D2322">
        <v>55019</v>
      </c>
    </row>
    <row r="2323" spans="1:4">
      <c r="A2323" s="41">
        <v>46058</v>
      </c>
      <c r="B2323" t="s">
        <v>526</v>
      </c>
      <c r="D2323">
        <v>58433</v>
      </c>
    </row>
    <row r="2324" spans="1:4">
      <c r="A2324" s="41">
        <v>46058</v>
      </c>
      <c r="B2324" t="s">
        <v>537</v>
      </c>
      <c r="D2324">
        <v>90804</v>
      </c>
    </row>
    <row r="2325" spans="1:4">
      <c r="A2325" s="41">
        <v>46058</v>
      </c>
      <c r="B2325" t="s">
        <v>542</v>
      </c>
      <c r="D2325">
        <v>82223</v>
      </c>
    </row>
    <row r="2326" spans="1:4">
      <c r="A2326" s="41">
        <v>46058</v>
      </c>
      <c r="B2326" t="s">
        <v>551</v>
      </c>
      <c r="D2326">
        <v>15809</v>
      </c>
    </row>
    <row r="2327" spans="1:4">
      <c r="A2327" s="41">
        <v>46058</v>
      </c>
      <c r="B2327" t="s">
        <v>559</v>
      </c>
      <c r="D2327">
        <v>557809</v>
      </c>
    </row>
    <row r="2328" spans="1:4">
      <c r="A2328" s="41">
        <v>46058</v>
      </c>
      <c r="B2328" t="s">
        <v>568</v>
      </c>
      <c r="D2328">
        <v>155702</v>
      </c>
    </row>
    <row r="2329" spans="1:4">
      <c r="A2329" s="41">
        <v>46058</v>
      </c>
      <c r="B2329" t="s">
        <v>593</v>
      </c>
      <c r="D2329">
        <v>160917</v>
      </c>
    </row>
    <row r="2330" spans="1:4">
      <c r="A2330" s="41">
        <v>46058</v>
      </c>
      <c r="B2330" t="s">
        <v>593</v>
      </c>
      <c r="D2330">
        <v>160917</v>
      </c>
    </row>
    <row r="2331" spans="1:4">
      <c r="A2331" s="41">
        <v>46058</v>
      </c>
      <c r="B2331" t="s">
        <v>598</v>
      </c>
      <c r="D2331">
        <v>134374</v>
      </c>
    </row>
    <row r="2332" spans="1:4">
      <c r="A2332" s="41">
        <v>46058</v>
      </c>
      <c r="B2332" t="s">
        <v>608</v>
      </c>
      <c r="D2332">
        <v>297710</v>
      </c>
    </row>
    <row r="2333" spans="1:4">
      <c r="A2333" s="41">
        <v>46058</v>
      </c>
      <c r="B2333" t="s">
        <v>611</v>
      </c>
      <c r="D2333">
        <v>257735</v>
      </c>
    </row>
    <row r="2334" spans="1:4">
      <c r="A2334" s="41">
        <v>46058</v>
      </c>
      <c r="B2334" t="s">
        <v>618</v>
      </c>
      <c r="D2334">
        <v>108837</v>
      </c>
    </row>
    <row r="2335" spans="1:4">
      <c r="A2335" s="41">
        <v>46058</v>
      </c>
      <c r="B2335" t="s">
        <v>620</v>
      </c>
      <c r="D2335">
        <v>122356</v>
      </c>
    </row>
    <row r="2336" spans="1:4">
      <c r="A2336" s="41">
        <v>46058</v>
      </c>
      <c r="B2336" t="s">
        <v>624</v>
      </c>
      <c r="D2336">
        <v>87584</v>
      </c>
    </row>
    <row r="2337" spans="1:4">
      <c r="A2337" s="41">
        <v>46058</v>
      </c>
      <c r="B2337" t="s">
        <v>628</v>
      </c>
      <c r="D2337">
        <v>87865</v>
      </c>
    </row>
    <row r="2338" spans="1:4">
      <c r="A2338" s="41">
        <v>46058</v>
      </c>
      <c r="B2338" t="s">
        <v>634</v>
      </c>
      <c r="D2338">
        <v>103853</v>
      </c>
    </row>
    <row r="2339" spans="1:4">
      <c r="A2339" s="41">
        <v>46059</v>
      </c>
      <c r="B2339" t="s">
        <v>19</v>
      </c>
      <c r="C2339">
        <v>10015</v>
      </c>
      <c r="D2339">
        <v>255228</v>
      </c>
    </row>
    <row r="2340" spans="1:4">
      <c r="A2340" s="41">
        <v>46059</v>
      </c>
      <c r="B2340" t="s">
        <v>19</v>
      </c>
      <c r="C2340">
        <v>10116</v>
      </c>
      <c r="D2340">
        <v>254926</v>
      </c>
    </row>
    <row r="2341" spans="1:4">
      <c r="A2341" s="41">
        <v>46059</v>
      </c>
      <c r="B2341" t="s">
        <v>32</v>
      </c>
      <c r="C2341">
        <v>10335</v>
      </c>
      <c r="D2341">
        <v>248574</v>
      </c>
    </row>
    <row r="2342" spans="1:4">
      <c r="A2342" s="41">
        <v>46059</v>
      </c>
      <c r="B2342" t="s">
        <v>91</v>
      </c>
      <c r="C2342">
        <v>3531</v>
      </c>
      <c r="D2342">
        <v>91766</v>
      </c>
    </row>
    <row r="2343" spans="1:4">
      <c r="A2343" s="41">
        <v>46059</v>
      </c>
      <c r="B2343" t="s">
        <v>121</v>
      </c>
      <c r="C2343">
        <v>7544</v>
      </c>
      <c r="D2343">
        <v>191832</v>
      </c>
    </row>
    <row r="2344" spans="1:4">
      <c r="A2344" s="41">
        <v>46059</v>
      </c>
      <c r="B2344" t="s">
        <v>169</v>
      </c>
      <c r="C2344">
        <v>9268</v>
      </c>
      <c r="D2344">
        <v>196025</v>
      </c>
    </row>
    <row r="2345" spans="1:4">
      <c r="A2345" s="41">
        <v>46059</v>
      </c>
      <c r="B2345" t="s">
        <v>175</v>
      </c>
      <c r="C2345">
        <v>9117</v>
      </c>
      <c r="D2345">
        <v>206473</v>
      </c>
    </row>
    <row r="2346" spans="1:4">
      <c r="A2346" s="41">
        <v>46059</v>
      </c>
      <c r="B2346" t="s">
        <v>177</v>
      </c>
      <c r="C2346">
        <v>8719</v>
      </c>
      <c r="D2346">
        <v>193520</v>
      </c>
    </row>
    <row r="2347" spans="1:4">
      <c r="A2347" s="41">
        <v>46059</v>
      </c>
      <c r="B2347" t="s">
        <v>258</v>
      </c>
      <c r="C2347">
        <v>2566</v>
      </c>
    </row>
    <row r="2348" spans="1:4">
      <c r="A2348" s="41">
        <v>46059</v>
      </c>
      <c r="B2348" t="s">
        <v>288</v>
      </c>
      <c r="C2348">
        <v>1287</v>
      </c>
    </row>
    <row r="2349" spans="1:4">
      <c r="A2349" s="41">
        <v>46059</v>
      </c>
      <c r="B2349" t="s">
        <v>295</v>
      </c>
      <c r="C2349">
        <v>8834</v>
      </c>
    </row>
    <row r="2350" spans="1:4">
      <c r="A2350" s="41">
        <v>46059</v>
      </c>
      <c r="B2350" t="s">
        <v>301</v>
      </c>
      <c r="C2350">
        <v>14480</v>
      </c>
    </row>
    <row r="2351" spans="1:4">
      <c r="A2351" s="41">
        <v>46059</v>
      </c>
      <c r="B2351" t="s">
        <v>417</v>
      </c>
      <c r="C2351">
        <v>8143</v>
      </c>
    </row>
    <row r="2352" spans="1:4">
      <c r="A2352" s="41">
        <v>46059</v>
      </c>
      <c r="B2352" t="s">
        <v>490</v>
      </c>
      <c r="D2352">
        <v>81434</v>
      </c>
    </row>
    <row r="2353" spans="1:4">
      <c r="A2353" s="41">
        <v>46059</v>
      </c>
      <c r="B2353" t="s">
        <v>493</v>
      </c>
      <c r="D2353">
        <v>56286</v>
      </c>
    </row>
    <row r="2354" spans="1:4">
      <c r="A2354" s="41">
        <v>46059</v>
      </c>
      <c r="B2354" t="s">
        <v>499</v>
      </c>
      <c r="D2354">
        <v>59987</v>
      </c>
    </row>
    <row r="2355" spans="1:4">
      <c r="A2355" s="41">
        <v>46059</v>
      </c>
      <c r="B2355" t="s">
        <v>508</v>
      </c>
      <c r="D2355">
        <v>46995</v>
      </c>
    </row>
    <row r="2356" spans="1:4">
      <c r="A2356" s="41">
        <v>46059</v>
      </c>
      <c r="B2356" t="s">
        <v>512</v>
      </c>
      <c r="D2356">
        <v>47517</v>
      </c>
    </row>
    <row r="2357" spans="1:4">
      <c r="A2357" s="41">
        <v>46059</v>
      </c>
      <c r="B2357" t="s">
        <v>514</v>
      </c>
      <c r="D2357">
        <v>59364</v>
      </c>
    </row>
    <row r="2358" spans="1:4">
      <c r="A2358" s="41">
        <v>46059</v>
      </c>
      <c r="B2358" t="s">
        <v>515</v>
      </c>
      <c r="D2358">
        <v>65875</v>
      </c>
    </row>
    <row r="2359" spans="1:4">
      <c r="A2359" s="41">
        <v>46059</v>
      </c>
      <c r="B2359" t="s">
        <v>526</v>
      </c>
      <c r="D2359">
        <v>58662</v>
      </c>
    </row>
    <row r="2360" spans="1:4">
      <c r="A2360" s="41">
        <v>46059</v>
      </c>
      <c r="B2360" t="s">
        <v>533</v>
      </c>
      <c r="D2360">
        <v>70075</v>
      </c>
    </row>
    <row r="2361" spans="1:4">
      <c r="A2361" s="41">
        <v>46059</v>
      </c>
      <c r="B2361" t="s">
        <v>535</v>
      </c>
      <c r="D2361">
        <v>66586</v>
      </c>
    </row>
    <row r="2362" spans="1:4">
      <c r="A2362" s="41">
        <v>46059</v>
      </c>
      <c r="B2362" t="s">
        <v>542</v>
      </c>
      <c r="D2362">
        <v>83466</v>
      </c>
    </row>
    <row r="2363" spans="1:4">
      <c r="A2363" s="41">
        <v>46059</v>
      </c>
      <c r="B2363" t="s">
        <v>552</v>
      </c>
      <c r="D2363">
        <v>11391</v>
      </c>
    </row>
    <row r="2364" spans="1:4">
      <c r="A2364" s="41">
        <v>46059</v>
      </c>
      <c r="B2364" t="s">
        <v>575</v>
      </c>
      <c r="D2364">
        <v>235398</v>
      </c>
    </row>
    <row r="2365" spans="1:4">
      <c r="A2365" s="41">
        <v>46059</v>
      </c>
      <c r="B2365" t="s">
        <v>593</v>
      </c>
      <c r="D2365">
        <v>161302</v>
      </c>
    </row>
    <row r="2366" spans="1:4">
      <c r="A2366" s="41">
        <v>46059</v>
      </c>
      <c r="B2366" t="s">
        <v>598</v>
      </c>
      <c r="D2366">
        <v>134638</v>
      </c>
    </row>
    <row r="2367" spans="1:4">
      <c r="A2367" s="41">
        <v>46059</v>
      </c>
      <c r="B2367" t="s">
        <v>614</v>
      </c>
      <c r="D2367">
        <v>145038</v>
      </c>
    </row>
    <row r="2368" spans="1:4">
      <c r="A2368" s="41">
        <v>46059</v>
      </c>
      <c r="B2368" t="s">
        <v>616</v>
      </c>
      <c r="D2368">
        <v>117690</v>
      </c>
    </row>
    <row r="2369" spans="1:4">
      <c r="A2369" s="41">
        <v>46059</v>
      </c>
      <c r="B2369" t="s">
        <v>618</v>
      </c>
      <c r="D2369">
        <v>108975</v>
      </c>
    </row>
    <row r="2370" spans="1:4">
      <c r="A2370" s="41">
        <v>46059</v>
      </c>
      <c r="B2370" t="s">
        <v>626</v>
      </c>
      <c r="D2370">
        <v>103921</v>
      </c>
    </row>
    <row r="2371" spans="1:4">
      <c r="A2371" s="41">
        <v>46059</v>
      </c>
      <c r="B2371" t="s">
        <v>628</v>
      </c>
      <c r="D2371">
        <v>87974</v>
      </c>
    </row>
    <row r="2372" spans="1:4">
      <c r="A2372" s="41">
        <v>46060</v>
      </c>
      <c r="B2372" t="s">
        <v>19</v>
      </c>
      <c r="C2372">
        <v>10123</v>
      </c>
      <c r="D2372">
        <v>255635</v>
      </c>
    </row>
    <row r="2373" spans="1:4">
      <c r="A2373" s="41">
        <v>46060</v>
      </c>
      <c r="B2373" t="s">
        <v>86</v>
      </c>
      <c r="C2373">
        <v>3340</v>
      </c>
      <c r="D2373">
        <v>80647</v>
      </c>
    </row>
    <row r="2374" spans="1:4">
      <c r="A2374" s="41">
        <v>46060</v>
      </c>
      <c r="B2374" t="s">
        <v>268</v>
      </c>
      <c r="C2374">
        <v>5535</v>
      </c>
    </row>
    <row r="2375" spans="1:4">
      <c r="A2375" s="41">
        <v>46060</v>
      </c>
      <c r="B2375" t="s">
        <v>305</v>
      </c>
      <c r="C2375">
        <v>16860</v>
      </c>
    </row>
    <row r="2376" spans="1:4">
      <c r="A2376" s="41">
        <v>46060</v>
      </c>
      <c r="B2376" t="s">
        <v>365</v>
      </c>
      <c r="C2376">
        <v>4773</v>
      </c>
    </row>
    <row r="2377" spans="1:4">
      <c r="A2377" s="41">
        <v>46060</v>
      </c>
      <c r="B2377" t="s">
        <v>520</v>
      </c>
      <c r="D2377">
        <v>49662</v>
      </c>
    </row>
    <row r="2378" spans="1:4">
      <c r="A2378" s="41">
        <v>46060</v>
      </c>
      <c r="B2378" t="s">
        <v>624</v>
      </c>
      <c r="D2378">
        <v>87833</v>
      </c>
    </row>
    <row r="2379" spans="1:4">
      <c r="A2379" s="41">
        <v>46062</v>
      </c>
      <c r="B2379" t="s">
        <v>19</v>
      </c>
      <c r="C2379">
        <v>10131</v>
      </c>
      <c r="D2379">
        <v>256141</v>
      </c>
    </row>
    <row r="2380" spans="1:4">
      <c r="A2380" s="41">
        <v>46062</v>
      </c>
      <c r="B2380" t="s">
        <v>19</v>
      </c>
      <c r="C2380">
        <v>10134</v>
      </c>
      <c r="D2380">
        <v>256210</v>
      </c>
    </row>
    <row r="2381" spans="1:4">
      <c r="A2381" s="41">
        <v>46062</v>
      </c>
      <c r="B2381" t="s">
        <v>29</v>
      </c>
      <c r="C2381">
        <v>10030</v>
      </c>
      <c r="D2381">
        <v>256630</v>
      </c>
    </row>
    <row r="2382" spans="1:4">
      <c r="A2382" s="41">
        <v>46062</v>
      </c>
      <c r="B2382" t="s">
        <v>41</v>
      </c>
      <c r="D2382">
        <v>98550</v>
      </c>
    </row>
    <row r="2383" spans="1:4">
      <c r="A2383" s="41">
        <v>46062</v>
      </c>
      <c r="B2383" t="s">
        <v>44</v>
      </c>
      <c r="D2383">
        <v>188352</v>
      </c>
    </row>
    <row r="2384" spans="1:4">
      <c r="A2384" s="41">
        <v>46062</v>
      </c>
      <c r="B2384" t="s">
        <v>65</v>
      </c>
      <c r="C2384">
        <v>3745</v>
      </c>
    </row>
    <row r="2385" spans="1:4">
      <c r="A2385" s="41">
        <v>46062</v>
      </c>
      <c r="B2385" t="s">
        <v>81</v>
      </c>
      <c r="C2385">
        <v>2634</v>
      </c>
      <c r="D2385">
        <v>191857</v>
      </c>
    </row>
    <row r="2386" spans="1:4">
      <c r="A2386" s="41">
        <v>46062</v>
      </c>
      <c r="B2386" t="s">
        <v>91</v>
      </c>
      <c r="C2386">
        <v>3542</v>
      </c>
      <c r="D2386">
        <v>91993</v>
      </c>
    </row>
    <row r="2387" spans="1:4">
      <c r="A2387" s="41">
        <v>46062</v>
      </c>
      <c r="B2387" t="s">
        <v>93</v>
      </c>
      <c r="D2387">
        <v>97947</v>
      </c>
    </row>
    <row r="2388" spans="1:4">
      <c r="A2388" s="41">
        <v>46062</v>
      </c>
      <c r="B2388" t="s">
        <v>97</v>
      </c>
      <c r="D2388">
        <v>71532</v>
      </c>
    </row>
    <row r="2389" spans="1:4">
      <c r="A2389" s="41">
        <v>46062</v>
      </c>
      <c r="B2389" t="s">
        <v>106</v>
      </c>
      <c r="D2389">
        <v>119343</v>
      </c>
    </row>
    <row r="2390" spans="1:4">
      <c r="A2390" s="41">
        <v>46062</v>
      </c>
      <c r="B2390" t="s">
        <v>109</v>
      </c>
      <c r="D2390">
        <v>140471</v>
      </c>
    </row>
    <row r="2391" spans="1:4">
      <c r="A2391" s="41">
        <v>46062</v>
      </c>
      <c r="B2391" t="s">
        <v>121</v>
      </c>
      <c r="C2391">
        <v>7548</v>
      </c>
      <c r="D2391">
        <v>192038</v>
      </c>
    </row>
    <row r="2392" spans="1:4">
      <c r="A2392" s="41">
        <v>46062</v>
      </c>
      <c r="B2392" t="s">
        <v>126</v>
      </c>
      <c r="D2392">
        <v>60862</v>
      </c>
    </row>
    <row r="2393" spans="1:4">
      <c r="A2393" s="41">
        <v>46062</v>
      </c>
      <c r="B2393" t="s">
        <v>138</v>
      </c>
      <c r="D2393">
        <v>290856</v>
      </c>
    </row>
    <row r="2394" spans="1:4">
      <c r="A2394" s="81">
        <v>44328</v>
      </c>
      <c r="B2394" t="s">
        <v>1194</v>
      </c>
      <c r="D2394">
        <v>623700</v>
      </c>
    </row>
    <row r="2395" spans="1:4">
      <c r="A2395" s="81">
        <v>44329</v>
      </c>
      <c r="B2395" t="s">
        <v>12</v>
      </c>
      <c r="C2395">
        <v>985</v>
      </c>
    </row>
    <row r="2396" spans="1:4">
      <c r="A2396" s="41">
        <v>46062</v>
      </c>
      <c r="B2396" t="s">
        <v>661</v>
      </c>
      <c r="D2396">
        <v>310117</v>
      </c>
    </row>
    <row r="2397" spans="1:4">
      <c r="A2397" s="41">
        <v>46062</v>
      </c>
      <c r="B2397" t="s">
        <v>661</v>
      </c>
      <c r="D2397">
        <v>310449</v>
      </c>
    </row>
    <row r="2398" spans="1:4">
      <c r="A2398" s="41">
        <v>46062</v>
      </c>
      <c r="B2398" t="s">
        <v>169</v>
      </c>
      <c r="C2398">
        <v>9275</v>
      </c>
      <c r="D2398">
        <v>196147</v>
      </c>
    </row>
    <row r="2399" spans="1:4">
      <c r="A2399" s="41">
        <v>46062</v>
      </c>
      <c r="B2399" t="s">
        <v>175</v>
      </c>
      <c r="C2399">
        <v>9123</v>
      </c>
      <c r="D2399">
        <v>206595</v>
      </c>
    </row>
    <row r="2400" spans="1:4">
      <c r="A2400" s="41">
        <v>46062</v>
      </c>
      <c r="B2400" t="s">
        <v>662</v>
      </c>
      <c r="C2400">
        <v>422</v>
      </c>
    </row>
    <row r="2401" spans="1:3">
      <c r="A2401" s="41">
        <v>46062</v>
      </c>
      <c r="B2401" t="s">
        <v>210</v>
      </c>
      <c r="C2401">
        <v>193</v>
      </c>
    </row>
    <row r="2402" spans="1:3">
      <c r="A2402" s="41">
        <v>46062</v>
      </c>
      <c r="B2402" t="s">
        <v>234</v>
      </c>
      <c r="C2402">
        <v>1929</v>
      </c>
    </row>
    <row r="2403" spans="1:3">
      <c r="A2403" s="41">
        <v>46062</v>
      </c>
      <c r="B2403" t="s">
        <v>246</v>
      </c>
      <c r="C2403">
        <v>6430</v>
      </c>
    </row>
    <row r="2404" spans="1:3">
      <c r="A2404" s="41">
        <v>46062</v>
      </c>
      <c r="B2404" t="s">
        <v>249</v>
      </c>
      <c r="C2404">
        <v>4795</v>
      </c>
    </row>
    <row r="2405" spans="1:3">
      <c r="A2405" s="41">
        <v>46062</v>
      </c>
      <c r="B2405" t="s">
        <v>263</v>
      </c>
      <c r="C2405">
        <v>9860</v>
      </c>
    </row>
    <row r="2406" spans="1:3">
      <c r="A2406" s="41">
        <v>46062</v>
      </c>
      <c r="B2406" t="s">
        <v>268</v>
      </c>
      <c r="C2406">
        <v>5540</v>
      </c>
    </row>
    <row r="2407" spans="1:3">
      <c r="A2407" s="41">
        <v>46062</v>
      </c>
      <c r="B2407" t="s">
        <v>273</v>
      </c>
      <c r="C2407">
        <v>4088</v>
      </c>
    </row>
    <row r="2408" spans="1:3">
      <c r="A2408" s="41">
        <v>46062</v>
      </c>
      <c r="B2408" t="s">
        <v>275</v>
      </c>
      <c r="C2408">
        <v>1378</v>
      </c>
    </row>
    <row r="2409" spans="1:3">
      <c r="A2409" s="41">
        <v>46062</v>
      </c>
      <c r="B2409" t="s">
        <v>288</v>
      </c>
      <c r="C2409">
        <v>1295</v>
      </c>
    </row>
    <row r="2410" spans="1:3">
      <c r="A2410" s="41">
        <v>46062</v>
      </c>
      <c r="B2410" t="s">
        <v>305</v>
      </c>
      <c r="C2410">
        <v>16865</v>
      </c>
    </row>
    <row r="2411" spans="1:3">
      <c r="A2411" s="41">
        <v>46062</v>
      </c>
      <c r="B2411" t="s">
        <v>314</v>
      </c>
      <c r="C2411">
        <v>27721</v>
      </c>
    </row>
    <row r="2412" spans="1:3">
      <c r="A2412" s="41">
        <v>46062</v>
      </c>
      <c r="B2412" t="s">
        <v>333</v>
      </c>
      <c r="C2412">
        <v>11848</v>
      </c>
    </row>
    <row r="2413" spans="1:3">
      <c r="A2413" s="41">
        <v>46062</v>
      </c>
      <c r="B2413" t="s">
        <v>382</v>
      </c>
      <c r="C2413">
        <v>12970</v>
      </c>
    </row>
    <row r="2414" spans="1:3">
      <c r="A2414" s="41">
        <v>46062</v>
      </c>
      <c r="B2414" t="s">
        <v>405</v>
      </c>
      <c r="C2414">
        <v>12634</v>
      </c>
    </row>
    <row r="2415" spans="1:3">
      <c r="A2415" s="41">
        <v>46062</v>
      </c>
      <c r="B2415" t="s">
        <v>414</v>
      </c>
      <c r="C2415">
        <v>10235</v>
      </c>
    </row>
    <row r="2416" spans="1:3">
      <c r="A2416" s="41">
        <v>46062</v>
      </c>
      <c r="B2416" t="s">
        <v>420</v>
      </c>
      <c r="C2416">
        <v>5580</v>
      </c>
    </row>
    <row r="2417" spans="1:4">
      <c r="A2417" s="41">
        <v>46062</v>
      </c>
      <c r="B2417" t="s">
        <v>431</v>
      </c>
      <c r="C2417">
        <v>9960</v>
      </c>
    </row>
    <row r="2418" spans="1:4">
      <c r="A2418" s="41">
        <v>46062</v>
      </c>
      <c r="B2418" t="s">
        <v>440</v>
      </c>
      <c r="C2418">
        <v>1920</v>
      </c>
    </row>
    <row r="2419" spans="1:4">
      <c r="A2419" s="41">
        <v>46062</v>
      </c>
      <c r="B2419" t="s">
        <v>443</v>
      </c>
      <c r="C2419">
        <v>2252</v>
      </c>
    </row>
    <row r="2420" spans="1:4">
      <c r="A2420" s="41">
        <v>46062</v>
      </c>
      <c r="B2420" t="s">
        <v>447</v>
      </c>
      <c r="C2420">
        <v>1637</v>
      </c>
    </row>
    <row r="2421" spans="1:4">
      <c r="A2421" s="41">
        <v>46062</v>
      </c>
      <c r="B2421" t="s">
        <v>456</v>
      </c>
      <c r="C2421">
        <v>2086</v>
      </c>
    </row>
    <row r="2422" spans="1:4">
      <c r="A2422" s="41">
        <v>46062</v>
      </c>
      <c r="B2422" t="s">
        <v>488</v>
      </c>
      <c r="D2422">
        <v>100693</v>
      </c>
    </row>
    <row r="2423" spans="1:4">
      <c r="A2423" s="41">
        <v>46062</v>
      </c>
      <c r="B2423" t="s">
        <v>490</v>
      </c>
      <c r="D2423">
        <v>82553</v>
      </c>
    </row>
    <row r="2424" spans="1:4">
      <c r="A2424" s="41">
        <v>46062</v>
      </c>
      <c r="B2424" t="s">
        <v>496</v>
      </c>
      <c r="D2424">
        <v>110071</v>
      </c>
    </row>
    <row r="2425" spans="1:4">
      <c r="A2425" s="41">
        <v>46062</v>
      </c>
      <c r="B2425" t="s">
        <v>499</v>
      </c>
      <c r="D2425">
        <v>60868</v>
      </c>
    </row>
    <row r="2426" spans="1:4">
      <c r="A2426" s="41">
        <v>46062</v>
      </c>
      <c r="B2426" t="s">
        <v>501</v>
      </c>
      <c r="D2426">
        <v>85579</v>
      </c>
    </row>
    <row r="2427" spans="1:4">
      <c r="A2427" s="41">
        <v>46062</v>
      </c>
      <c r="B2427" t="s">
        <v>506</v>
      </c>
      <c r="D2427">
        <v>59153</v>
      </c>
    </row>
    <row r="2428" spans="1:4">
      <c r="A2428" s="41">
        <v>46062</v>
      </c>
      <c r="B2428" t="s">
        <v>510</v>
      </c>
      <c r="D2428">
        <v>42566</v>
      </c>
    </row>
    <row r="2429" spans="1:4">
      <c r="A2429" s="41">
        <v>46062</v>
      </c>
      <c r="B2429" t="s">
        <v>512</v>
      </c>
      <c r="D2429">
        <v>48171</v>
      </c>
    </row>
    <row r="2430" spans="1:4">
      <c r="A2430" s="41">
        <v>46062</v>
      </c>
      <c r="B2430" t="s">
        <v>514</v>
      </c>
      <c r="D2430">
        <v>59888</v>
      </c>
    </row>
    <row r="2431" spans="1:4">
      <c r="A2431" s="41">
        <v>46062</v>
      </c>
      <c r="B2431" t="s">
        <v>515</v>
      </c>
      <c r="D2431">
        <v>65875</v>
      </c>
    </row>
    <row r="2432" spans="1:4">
      <c r="A2432" s="41">
        <v>46062</v>
      </c>
      <c r="B2432" t="s">
        <v>517</v>
      </c>
      <c r="D2432">
        <v>39122</v>
      </c>
    </row>
    <row r="2433" spans="1:4">
      <c r="A2433" s="41">
        <v>46062</v>
      </c>
      <c r="B2433" t="s">
        <v>518</v>
      </c>
      <c r="D2433">
        <v>71950</v>
      </c>
    </row>
    <row r="2434" spans="1:4">
      <c r="A2434" s="41">
        <v>46062</v>
      </c>
      <c r="B2434" t="s">
        <v>518</v>
      </c>
      <c r="D2434">
        <v>71950</v>
      </c>
    </row>
    <row r="2435" spans="1:4">
      <c r="A2435" s="41">
        <v>46062</v>
      </c>
      <c r="B2435" t="s">
        <v>523</v>
      </c>
      <c r="D2435">
        <v>55676</v>
      </c>
    </row>
    <row r="2436" spans="1:4">
      <c r="A2436" s="41">
        <v>46062</v>
      </c>
      <c r="B2436" t="s">
        <v>540</v>
      </c>
      <c r="D2436">
        <v>59630</v>
      </c>
    </row>
    <row r="2437" spans="1:4">
      <c r="A2437" s="41">
        <v>46062</v>
      </c>
      <c r="B2437" t="s">
        <v>542</v>
      </c>
      <c r="D2437">
        <v>84293</v>
      </c>
    </row>
    <row r="2438" spans="1:4">
      <c r="A2438" s="41">
        <v>46062</v>
      </c>
      <c r="B2438" t="s">
        <v>549</v>
      </c>
      <c r="D2438">
        <v>11019</v>
      </c>
    </row>
    <row r="2439" spans="1:4">
      <c r="A2439" s="41">
        <v>46062</v>
      </c>
      <c r="B2439" t="s">
        <v>551</v>
      </c>
      <c r="D2439">
        <v>16520</v>
      </c>
    </row>
    <row r="2440" spans="1:4">
      <c r="A2440" s="41">
        <v>46062</v>
      </c>
      <c r="B2440" t="s">
        <v>568</v>
      </c>
      <c r="D2440">
        <v>156486</v>
      </c>
    </row>
    <row r="2441" spans="1:4">
      <c r="A2441" s="41">
        <v>46062</v>
      </c>
      <c r="B2441" t="s">
        <v>572</v>
      </c>
      <c r="D2441">
        <v>147191</v>
      </c>
    </row>
    <row r="2442" spans="1:4">
      <c r="A2442" s="41">
        <v>46062</v>
      </c>
      <c r="B2442" t="s">
        <v>598</v>
      </c>
      <c r="D2442">
        <v>135497</v>
      </c>
    </row>
    <row r="2443" spans="1:4">
      <c r="A2443" s="41">
        <v>46062</v>
      </c>
      <c r="B2443" t="s">
        <v>616</v>
      </c>
      <c r="D2443">
        <v>118615</v>
      </c>
    </row>
    <row r="2444" spans="1:4">
      <c r="A2444" s="41">
        <v>46062</v>
      </c>
      <c r="B2444" t="s">
        <v>624</v>
      </c>
      <c r="D2444">
        <v>88286</v>
      </c>
    </row>
    <row r="2445" spans="1:4">
      <c r="A2445" s="41">
        <v>46062</v>
      </c>
      <c r="B2445" t="s">
        <v>626</v>
      </c>
      <c r="D2445">
        <v>104483</v>
      </c>
    </row>
    <row r="2446" spans="1:4">
      <c r="A2446" s="41">
        <v>46062</v>
      </c>
      <c r="B2446" t="s">
        <v>628</v>
      </c>
      <c r="D2446">
        <v>88598</v>
      </c>
    </row>
    <row r="2447" spans="1:4">
      <c r="A2447" s="41">
        <v>46062</v>
      </c>
      <c r="B2447" t="s">
        <v>630</v>
      </c>
      <c r="D2447">
        <v>139657</v>
      </c>
    </row>
    <row r="2448" spans="1:4">
      <c r="A2448" s="41">
        <v>46062</v>
      </c>
      <c r="B2448" t="s">
        <v>634</v>
      </c>
      <c r="D2448">
        <v>104298</v>
      </c>
    </row>
    <row r="2449" spans="1:4">
      <c r="A2449" s="41">
        <v>46063</v>
      </c>
      <c r="B2449" t="s">
        <v>19</v>
      </c>
      <c r="C2449">
        <v>10147</v>
      </c>
      <c r="D2449">
        <v>256543</v>
      </c>
    </row>
    <row r="2450" spans="1:4">
      <c r="A2450" s="41">
        <v>46063</v>
      </c>
      <c r="B2450" t="s">
        <v>29</v>
      </c>
      <c r="C2450">
        <v>10644</v>
      </c>
      <c r="D2450">
        <v>257040</v>
      </c>
    </row>
    <row r="2451" spans="1:4">
      <c r="A2451" s="41">
        <v>46063</v>
      </c>
      <c r="B2451" t="s">
        <v>32</v>
      </c>
      <c r="C2451">
        <v>10345</v>
      </c>
      <c r="D2451">
        <v>249012</v>
      </c>
    </row>
    <row r="2452" spans="1:4">
      <c r="A2452" s="41">
        <v>46063</v>
      </c>
      <c r="B2452" t="s">
        <v>38</v>
      </c>
      <c r="C2452">
        <v>10848</v>
      </c>
    </row>
    <row r="2453" spans="1:4">
      <c r="A2453" s="41">
        <v>46063</v>
      </c>
      <c r="B2453" t="s">
        <v>97</v>
      </c>
      <c r="D2453">
        <v>72529</v>
      </c>
    </row>
    <row r="2454" spans="1:4">
      <c r="A2454" s="41">
        <v>46063</v>
      </c>
      <c r="B2454" t="s">
        <v>106</v>
      </c>
      <c r="D2454">
        <v>119507</v>
      </c>
    </row>
    <row r="2455" spans="1:4">
      <c r="A2455" s="41">
        <v>46063</v>
      </c>
      <c r="B2455" t="s">
        <v>121</v>
      </c>
      <c r="C2455">
        <v>7556</v>
      </c>
      <c r="D2455">
        <v>192324</v>
      </c>
    </row>
    <row r="2456" spans="1:4">
      <c r="A2456" s="41">
        <v>46063</v>
      </c>
      <c r="B2456" t="s">
        <v>128</v>
      </c>
      <c r="D2456">
        <v>643733</v>
      </c>
    </row>
    <row r="2457" spans="1:4">
      <c r="A2457" s="81">
        <v>44343</v>
      </c>
      <c r="B2457" t="s">
        <v>1192</v>
      </c>
      <c r="C2457">
        <v>12060</v>
      </c>
    </row>
    <row r="2458" spans="1:4">
      <c r="A2458" s="41">
        <v>46063</v>
      </c>
      <c r="B2458" t="s">
        <v>159</v>
      </c>
      <c r="D2458">
        <v>139762</v>
      </c>
    </row>
    <row r="2459" spans="1:4">
      <c r="A2459" s="41">
        <v>46063</v>
      </c>
      <c r="B2459" t="s">
        <v>169</v>
      </c>
      <c r="C2459">
        <v>9284</v>
      </c>
      <c r="D2459">
        <v>196355</v>
      </c>
    </row>
    <row r="2460" spans="1:4">
      <c r="A2460" s="41">
        <v>46063</v>
      </c>
      <c r="B2460" t="s">
        <v>175</v>
      </c>
      <c r="C2460">
        <v>9132</v>
      </c>
      <c r="D2460">
        <v>206802</v>
      </c>
    </row>
    <row r="2461" spans="1:4">
      <c r="A2461" s="41">
        <v>46063</v>
      </c>
      <c r="B2461" t="s">
        <v>185</v>
      </c>
      <c r="C2461">
        <v>3148</v>
      </c>
      <c r="D2461">
        <v>571151</v>
      </c>
    </row>
    <row r="2462" spans="1:4">
      <c r="A2462" s="41">
        <v>46063</v>
      </c>
      <c r="B2462" t="s">
        <v>193</v>
      </c>
      <c r="D2462">
        <v>132655</v>
      </c>
    </row>
    <row r="2463" spans="1:4">
      <c r="A2463" s="41">
        <v>46063</v>
      </c>
      <c r="B2463" t="s">
        <v>254</v>
      </c>
      <c r="C2463">
        <v>15591</v>
      </c>
    </row>
    <row r="2464" spans="1:4">
      <c r="A2464" s="41">
        <v>46063</v>
      </c>
      <c r="B2464" t="s">
        <v>258</v>
      </c>
      <c r="C2464">
        <v>2590</v>
      </c>
    </row>
    <row r="2465" spans="1:4">
      <c r="A2465" s="41">
        <v>46063</v>
      </c>
      <c r="B2465" t="s">
        <v>288</v>
      </c>
      <c r="C2465">
        <v>1305</v>
      </c>
    </row>
    <row r="2466" spans="1:4">
      <c r="A2466" s="41">
        <v>46063</v>
      </c>
      <c r="B2466" t="s">
        <v>288</v>
      </c>
      <c r="C2466">
        <v>1315</v>
      </c>
    </row>
    <row r="2467" spans="1:4">
      <c r="A2467" s="41">
        <v>46063</v>
      </c>
      <c r="B2467" t="s">
        <v>301</v>
      </c>
      <c r="C2467">
        <v>14483</v>
      </c>
    </row>
    <row r="2468" spans="1:4">
      <c r="A2468" s="41">
        <v>46063</v>
      </c>
      <c r="B2468" t="s">
        <v>324</v>
      </c>
      <c r="C2468">
        <v>7014</v>
      </c>
    </row>
    <row r="2469" spans="1:4">
      <c r="A2469" s="41">
        <v>46063</v>
      </c>
      <c r="B2469" t="s">
        <v>356</v>
      </c>
      <c r="C2469">
        <v>15572</v>
      </c>
    </row>
    <row r="2470" spans="1:4">
      <c r="A2470" s="41">
        <v>46063</v>
      </c>
      <c r="B2470" t="s">
        <v>379</v>
      </c>
      <c r="C2470">
        <v>3473</v>
      </c>
    </row>
    <row r="2471" spans="1:4">
      <c r="A2471" s="41">
        <v>46063</v>
      </c>
      <c r="B2471" t="s">
        <v>396</v>
      </c>
      <c r="C2471">
        <v>8561</v>
      </c>
    </row>
    <row r="2472" spans="1:4">
      <c r="A2472" s="41">
        <v>46063</v>
      </c>
      <c r="B2472" t="s">
        <v>414</v>
      </c>
      <c r="C2472">
        <v>10243</v>
      </c>
    </row>
    <row r="2473" spans="1:4">
      <c r="A2473" s="41">
        <v>46063</v>
      </c>
      <c r="B2473" t="s">
        <v>424</v>
      </c>
      <c r="C2473">
        <v>537</v>
      </c>
    </row>
    <row r="2474" spans="1:4">
      <c r="A2474" s="41">
        <v>46063</v>
      </c>
      <c r="B2474" t="s">
        <v>449</v>
      </c>
      <c r="D2474">
        <v>1645</v>
      </c>
    </row>
    <row r="2475" spans="1:4">
      <c r="A2475" s="41">
        <v>46063</v>
      </c>
      <c r="B2475" t="s">
        <v>456</v>
      </c>
      <c r="C2475">
        <v>2076</v>
      </c>
    </row>
    <row r="2476" spans="1:4">
      <c r="A2476" s="41">
        <v>46063</v>
      </c>
      <c r="B2476" t="s">
        <v>465</v>
      </c>
      <c r="D2476">
        <v>101147</v>
      </c>
    </row>
    <row r="2477" spans="1:4">
      <c r="A2477" s="41">
        <v>46063</v>
      </c>
      <c r="B2477" t="s">
        <v>469</v>
      </c>
      <c r="D2477">
        <v>70702</v>
      </c>
    </row>
    <row r="2478" spans="1:4">
      <c r="A2478" s="41">
        <v>46063</v>
      </c>
      <c r="B2478" t="s">
        <v>508</v>
      </c>
      <c r="D2478">
        <v>47444</v>
      </c>
    </row>
    <row r="2479" spans="1:4">
      <c r="A2479" s="41">
        <v>46063</v>
      </c>
      <c r="B2479" t="s">
        <v>526</v>
      </c>
      <c r="D2479">
        <v>59912</v>
      </c>
    </row>
    <row r="2480" spans="1:4">
      <c r="A2480" s="41">
        <v>46063</v>
      </c>
      <c r="B2480" t="s">
        <v>528</v>
      </c>
      <c r="D2480">
        <v>63520</v>
      </c>
    </row>
    <row r="2481" spans="1:4">
      <c r="A2481" s="41">
        <v>46063</v>
      </c>
      <c r="B2481" t="s">
        <v>533</v>
      </c>
      <c r="D2481">
        <v>70664</v>
      </c>
    </row>
    <row r="2482" spans="1:4">
      <c r="A2482" s="41">
        <v>46063</v>
      </c>
      <c r="B2482" t="s">
        <v>535</v>
      </c>
      <c r="D2482">
        <v>67664</v>
      </c>
    </row>
    <row r="2483" spans="1:4">
      <c r="A2483" s="41">
        <v>46063</v>
      </c>
      <c r="B2483" t="s">
        <v>537</v>
      </c>
      <c r="D2483">
        <v>91900</v>
      </c>
    </row>
    <row r="2484" spans="1:4">
      <c r="A2484" s="41">
        <v>46063</v>
      </c>
      <c r="B2484" t="s">
        <v>539</v>
      </c>
      <c r="D2484">
        <v>35742</v>
      </c>
    </row>
    <row r="2485" spans="1:4">
      <c r="A2485" s="41">
        <v>46063</v>
      </c>
      <c r="B2485" t="s">
        <v>540</v>
      </c>
      <c r="D2485">
        <v>60050</v>
      </c>
    </row>
    <row r="2486" spans="1:4">
      <c r="A2486" s="41">
        <v>46063</v>
      </c>
      <c r="B2486" t="s">
        <v>552</v>
      </c>
      <c r="D2486">
        <v>12087</v>
      </c>
    </row>
    <row r="2487" spans="1:4">
      <c r="A2487" s="41">
        <v>46063</v>
      </c>
      <c r="B2487" t="s">
        <v>575</v>
      </c>
      <c r="D2487">
        <v>235932</v>
      </c>
    </row>
    <row r="2488" spans="1:4">
      <c r="A2488" s="41">
        <v>46063</v>
      </c>
      <c r="B2488" t="s">
        <v>593</v>
      </c>
      <c r="D2488">
        <v>161820</v>
      </c>
    </row>
    <row r="2489" spans="1:4">
      <c r="A2489" s="41">
        <v>46063</v>
      </c>
      <c r="B2489" t="s">
        <v>608</v>
      </c>
      <c r="D2489">
        <v>298424</v>
      </c>
    </row>
    <row r="2490" spans="1:4">
      <c r="A2490" s="41">
        <v>46063</v>
      </c>
      <c r="B2490" t="s">
        <v>622</v>
      </c>
      <c r="D2490">
        <v>108983</v>
      </c>
    </row>
    <row r="2491" spans="1:4">
      <c r="A2491" s="41">
        <v>46063</v>
      </c>
      <c r="B2491" t="s">
        <v>634</v>
      </c>
      <c r="D2491">
        <v>104444</v>
      </c>
    </row>
    <row r="2492" spans="1:4">
      <c r="A2492" s="41">
        <v>46064</v>
      </c>
      <c r="B2492" t="s">
        <v>19</v>
      </c>
      <c r="C2492">
        <v>10154</v>
      </c>
      <c r="D2492">
        <v>256730</v>
      </c>
    </row>
    <row r="2493" spans="1:4">
      <c r="A2493" s="41">
        <v>46064</v>
      </c>
      <c r="B2493" t="s">
        <v>29</v>
      </c>
      <c r="C2493">
        <v>10653</v>
      </c>
      <c r="D2493">
        <v>257144</v>
      </c>
    </row>
    <row r="2494" spans="1:4">
      <c r="A2494" s="41">
        <v>46064</v>
      </c>
      <c r="B2494" t="s">
        <v>32</v>
      </c>
      <c r="C2494">
        <v>10350</v>
      </c>
      <c r="D2494">
        <v>249242</v>
      </c>
    </row>
    <row r="2495" spans="1:4">
      <c r="A2495" s="41">
        <v>46064</v>
      </c>
      <c r="B2495" t="s">
        <v>38</v>
      </c>
      <c r="C2495">
        <v>10852</v>
      </c>
    </row>
    <row r="2496" spans="1:4">
      <c r="A2496" s="41">
        <v>46064</v>
      </c>
      <c r="B2496" t="s">
        <v>50</v>
      </c>
      <c r="D2496">
        <v>273295</v>
      </c>
    </row>
    <row r="2497" spans="1:5">
      <c r="A2497" s="41">
        <v>46064</v>
      </c>
      <c r="B2497" t="s">
        <v>68</v>
      </c>
      <c r="D2497">
        <v>333912</v>
      </c>
      <c r="E2497" t="s">
        <v>36</v>
      </c>
    </row>
    <row r="2498" spans="1:5">
      <c r="A2498" s="41">
        <v>46064</v>
      </c>
      <c r="B2498" t="s">
        <v>78</v>
      </c>
      <c r="D2498">
        <v>510385</v>
      </c>
    </row>
    <row r="2499" spans="1:5">
      <c r="A2499" s="41">
        <v>46064</v>
      </c>
      <c r="B2499" t="s">
        <v>81</v>
      </c>
      <c r="C2499">
        <v>2649</v>
      </c>
      <c r="D2499">
        <v>192184</v>
      </c>
    </row>
    <row r="2500" spans="1:5">
      <c r="A2500" s="41">
        <v>46064</v>
      </c>
      <c r="B2500" t="s">
        <v>93</v>
      </c>
      <c r="C2500">
        <v>3606</v>
      </c>
      <c r="D2500">
        <v>98202</v>
      </c>
    </row>
    <row r="2501" spans="1:5">
      <c r="A2501" s="41">
        <v>46064</v>
      </c>
      <c r="B2501" t="s">
        <v>121</v>
      </c>
      <c r="C2501">
        <v>7566</v>
      </c>
      <c r="D2501">
        <v>192594</v>
      </c>
    </row>
    <row r="2502" spans="1:5">
      <c r="A2502" s="41">
        <v>46064</v>
      </c>
      <c r="B2502" t="s">
        <v>126</v>
      </c>
      <c r="D2502">
        <v>61167</v>
      </c>
    </row>
    <row r="2503" spans="1:5">
      <c r="A2503" s="41">
        <v>46064</v>
      </c>
      <c r="B2503" t="s">
        <v>128</v>
      </c>
      <c r="D2503">
        <v>644093</v>
      </c>
    </row>
    <row r="2504" spans="1:5">
      <c r="A2504" s="41">
        <v>46064</v>
      </c>
      <c r="B2504" t="s">
        <v>138</v>
      </c>
      <c r="D2504">
        <v>291352</v>
      </c>
    </row>
    <row r="2505" spans="1:5">
      <c r="A2505" s="81">
        <v>44352</v>
      </c>
      <c r="B2505" t="s">
        <v>306</v>
      </c>
      <c r="C2505">
        <v>18530</v>
      </c>
    </row>
    <row r="2506" spans="1:5">
      <c r="A2506" s="41">
        <v>46064</v>
      </c>
      <c r="B2506" t="s">
        <v>661</v>
      </c>
      <c r="D2506">
        <v>311180</v>
      </c>
    </row>
    <row r="2507" spans="1:5">
      <c r="A2507" s="41">
        <v>46064</v>
      </c>
      <c r="B2507" t="s">
        <v>169</v>
      </c>
      <c r="C2507">
        <v>9293</v>
      </c>
      <c r="D2507">
        <v>196485</v>
      </c>
    </row>
    <row r="2508" spans="1:5">
      <c r="A2508" s="41">
        <v>46064</v>
      </c>
      <c r="B2508" t="s">
        <v>175</v>
      </c>
      <c r="C2508">
        <v>9141</v>
      </c>
      <c r="D2508">
        <v>207007</v>
      </c>
    </row>
    <row r="2509" spans="1:5">
      <c r="A2509" s="41">
        <v>46064</v>
      </c>
      <c r="B2509" t="s">
        <v>227</v>
      </c>
      <c r="C2509">
        <v>733</v>
      </c>
    </row>
    <row r="2510" spans="1:5">
      <c r="A2510" s="41">
        <v>46064</v>
      </c>
      <c r="B2510" t="s">
        <v>234</v>
      </c>
      <c r="C2510">
        <v>1939</v>
      </c>
    </row>
    <row r="2511" spans="1:5">
      <c r="A2511" s="41">
        <v>46064</v>
      </c>
      <c r="B2511" t="s">
        <v>246</v>
      </c>
      <c r="C2511">
        <v>6440</v>
      </c>
    </row>
    <row r="2512" spans="1:5">
      <c r="A2512" s="41">
        <v>46064</v>
      </c>
      <c r="B2512" t="s">
        <v>249</v>
      </c>
      <c r="C2512">
        <v>4804</v>
      </c>
    </row>
    <row r="2513" spans="1:3">
      <c r="A2513" s="41">
        <v>46064</v>
      </c>
      <c r="B2513" t="s">
        <v>254</v>
      </c>
      <c r="C2513">
        <v>15602</v>
      </c>
    </row>
    <row r="2514" spans="1:3">
      <c r="A2514" s="41">
        <v>46064</v>
      </c>
      <c r="B2514" t="s">
        <v>258</v>
      </c>
      <c r="C2514">
        <v>2600</v>
      </c>
    </row>
    <row r="2515" spans="1:3">
      <c r="A2515" s="41">
        <v>46064</v>
      </c>
      <c r="B2515" t="s">
        <v>268</v>
      </c>
      <c r="C2515">
        <v>5549</v>
      </c>
    </row>
    <row r="2516" spans="1:3">
      <c r="A2516" s="41">
        <v>46064</v>
      </c>
      <c r="B2516" t="s">
        <v>273</v>
      </c>
      <c r="C2516">
        <v>4097</v>
      </c>
    </row>
    <row r="2517" spans="1:3">
      <c r="A2517" s="41">
        <v>46064</v>
      </c>
      <c r="B2517" t="s">
        <v>275</v>
      </c>
      <c r="C2517">
        <v>1384</v>
      </c>
    </row>
    <row r="2518" spans="1:3">
      <c r="A2518" s="41">
        <v>46064</v>
      </c>
      <c r="B2518" t="s">
        <v>288</v>
      </c>
      <c r="C2518">
        <v>1323</v>
      </c>
    </row>
    <row r="2519" spans="1:3">
      <c r="A2519" s="41">
        <v>46064</v>
      </c>
      <c r="B2519" t="s">
        <v>353</v>
      </c>
      <c r="C2519">
        <v>8263</v>
      </c>
    </row>
    <row r="2520" spans="1:3">
      <c r="A2520" s="41">
        <v>46064</v>
      </c>
      <c r="B2520" t="s">
        <v>378</v>
      </c>
      <c r="C2520">
        <v>3668</v>
      </c>
    </row>
    <row r="2521" spans="1:3">
      <c r="A2521" s="41">
        <v>46064</v>
      </c>
      <c r="B2521" t="s">
        <v>405</v>
      </c>
      <c r="C2521">
        <v>12647</v>
      </c>
    </row>
    <row r="2522" spans="1:3">
      <c r="A2522" s="41">
        <v>46064</v>
      </c>
      <c r="B2522" t="s">
        <v>414</v>
      </c>
      <c r="C2522">
        <v>10251</v>
      </c>
    </row>
    <row r="2523" spans="1:3">
      <c r="A2523" s="41">
        <v>46064</v>
      </c>
      <c r="B2523" t="s">
        <v>417</v>
      </c>
      <c r="C2523">
        <v>8170</v>
      </c>
    </row>
    <row r="2524" spans="1:3">
      <c r="A2524" s="41">
        <v>46064</v>
      </c>
      <c r="B2524" t="s">
        <v>420</v>
      </c>
      <c r="C2524">
        <v>5588</v>
      </c>
    </row>
    <row r="2525" spans="1:3">
      <c r="A2525" s="41">
        <v>46064</v>
      </c>
      <c r="B2525" t="s">
        <v>431</v>
      </c>
      <c r="C2525">
        <v>9970</v>
      </c>
    </row>
    <row r="2526" spans="1:3">
      <c r="A2526" s="41">
        <v>46064</v>
      </c>
      <c r="B2526" t="s">
        <v>440</v>
      </c>
      <c r="C2526">
        <v>1925</v>
      </c>
    </row>
    <row r="2527" spans="1:3">
      <c r="A2527" s="41">
        <v>46064</v>
      </c>
      <c r="B2527" t="s">
        <v>447</v>
      </c>
      <c r="C2527">
        <v>1646</v>
      </c>
    </row>
    <row r="2528" spans="1:3">
      <c r="A2528" s="41">
        <v>46064</v>
      </c>
      <c r="B2528" t="s">
        <v>456</v>
      </c>
      <c r="C2528">
        <v>2086</v>
      </c>
    </row>
    <row r="2529" spans="1:4">
      <c r="A2529" s="41">
        <v>46064</v>
      </c>
      <c r="B2529" t="s">
        <v>465</v>
      </c>
      <c r="D2529">
        <v>101540</v>
      </c>
    </row>
    <row r="2530" spans="1:4">
      <c r="A2530" s="41">
        <v>46064</v>
      </c>
      <c r="B2530" t="s">
        <v>496</v>
      </c>
      <c r="D2530">
        <v>110271</v>
      </c>
    </row>
    <row r="2531" spans="1:4">
      <c r="A2531" s="41">
        <v>46064</v>
      </c>
      <c r="B2531" t="s">
        <v>501</v>
      </c>
      <c r="D2531">
        <v>86400</v>
      </c>
    </row>
    <row r="2532" spans="1:4">
      <c r="A2532" s="41">
        <v>46064</v>
      </c>
      <c r="B2532" t="s">
        <v>506</v>
      </c>
      <c r="D2532">
        <v>59796</v>
      </c>
    </row>
    <row r="2533" spans="1:4">
      <c r="A2533" s="41">
        <v>46064</v>
      </c>
      <c r="B2533" t="s">
        <v>91</v>
      </c>
      <c r="C2533">
        <v>3554</v>
      </c>
      <c r="D2533">
        <v>92207</v>
      </c>
    </row>
    <row r="2534" spans="1:4">
      <c r="A2534" s="41">
        <v>46064</v>
      </c>
      <c r="B2534" t="s">
        <v>523</v>
      </c>
      <c r="D2534">
        <v>56148</v>
      </c>
    </row>
    <row r="2535" spans="1:4">
      <c r="A2535" s="41">
        <v>46064</v>
      </c>
      <c r="B2535" t="s">
        <v>537</v>
      </c>
      <c r="D2535">
        <v>92092</v>
      </c>
    </row>
    <row r="2536" spans="1:4">
      <c r="A2536" s="41">
        <v>46064</v>
      </c>
      <c r="B2536" t="s">
        <v>539</v>
      </c>
      <c r="D2536">
        <v>35987</v>
      </c>
    </row>
    <row r="2537" spans="1:4">
      <c r="A2537" s="41">
        <v>46064</v>
      </c>
      <c r="B2537" t="s">
        <v>542</v>
      </c>
      <c r="D2537">
        <v>84767</v>
      </c>
    </row>
    <row r="2538" spans="1:4">
      <c r="A2538" s="41">
        <v>46064</v>
      </c>
      <c r="B2538" t="s">
        <v>549</v>
      </c>
      <c r="D2538">
        <v>11449</v>
      </c>
    </row>
    <row r="2539" spans="1:4">
      <c r="A2539" s="41">
        <v>46064</v>
      </c>
      <c r="B2539" t="s">
        <v>559</v>
      </c>
      <c r="D2539">
        <v>558107</v>
      </c>
    </row>
    <row r="2540" spans="1:4">
      <c r="A2540" s="41">
        <v>46064</v>
      </c>
      <c r="B2540" t="s">
        <v>596</v>
      </c>
      <c r="D2540">
        <v>138911</v>
      </c>
    </row>
    <row r="2541" spans="1:4">
      <c r="A2541" s="41">
        <v>46064</v>
      </c>
      <c r="B2541" t="s">
        <v>598</v>
      </c>
      <c r="D2541">
        <v>135931</v>
      </c>
    </row>
    <row r="2542" spans="1:4">
      <c r="A2542" s="41">
        <v>46064</v>
      </c>
      <c r="B2542" t="s">
        <v>611</v>
      </c>
      <c r="D2542">
        <v>258614</v>
      </c>
    </row>
    <row r="2543" spans="1:4">
      <c r="A2543" s="41">
        <v>46064</v>
      </c>
      <c r="B2543" t="s">
        <v>620</v>
      </c>
      <c r="D2543">
        <v>123257</v>
      </c>
    </row>
    <row r="2544" spans="1:4">
      <c r="A2544" s="41">
        <v>46064</v>
      </c>
      <c r="B2544" t="s">
        <v>624</v>
      </c>
      <c r="D2544">
        <v>88519</v>
      </c>
    </row>
    <row r="2545" spans="1:5">
      <c r="A2545" s="41">
        <v>46064</v>
      </c>
      <c r="B2545" t="s">
        <v>626</v>
      </c>
      <c r="D2545">
        <v>104787</v>
      </c>
    </row>
    <row r="2546" spans="1:5">
      <c r="A2546" s="41">
        <v>46064</v>
      </c>
      <c r="B2546" t="s">
        <v>630</v>
      </c>
      <c r="D2546">
        <v>139774</v>
      </c>
    </row>
    <row r="2547" spans="1:5">
      <c r="A2547" s="41">
        <v>46064</v>
      </c>
      <c r="B2547" t="s">
        <v>634</v>
      </c>
      <c r="D2547">
        <v>104631</v>
      </c>
    </row>
    <row r="2548" spans="1:5">
      <c r="A2548" s="41">
        <v>46065</v>
      </c>
      <c r="B2548" t="s">
        <v>19</v>
      </c>
      <c r="C2548">
        <v>10165</v>
      </c>
      <c r="D2548">
        <v>256940</v>
      </c>
    </row>
    <row r="2549" spans="1:5">
      <c r="A2549" s="41">
        <v>46065</v>
      </c>
      <c r="B2549" t="s">
        <v>32</v>
      </c>
      <c r="C2549">
        <v>10361</v>
      </c>
      <c r="D2549">
        <v>249683</v>
      </c>
    </row>
    <row r="2550" spans="1:5">
      <c r="A2550" s="41">
        <v>46065</v>
      </c>
      <c r="B2550" t="s">
        <v>38</v>
      </c>
      <c r="C2550">
        <v>10863</v>
      </c>
    </row>
    <row r="2551" spans="1:5">
      <c r="A2551" s="41">
        <v>46065</v>
      </c>
      <c r="B2551" t="s">
        <v>65</v>
      </c>
      <c r="C2551">
        <v>3754</v>
      </c>
    </row>
    <row r="2552" spans="1:5">
      <c r="A2552" s="41">
        <v>46065</v>
      </c>
      <c r="B2552" t="s">
        <v>78</v>
      </c>
      <c r="D2552">
        <v>511446</v>
      </c>
    </row>
    <row r="2553" spans="1:5">
      <c r="A2553" s="41">
        <v>46065</v>
      </c>
      <c r="B2553" t="s">
        <v>97</v>
      </c>
      <c r="D2553">
        <v>73005</v>
      </c>
    </row>
    <row r="2554" spans="1:5">
      <c r="A2554" s="41">
        <v>46065</v>
      </c>
      <c r="B2554" t="s">
        <v>106</v>
      </c>
      <c r="D2554">
        <v>120139</v>
      </c>
    </row>
    <row r="2555" spans="1:5">
      <c r="A2555" s="41">
        <v>46065</v>
      </c>
      <c r="B2555" t="s">
        <v>121</v>
      </c>
      <c r="C2555">
        <v>7576</v>
      </c>
      <c r="D2555">
        <v>192744</v>
      </c>
    </row>
    <row r="2556" spans="1:5">
      <c r="A2556" s="41">
        <v>46065</v>
      </c>
      <c r="B2556" t="s">
        <v>128</v>
      </c>
      <c r="D2556">
        <v>644304</v>
      </c>
    </row>
    <row r="2557" spans="1:5">
      <c r="A2557" s="41">
        <v>46065</v>
      </c>
      <c r="B2557" t="s">
        <v>169</v>
      </c>
      <c r="C2557">
        <v>9301</v>
      </c>
      <c r="D2557">
        <v>196630</v>
      </c>
    </row>
    <row r="2558" spans="1:5">
      <c r="A2558" s="41">
        <v>46065</v>
      </c>
      <c r="B2558" t="s">
        <v>175</v>
      </c>
      <c r="C2558">
        <v>9150</v>
      </c>
      <c r="D2558">
        <v>207186</v>
      </c>
    </row>
    <row r="2559" spans="1:5">
      <c r="A2559" s="41">
        <v>46065</v>
      </c>
      <c r="B2559" t="s">
        <v>185</v>
      </c>
      <c r="E2559" t="s">
        <v>33</v>
      </c>
    </row>
    <row r="2560" spans="1:5">
      <c r="A2560" s="41">
        <v>46065</v>
      </c>
      <c r="B2560" t="s">
        <v>258</v>
      </c>
      <c r="C2560">
        <v>2609</v>
      </c>
    </row>
    <row r="2561" spans="1:4">
      <c r="A2561" s="41">
        <v>46065</v>
      </c>
      <c r="B2561" t="s">
        <v>263</v>
      </c>
      <c r="C2561">
        <v>9877</v>
      </c>
    </row>
    <row r="2562" spans="1:4">
      <c r="A2562" s="41">
        <v>46065</v>
      </c>
      <c r="B2562" t="s">
        <v>288</v>
      </c>
      <c r="C2562">
        <v>1333</v>
      </c>
    </row>
    <row r="2563" spans="1:4">
      <c r="A2563" s="41">
        <v>46065</v>
      </c>
      <c r="B2563" t="s">
        <v>301</v>
      </c>
      <c r="C2563">
        <v>14492</v>
      </c>
    </row>
    <row r="2564" spans="1:4">
      <c r="A2564" s="41">
        <v>46065</v>
      </c>
      <c r="B2564" t="s">
        <v>330</v>
      </c>
      <c r="C2564">
        <v>25943</v>
      </c>
    </row>
    <row r="2565" spans="1:4">
      <c r="A2565" s="41">
        <v>46065</v>
      </c>
      <c r="B2565" t="s">
        <v>379</v>
      </c>
      <c r="C2565">
        <v>3486</v>
      </c>
    </row>
    <row r="2566" spans="1:4">
      <c r="A2566" s="41">
        <v>46065</v>
      </c>
      <c r="B2566" t="s">
        <v>408</v>
      </c>
      <c r="C2566">
        <v>4336</v>
      </c>
    </row>
    <row r="2567" spans="1:4">
      <c r="A2567" s="41">
        <v>46065</v>
      </c>
      <c r="B2567" t="s">
        <v>417</v>
      </c>
      <c r="C2567">
        <v>8180</v>
      </c>
    </row>
    <row r="2568" spans="1:4">
      <c r="A2568" s="41">
        <v>46065</v>
      </c>
      <c r="B2568" t="s">
        <v>424</v>
      </c>
      <c r="C2568">
        <v>541</v>
      </c>
    </row>
    <row r="2569" spans="1:4">
      <c r="A2569" s="41">
        <v>46065</v>
      </c>
      <c r="B2569" t="s">
        <v>449</v>
      </c>
      <c r="C2569">
        <v>1669</v>
      </c>
    </row>
    <row r="2570" spans="1:4">
      <c r="A2570" s="41">
        <v>46065</v>
      </c>
      <c r="B2570" t="s">
        <v>456</v>
      </c>
      <c r="C2570">
        <v>2091</v>
      </c>
    </row>
    <row r="2571" spans="1:4">
      <c r="A2571" s="41">
        <v>46065</v>
      </c>
      <c r="B2571" t="s">
        <v>458</v>
      </c>
      <c r="D2571">
        <v>93835</v>
      </c>
    </row>
    <row r="2572" spans="1:4">
      <c r="A2572" s="41">
        <v>46065</v>
      </c>
      <c r="B2572" t="s">
        <v>465</v>
      </c>
      <c r="D2572">
        <v>101877</v>
      </c>
    </row>
    <row r="2573" spans="1:4">
      <c r="A2573" s="41">
        <v>46065</v>
      </c>
      <c r="B2573" t="s">
        <v>488</v>
      </c>
      <c r="D2573">
        <v>102147</v>
      </c>
    </row>
    <row r="2574" spans="1:4">
      <c r="A2574" s="41">
        <v>46065</v>
      </c>
      <c r="B2574" t="s">
        <v>495</v>
      </c>
      <c r="D2574">
        <v>106355</v>
      </c>
    </row>
    <row r="2575" spans="1:4">
      <c r="A2575" s="41">
        <v>46065</v>
      </c>
      <c r="B2575" t="s">
        <v>512</v>
      </c>
      <c r="D2575">
        <v>48698</v>
      </c>
    </row>
    <row r="2576" spans="1:4">
      <c r="A2576" s="41">
        <v>46065</v>
      </c>
      <c r="B2576" t="s">
        <v>515</v>
      </c>
      <c r="D2576">
        <v>67028</v>
      </c>
    </row>
    <row r="2577" spans="1:4">
      <c r="A2577" s="41">
        <v>46065</v>
      </c>
      <c r="B2577" t="s">
        <v>518</v>
      </c>
      <c r="D2577">
        <v>72691</v>
      </c>
    </row>
    <row r="2578" spans="1:4">
      <c r="A2578" s="41">
        <v>46065</v>
      </c>
      <c r="B2578" t="s">
        <v>518</v>
      </c>
      <c r="D2578">
        <v>72691</v>
      </c>
    </row>
    <row r="2579" spans="1:4">
      <c r="A2579" s="41">
        <v>46065</v>
      </c>
      <c r="B2579" t="s">
        <v>526</v>
      </c>
      <c r="D2579">
        <v>60109</v>
      </c>
    </row>
    <row r="2580" spans="1:4">
      <c r="A2580" s="41">
        <v>46065</v>
      </c>
      <c r="B2580" t="s">
        <v>528</v>
      </c>
      <c r="D2580">
        <v>64444</v>
      </c>
    </row>
    <row r="2581" spans="1:4">
      <c r="A2581" s="41">
        <v>46065</v>
      </c>
      <c r="B2581" t="s">
        <v>535</v>
      </c>
      <c r="D2581">
        <v>68032</v>
      </c>
    </row>
    <row r="2582" spans="1:4">
      <c r="A2582" s="41">
        <v>46065</v>
      </c>
      <c r="B2582" t="s">
        <v>537</v>
      </c>
      <c r="D2582">
        <v>92773</v>
      </c>
    </row>
    <row r="2583" spans="1:4">
      <c r="A2583" s="41">
        <v>46065</v>
      </c>
      <c r="B2583" t="s">
        <v>539</v>
      </c>
      <c r="D2583">
        <v>36396</v>
      </c>
    </row>
    <row r="2584" spans="1:4">
      <c r="A2584" s="41">
        <v>46065</v>
      </c>
      <c r="B2584" t="s">
        <v>542</v>
      </c>
      <c r="D2584">
        <v>85013</v>
      </c>
    </row>
    <row r="2585" spans="1:4">
      <c r="A2585" s="41">
        <v>46065</v>
      </c>
      <c r="B2585" t="s">
        <v>593</v>
      </c>
      <c r="D2585">
        <v>162402</v>
      </c>
    </row>
    <row r="2586" spans="1:4">
      <c r="A2586" s="41">
        <v>46065</v>
      </c>
      <c r="B2586" t="s">
        <v>593</v>
      </c>
      <c r="D2586">
        <v>162402</v>
      </c>
    </row>
    <row r="2587" spans="1:4">
      <c r="A2587" s="41">
        <v>46065</v>
      </c>
      <c r="B2587" t="s">
        <v>596</v>
      </c>
      <c r="D2587">
        <v>139436</v>
      </c>
    </row>
    <row r="2588" spans="1:4">
      <c r="A2588" s="41">
        <v>46065</v>
      </c>
      <c r="B2588" t="s">
        <v>614</v>
      </c>
      <c r="D2588">
        <v>146022</v>
      </c>
    </row>
    <row r="2589" spans="1:4">
      <c r="A2589" s="41">
        <v>46065</v>
      </c>
      <c r="B2589" t="s">
        <v>622</v>
      </c>
      <c r="D2589">
        <v>109118</v>
      </c>
    </row>
    <row r="2590" spans="1:4">
      <c r="A2590" s="41">
        <v>46065</v>
      </c>
      <c r="B2590" t="s">
        <v>634</v>
      </c>
      <c r="D2590">
        <v>104845</v>
      </c>
    </row>
    <row r="2591" spans="1:4">
      <c r="A2591" s="41">
        <v>46066</v>
      </c>
      <c r="B2591" t="s">
        <v>19</v>
      </c>
      <c r="C2591">
        <v>10170</v>
      </c>
      <c r="D2591">
        <v>257115</v>
      </c>
    </row>
    <row r="2592" spans="1:4">
      <c r="A2592" s="41">
        <v>46066</v>
      </c>
      <c r="B2592" t="s">
        <v>32</v>
      </c>
      <c r="C2592">
        <v>10375</v>
      </c>
      <c r="D2592">
        <v>249896</v>
      </c>
    </row>
    <row r="2593" spans="1:5">
      <c r="A2593" s="41">
        <v>46066</v>
      </c>
      <c r="B2593" t="s">
        <v>50</v>
      </c>
      <c r="D2593">
        <v>273432</v>
      </c>
    </row>
    <row r="2594" spans="1:5">
      <c r="A2594" s="41">
        <v>46066</v>
      </c>
      <c r="B2594" t="s">
        <v>89</v>
      </c>
      <c r="C2594">
        <v>3409</v>
      </c>
      <c r="D2594">
        <v>87555</v>
      </c>
    </row>
    <row r="2595" spans="1:5">
      <c r="A2595" s="41">
        <v>46066</v>
      </c>
      <c r="B2595" t="s">
        <v>89</v>
      </c>
      <c r="C2595">
        <v>3411</v>
      </c>
      <c r="D2595">
        <v>87689</v>
      </c>
    </row>
    <row r="2596" spans="1:5">
      <c r="A2596" s="41">
        <v>46066</v>
      </c>
      <c r="B2596" t="s">
        <v>97</v>
      </c>
      <c r="D2596">
        <v>73422</v>
      </c>
    </row>
    <row r="2597" spans="1:5">
      <c r="A2597" s="41">
        <v>46066</v>
      </c>
      <c r="B2597" t="s">
        <v>661</v>
      </c>
      <c r="D2597">
        <v>311953</v>
      </c>
    </row>
    <row r="2598" spans="1:5">
      <c r="A2598" s="41">
        <v>46066</v>
      </c>
      <c r="B2598" t="s">
        <v>175</v>
      </c>
      <c r="C2598">
        <v>9156</v>
      </c>
      <c r="D2598">
        <v>207300</v>
      </c>
    </row>
    <row r="2599" spans="1:5">
      <c r="A2599" s="41">
        <v>46066</v>
      </c>
      <c r="B2599" t="s">
        <v>227</v>
      </c>
      <c r="C2599">
        <v>744</v>
      </c>
      <c r="E2599" t="s">
        <v>84</v>
      </c>
    </row>
    <row r="2600" spans="1:5">
      <c r="A2600" s="41">
        <v>46066</v>
      </c>
      <c r="B2600" t="s">
        <v>268</v>
      </c>
      <c r="C2600">
        <v>5558</v>
      </c>
    </row>
    <row r="2601" spans="1:5">
      <c r="A2601" s="41">
        <v>46066</v>
      </c>
      <c r="B2601" t="s">
        <v>273</v>
      </c>
      <c r="C2601">
        <v>4111</v>
      </c>
    </row>
    <row r="2602" spans="1:5">
      <c r="A2602" s="41">
        <v>46066</v>
      </c>
      <c r="B2602" t="s">
        <v>290</v>
      </c>
      <c r="C2602">
        <v>1865</v>
      </c>
    </row>
    <row r="2603" spans="1:5">
      <c r="A2603" s="41">
        <v>46066</v>
      </c>
      <c r="B2603" t="s">
        <v>299</v>
      </c>
      <c r="C2603">
        <v>8563</v>
      </c>
    </row>
    <row r="2604" spans="1:5">
      <c r="A2604" s="41">
        <v>46066</v>
      </c>
      <c r="B2604" t="s">
        <v>305</v>
      </c>
      <c r="C2604" s="50">
        <v>16886</v>
      </c>
    </row>
    <row r="2605" spans="1:5">
      <c r="A2605" s="41">
        <v>46066</v>
      </c>
      <c r="B2605" t="s">
        <v>420</v>
      </c>
      <c r="C2605">
        <v>5599</v>
      </c>
    </row>
    <row r="2606" spans="1:5">
      <c r="A2606" s="41">
        <v>46066</v>
      </c>
      <c r="B2606" t="s">
        <v>431</v>
      </c>
      <c r="C2606">
        <v>9984</v>
      </c>
    </row>
    <row r="2607" spans="1:5">
      <c r="A2607" s="41">
        <v>46066</v>
      </c>
      <c r="B2607" t="s">
        <v>443</v>
      </c>
      <c r="C2607">
        <v>2261</v>
      </c>
    </row>
    <row r="2608" spans="1:5">
      <c r="A2608" s="41">
        <v>46066</v>
      </c>
      <c r="B2608" t="s">
        <v>443</v>
      </c>
      <c r="C2608">
        <v>2273</v>
      </c>
    </row>
    <row r="2609" spans="1:4">
      <c r="A2609" s="41">
        <v>46066</v>
      </c>
      <c r="B2609" t="s">
        <v>447</v>
      </c>
      <c r="C2609">
        <v>1650</v>
      </c>
    </row>
    <row r="2610" spans="1:4">
      <c r="A2610" s="41">
        <v>46066</v>
      </c>
      <c r="B2610" t="s">
        <v>488</v>
      </c>
      <c r="D2610">
        <v>101456</v>
      </c>
    </row>
    <row r="2611" spans="1:4">
      <c r="A2611" s="41">
        <v>46066</v>
      </c>
      <c r="B2611" t="s">
        <v>490</v>
      </c>
      <c r="D2611">
        <v>84160</v>
      </c>
    </row>
    <row r="2612" spans="1:4">
      <c r="A2612" s="41">
        <v>46066</v>
      </c>
      <c r="B2612" t="s">
        <v>495</v>
      </c>
      <c r="D2612">
        <v>106707</v>
      </c>
    </row>
    <row r="2613" spans="1:4">
      <c r="A2613" s="41">
        <v>46066</v>
      </c>
      <c r="B2613" t="s">
        <v>496</v>
      </c>
    </row>
    <row r="2614" spans="1:4">
      <c r="A2614" s="41">
        <v>46066</v>
      </c>
      <c r="B2614" t="s">
        <v>499</v>
      </c>
      <c r="D2614">
        <v>61027</v>
      </c>
    </row>
    <row r="2615" spans="1:4">
      <c r="A2615" s="41">
        <v>46066</v>
      </c>
      <c r="B2615" t="s">
        <v>501</v>
      </c>
      <c r="D2615">
        <v>86968</v>
      </c>
    </row>
    <row r="2616" spans="1:4">
      <c r="A2616" s="41">
        <v>46066</v>
      </c>
      <c r="B2616" t="s">
        <v>506</v>
      </c>
      <c r="D2616">
        <v>60000</v>
      </c>
    </row>
    <row r="2617" spans="1:4">
      <c r="A2617" s="41">
        <v>46066</v>
      </c>
      <c r="B2617" t="s">
        <v>514</v>
      </c>
      <c r="D2617">
        <v>60755</v>
      </c>
    </row>
    <row r="2618" spans="1:4">
      <c r="A2618" s="41">
        <v>46066</v>
      </c>
      <c r="B2618" t="s">
        <v>515</v>
      </c>
      <c r="D2618">
        <v>68057</v>
      </c>
    </row>
    <row r="2619" spans="1:4">
      <c r="A2619" s="41">
        <v>46066</v>
      </c>
      <c r="B2619" t="s">
        <v>91</v>
      </c>
      <c r="C2619">
        <v>3566</v>
      </c>
      <c r="D2619">
        <v>92445</v>
      </c>
    </row>
    <row r="2620" spans="1:4">
      <c r="A2620" s="41">
        <v>46066</v>
      </c>
      <c r="B2620" t="s">
        <v>533</v>
      </c>
      <c r="D2620">
        <v>71242</v>
      </c>
    </row>
    <row r="2621" spans="1:4">
      <c r="A2621" s="41">
        <v>46066</v>
      </c>
      <c r="B2621" t="s">
        <v>535</v>
      </c>
      <c r="D2621">
        <v>69046</v>
      </c>
    </row>
    <row r="2622" spans="1:4">
      <c r="A2622" s="41">
        <v>46066</v>
      </c>
      <c r="B2622" t="s">
        <v>542</v>
      </c>
      <c r="D2622">
        <v>85330</v>
      </c>
    </row>
    <row r="2623" spans="1:4">
      <c r="A2623" s="41">
        <v>46066</v>
      </c>
      <c r="B2623" t="s">
        <v>542</v>
      </c>
      <c r="D2623">
        <v>85441</v>
      </c>
    </row>
    <row r="2624" spans="1:4">
      <c r="A2624" s="41">
        <v>46066</v>
      </c>
      <c r="B2624" t="s">
        <v>544</v>
      </c>
      <c r="D2624">
        <v>33419</v>
      </c>
    </row>
    <row r="2625" spans="1:4">
      <c r="A2625" s="41">
        <v>46066</v>
      </c>
      <c r="B2625" t="s">
        <v>549</v>
      </c>
      <c r="D2625">
        <v>12114</v>
      </c>
    </row>
    <row r="2626" spans="1:4">
      <c r="A2626" s="41">
        <v>46066</v>
      </c>
      <c r="B2626" t="s">
        <v>551</v>
      </c>
      <c r="D2626">
        <v>16911</v>
      </c>
    </row>
    <row r="2627" spans="1:4">
      <c r="A2627" s="41">
        <v>46066</v>
      </c>
      <c r="B2627" t="s">
        <v>559</v>
      </c>
      <c r="D2627">
        <v>558313</v>
      </c>
    </row>
    <row r="2628" spans="1:4">
      <c r="A2628" s="41">
        <v>46066</v>
      </c>
      <c r="B2628" t="s">
        <v>568</v>
      </c>
      <c r="D2628">
        <v>156835</v>
      </c>
    </row>
    <row r="2629" spans="1:4">
      <c r="A2629" s="41">
        <v>46066</v>
      </c>
      <c r="B2629" t="s">
        <v>581</v>
      </c>
      <c r="D2629">
        <v>147597</v>
      </c>
    </row>
    <row r="2630" spans="1:4">
      <c r="A2630" s="41">
        <v>46066</v>
      </c>
      <c r="B2630" t="s">
        <v>594</v>
      </c>
      <c r="D2630">
        <v>136636</v>
      </c>
    </row>
    <row r="2631" spans="1:4">
      <c r="A2631" s="41">
        <v>46066</v>
      </c>
      <c r="B2631" t="s">
        <v>596</v>
      </c>
      <c r="D2631">
        <v>139781</v>
      </c>
    </row>
    <row r="2632" spans="1:4">
      <c r="A2632" s="41">
        <v>46066</v>
      </c>
      <c r="B2632" t="s">
        <v>598</v>
      </c>
      <c r="D2632">
        <v>136400</v>
      </c>
    </row>
    <row r="2633" spans="1:4">
      <c r="A2633" s="41">
        <v>46066</v>
      </c>
      <c r="B2633" t="s">
        <v>608</v>
      </c>
      <c r="D2633">
        <v>298811</v>
      </c>
    </row>
    <row r="2634" spans="1:4">
      <c r="A2634" s="41">
        <v>46066</v>
      </c>
      <c r="B2634" t="s">
        <v>611</v>
      </c>
      <c r="D2634">
        <v>258750</v>
      </c>
    </row>
    <row r="2635" spans="1:4">
      <c r="A2635" s="41">
        <v>46066</v>
      </c>
      <c r="B2635" t="s">
        <v>616</v>
      </c>
      <c r="D2635">
        <v>118899</v>
      </c>
    </row>
    <row r="2636" spans="1:4">
      <c r="A2636" s="41">
        <v>46066</v>
      </c>
      <c r="B2636" t="s">
        <v>620</v>
      </c>
      <c r="D2636">
        <v>123457</v>
      </c>
    </row>
    <row r="2637" spans="1:4">
      <c r="A2637" s="41">
        <v>46066</v>
      </c>
      <c r="B2637" t="s">
        <v>626</v>
      </c>
      <c r="D2637">
        <v>105154</v>
      </c>
    </row>
    <row r="2638" spans="1:4">
      <c r="A2638" s="41">
        <v>46066</v>
      </c>
      <c r="B2638" t="s">
        <v>628</v>
      </c>
      <c r="D2638">
        <v>88940</v>
      </c>
    </row>
    <row r="2639" spans="1:4">
      <c r="A2639" s="41">
        <v>46066</v>
      </c>
      <c r="B2639" t="s">
        <v>630</v>
      </c>
      <c r="D2639">
        <v>140035</v>
      </c>
    </row>
    <row r="2640" spans="1:4">
      <c r="A2640" s="41">
        <v>46069</v>
      </c>
      <c r="B2640" t="s">
        <v>19</v>
      </c>
      <c r="C2640">
        <v>10177</v>
      </c>
      <c r="D2640">
        <v>257581</v>
      </c>
    </row>
    <row r="2641" spans="1:4">
      <c r="A2641" s="41">
        <v>46069</v>
      </c>
      <c r="B2641" t="s">
        <v>29</v>
      </c>
      <c r="C2641">
        <v>10673</v>
      </c>
      <c r="D2641">
        <v>257512</v>
      </c>
    </row>
    <row r="2642" spans="1:4">
      <c r="A2642" s="41">
        <v>46069</v>
      </c>
      <c r="B2642" t="s">
        <v>81</v>
      </c>
      <c r="C2642">
        <v>2667</v>
      </c>
      <c r="D2642">
        <v>192495</v>
      </c>
    </row>
    <row r="2643" spans="1:4">
      <c r="A2643" s="41">
        <v>46069</v>
      </c>
      <c r="B2643" t="s">
        <v>106</v>
      </c>
      <c r="D2643">
        <v>220661</v>
      </c>
    </row>
    <row r="2644" spans="1:4">
      <c r="A2644" s="41">
        <v>46069</v>
      </c>
      <c r="B2644" t="s">
        <v>121</v>
      </c>
      <c r="C2644">
        <v>7585</v>
      </c>
      <c r="D2644">
        <v>192765</v>
      </c>
    </row>
    <row r="2645" spans="1:4">
      <c r="A2645" s="41">
        <v>46069</v>
      </c>
      <c r="B2645" t="s">
        <v>138</v>
      </c>
      <c r="D2645">
        <v>291185</v>
      </c>
    </row>
    <row r="2646" spans="1:4">
      <c r="A2646" s="41">
        <v>46069</v>
      </c>
      <c r="B2646" t="s">
        <v>175</v>
      </c>
      <c r="C2646">
        <v>9161</v>
      </c>
      <c r="D2646">
        <v>207411</v>
      </c>
    </row>
    <row r="2647" spans="1:4">
      <c r="A2647" s="41">
        <v>46069</v>
      </c>
      <c r="B2647" t="s">
        <v>182</v>
      </c>
      <c r="D2647">
        <v>163695</v>
      </c>
    </row>
    <row r="2648" spans="1:4">
      <c r="A2648" s="41">
        <v>46069</v>
      </c>
      <c r="B2648" t="s">
        <v>182</v>
      </c>
      <c r="C2648">
        <v>8688</v>
      </c>
      <c r="D2648">
        <v>164029</v>
      </c>
    </row>
    <row r="2649" spans="1:4">
      <c r="A2649" s="41">
        <v>46069</v>
      </c>
      <c r="B2649" t="s">
        <v>210</v>
      </c>
      <c r="C2649">
        <v>201</v>
      </c>
    </row>
    <row r="2650" spans="1:4">
      <c r="A2650" s="41">
        <v>46069</v>
      </c>
      <c r="B2650" t="s">
        <v>234</v>
      </c>
      <c r="C2650">
        <v>1949</v>
      </c>
    </row>
    <row r="2651" spans="1:4">
      <c r="A2651" s="41">
        <v>46069</v>
      </c>
      <c r="B2651" t="s">
        <v>246</v>
      </c>
      <c r="C2651">
        <v>6450</v>
      </c>
    </row>
    <row r="2652" spans="1:4">
      <c r="A2652" s="41">
        <v>46069</v>
      </c>
      <c r="B2652" t="s">
        <v>249</v>
      </c>
      <c r="C2652">
        <v>4815</v>
      </c>
    </row>
    <row r="2653" spans="1:4">
      <c r="A2653" s="41">
        <v>46069</v>
      </c>
      <c r="B2653" t="s">
        <v>254</v>
      </c>
      <c r="C2653">
        <v>15614</v>
      </c>
    </row>
    <row r="2654" spans="1:4">
      <c r="A2654" s="41">
        <v>46069</v>
      </c>
      <c r="B2654" t="s">
        <v>258</v>
      </c>
      <c r="C2654">
        <v>2613</v>
      </c>
    </row>
    <row r="2655" spans="1:4">
      <c r="A2655" s="41">
        <v>46069</v>
      </c>
      <c r="B2655" t="s">
        <v>258</v>
      </c>
      <c r="C2655">
        <v>2621</v>
      </c>
    </row>
    <row r="2656" spans="1:4">
      <c r="A2656" s="41">
        <v>46069</v>
      </c>
      <c r="B2656" t="s">
        <v>288</v>
      </c>
      <c r="C2656">
        <v>1334</v>
      </c>
    </row>
    <row r="2657" spans="1:4">
      <c r="A2657" s="41">
        <v>46069</v>
      </c>
      <c r="B2657" t="s">
        <v>288</v>
      </c>
      <c r="C2657">
        <v>1347</v>
      </c>
    </row>
    <row r="2658" spans="1:4">
      <c r="A2658" s="41">
        <v>46069</v>
      </c>
      <c r="B2658" t="s">
        <v>301</v>
      </c>
      <c r="C2658">
        <v>14501</v>
      </c>
    </row>
    <row r="2659" spans="1:4">
      <c r="A2659" s="41">
        <v>46069</v>
      </c>
      <c r="B2659" t="s">
        <v>314</v>
      </c>
      <c r="C2659">
        <v>27733</v>
      </c>
    </row>
    <row r="2660" spans="1:4">
      <c r="A2660" s="41">
        <v>46069</v>
      </c>
      <c r="B2660" t="s">
        <v>359</v>
      </c>
      <c r="C2660">
        <v>13605</v>
      </c>
    </row>
    <row r="2661" spans="1:4">
      <c r="A2661" s="41">
        <v>46069</v>
      </c>
      <c r="B2661" t="s">
        <v>378</v>
      </c>
      <c r="C2661">
        <v>3682</v>
      </c>
    </row>
    <row r="2662" spans="1:4">
      <c r="A2662" s="41">
        <v>46069</v>
      </c>
      <c r="B2662" t="s">
        <v>379</v>
      </c>
      <c r="C2662">
        <v>3496</v>
      </c>
    </row>
    <row r="2663" spans="1:4">
      <c r="A2663" s="41">
        <v>46069</v>
      </c>
      <c r="B2663" t="s">
        <v>414</v>
      </c>
      <c r="C2663">
        <v>10269</v>
      </c>
    </row>
    <row r="2664" spans="1:4">
      <c r="A2664" s="41">
        <v>46069</v>
      </c>
      <c r="B2664" t="s">
        <v>417</v>
      </c>
    </row>
    <row r="2665" spans="1:4">
      <c r="A2665" s="41">
        <v>46069</v>
      </c>
      <c r="B2665" t="s">
        <v>424</v>
      </c>
      <c r="C2665">
        <v>544</v>
      </c>
    </row>
    <row r="2666" spans="1:4">
      <c r="A2666" s="41">
        <v>46069</v>
      </c>
      <c r="B2666" t="s">
        <v>440</v>
      </c>
      <c r="C2666">
        <v>1938</v>
      </c>
    </row>
    <row r="2667" spans="1:4">
      <c r="A2667" s="41">
        <v>46069</v>
      </c>
      <c r="B2667" t="s">
        <v>449</v>
      </c>
      <c r="C2667">
        <v>1658</v>
      </c>
    </row>
    <row r="2668" spans="1:4">
      <c r="A2668" s="41">
        <v>46069</v>
      </c>
      <c r="B2668" t="s">
        <v>456</v>
      </c>
      <c r="C2668">
        <v>2099</v>
      </c>
    </row>
    <row r="2669" spans="1:4">
      <c r="A2669" s="41">
        <v>46069</v>
      </c>
      <c r="B2669" t="s">
        <v>481</v>
      </c>
      <c r="D2669">
        <v>73428</v>
      </c>
    </row>
    <row r="2670" spans="1:4">
      <c r="A2670" s="41">
        <v>46069</v>
      </c>
      <c r="B2670" t="s">
        <v>485</v>
      </c>
      <c r="D2670">
        <v>78200</v>
      </c>
    </row>
    <row r="2671" spans="1:4">
      <c r="A2671" s="41">
        <v>46069</v>
      </c>
      <c r="B2671" t="s">
        <v>488</v>
      </c>
      <c r="D2671">
        <v>101951</v>
      </c>
    </row>
    <row r="2672" spans="1:4">
      <c r="A2672" s="41">
        <v>46069</v>
      </c>
      <c r="B2672" t="s">
        <v>490</v>
      </c>
      <c r="D2672">
        <v>84655</v>
      </c>
    </row>
    <row r="2673" spans="1:4">
      <c r="A2673" s="41">
        <v>46069</v>
      </c>
      <c r="B2673" t="s">
        <v>499</v>
      </c>
      <c r="D2673">
        <v>61812</v>
      </c>
    </row>
    <row r="2674" spans="1:4">
      <c r="A2674" s="41">
        <v>46069</v>
      </c>
      <c r="B2674" t="s">
        <v>506</v>
      </c>
      <c r="D2674">
        <v>60428</v>
      </c>
    </row>
    <row r="2675" spans="1:4">
      <c r="A2675" s="41">
        <v>46069</v>
      </c>
      <c r="B2675" t="s">
        <v>508</v>
      </c>
      <c r="D2675">
        <v>48155</v>
      </c>
    </row>
    <row r="2676" spans="1:4">
      <c r="A2676" s="41">
        <v>46069</v>
      </c>
      <c r="B2676" t="s">
        <v>515</v>
      </c>
      <c r="D2676">
        <v>68750</v>
      </c>
    </row>
    <row r="2677" spans="1:4">
      <c r="A2677" s="41">
        <v>46069</v>
      </c>
      <c r="B2677" t="s">
        <v>518</v>
      </c>
      <c r="D2677">
        <v>73176</v>
      </c>
    </row>
    <row r="2678" spans="1:4">
      <c r="A2678" s="41">
        <v>46069</v>
      </c>
      <c r="B2678" t="s">
        <v>526</v>
      </c>
      <c r="D2678">
        <v>60625</v>
      </c>
    </row>
    <row r="2679" spans="1:4">
      <c r="A2679" s="41">
        <v>46069</v>
      </c>
      <c r="B2679" t="s">
        <v>528</v>
      </c>
      <c r="D2679">
        <v>64951</v>
      </c>
    </row>
    <row r="2680" spans="1:4">
      <c r="A2680" s="41">
        <v>46069</v>
      </c>
      <c r="B2680" t="s">
        <v>535</v>
      </c>
      <c r="D2680">
        <v>69999</v>
      </c>
    </row>
    <row r="2681" spans="1:4">
      <c r="A2681" s="41">
        <v>46069</v>
      </c>
      <c r="B2681" t="s">
        <v>542</v>
      </c>
      <c r="D2681">
        <v>86324</v>
      </c>
    </row>
    <row r="2682" spans="1:4">
      <c r="A2682" s="41">
        <v>46069</v>
      </c>
      <c r="B2682" t="s">
        <v>547</v>
      </c>
      <c r="D2682">
        <v>12804</v>
      </c>
    </row>
    <row r="2683" spans="1:4">
      <c r="A2683" s="41">
        <v>46069</v>
      </c>
      <c r="B2683" t="s">
        <v>549</v>
      </c>
      <c r="D2683">
        <v>12360</v>
      </c>
    </row>
    <row r="2684" spans="1:4">
      <c r="A2684" s="41">
        <v>46069</v>
      </c>
      <c r="B2684" t="s">
        <v>572</v>
      </c>
      <c r="D2684">
        <v>148332</v>
      </c>
    </row>
    <row r="2685" spans="1:4">
      <c r="A2685" s="41">
        <v>46069</v>
      </c>
      <c r="B2685" t="s">
        <v>593</v>
      </c>
      <c r="D2685">
        <v>162800</v>
      </c>
    </row>
    <row r="2686" spans="1:4">
      <c r="A2686" s="41">
        <v>46069</v>
      </c>
      <c r="B2686" t="s">
        <v>596</v>
      </c>
      <c r="D2686">
        <v>140139</v>
      </c>
    </row>
    <row r="2687" spans="1:4">
      <c r="A2687" s="41">
        <v>46069</v>
      </c>
      <c r="B2687" t="s">
        <v>598</v>
      </c>
      <c r="D2687">
        <v>137032</v>
      </c>
    </row>
    <row r="2688" spans="1:4">
      <c r="A2688" s="41">
        <v>46069</v>
      </c>
      <c r="B2688" t="s">
        <v>616</v>
      </c>
      <c r="D2688">
        <v>119817</v>
      </c>
    </row>
    <row r="2689" spans="1:4">
      <c r="A2689" s="41">
        <v>46069</v>
      </c>
      <c r="B2689" t="s">
        <v>618</v>
      </c>
      <c r="D2689">
        <v>105621</v>
      </c>
    </row>
    <row r="2690" spans="1:4">
      <c r="A2690" s="41">
        <v>46069</v>
      </c>
      <c r="B2690" t="s">
        <v>620</v>
      </c>
      <c r="D2690">
        <v>124057</v>
      </c>
    </row>
    <row r="2691" spans="1:4">
      <c r="A2691" s="41">
        <v>46069</v>
      </c>
      <c r="B2691" t="s">
        <v>622</v>
      </c>
      <c r="D2691">
        <v>109436</v>
      </c>
    </row>
    <row r="2692" spans="1:4">
      <c r="A2692" s="41">
        <v>46069</v>
      </c>
      <c r="B2692" t="s">
        <v>634</v>
      </c>
      <c r="D2692">
        <v>105332</v>
      </c>
    </row>
    <row r="2693" spans="1:4">
      <c r="A2693" s="41">
        <v>46070</v>
      </c>
      <c r="B2693" t="s">
        <v>19</v>
      </c>
      <c r="C2693">
        <v>10191</v>
      </c>
      <c r="D2693">
        <v>257615</v>
      </c>
    </row>
    <row r="2694" spans="1:4">
      <c r="A2694" s="41">
        <v>46070</v>
      </c>
      <c r="B2694" t="s">
        <v>29</v>
      </c>
      <c r="C2694">
        <v>10681</v>
      </c>
      <c r="D2694">
        <v>257631</v>
      </c>
    </row>
    <row r="2695" spans="1:4">
      <c r="A2695" s="41">
        <v>46070</v>
      </c>
      <c r="B2695" t="s">
        <v>35</v>
      </c>
      <c r="D2695">
        <v>250115</v>
      </c>
    </row>
    <row r="2696" spans="1:4">
      <c r="A2696" s="41">
        <v>46070</v>
      </c>
      <c r="B2696" t="s">
        <v>44</v>
      </c>
      <c r="D2696">
        <v>188683</v>
      </c>
    </row>
    <row r="2697" spans="1:4">
      <c r="A2697" s="41">
        <v>46070</v>
      </c>
      <c r="B2697" t="s">
        <v>50</v>
      </c>
      <c r="D2697">
        <v>273715</v>
      </c>
    </row>
    <row r="2698" spans="1:4">
      <c r="A2698" s="41">
        <v>46070</v>
      </c>
      <c r="B2698" t="s">
        <v>65</v>
      </c>
      <c r="C2698">
        <v>3761</v>
      </c>
    </row>
    <row r="2699" spans="1:4">
      <c r="A2699" s="41">
        <v>46070</v>
      </c>
      <c r="B2699" t="s">
        <v>78</v>
      </c>
      <c r="D2699">
        <v>512125</v>
      </c>
    </row>
    <row r="2700" spans="1:4">
      <c r="A2700" s="41">
        <v>46070</v>
      </c>
      <c r="B2700" t="s">
        <v>86</v>
      </c>
      <c r="C2700">
        <v>3360</v>
      </c>
      <c r="D2700">
        <v>8876</v>
      </c>
    </row>
    <row r="2701" spans="1:4">
      <c r="A2701" s="41">
        <v>46070</v>
      </c>
      <c r="B2701" t="s">
        <v>89</v>
      </c>
      <c r="C2701">
        <v>3423</v>
      </c>
      <c r="D2701">
        <v>87902</v>
      </c>
    </row>
    <row r="2702" spans="1:4">
      <c r="A2702" s="41">
        <v>46070</v>
      </c>
      <c r="B2702" t="s">
        <v>93</v>
      </c>
      <c r="C2702">
        <v>3618</v>
      </c>
      <c r="D2702">
        <v>98421</v>
      </c>
    </row>
    <row r="2703" spans="1:4">
      <c r="A2703" s="41">
        <v>46070</v>
      </c>
      <c r="B2703" t="s">
        <v>97</v>
      </c>
      <c r="D2703">
        <v>74376</v>
      </c>
    </row>
    <row r="2704" spans="1:4">
      <c r="A2704" s="41">
        <v>46070</v>
      </c>
      <c r="B2704" t="s">
        <v>126</v>
      </c>
      <c r="D2704">
        <v>61755</v>
      </c>
    </row>
    <row r="2705" spans="1:4">
      <c r="A2705" s="81">
        <v>44385</v>
      </c>
      <c r="B2705" t="s">
        <v>1198</v>
      </c>
      <c r="C2705">
        <v>16489</v>
      </c>
    </row>
    <row r="2706" spans="1:4">
      <c r="A2706" s="81">
        <v>44398</v>
      </c>
      <c r="B2706" t="s">
        <v>164</v>
      </c>
      <c r="D2706">
        <v>148794</v>
      </c>
    </row>
    <row r="2707" spans="1:4">
      <c r="A2707" s="41">
        <v>46070</v>
      </c>
      <c r="B2707" t="s">
        <v>661</v>
      </c>
      <c r="D2707">
        <v>212640</v>
      </c>
    </row>
    <row r="2708" spans="1:4">
      <c r="A2708" s="41">
        <v>46070</v>
      </c>
      <c r="B2708" t="s">
        <v>171</v>
      </c>
      <c r="C2708">
        <v>1907</v>
      </c>
      <c r="D2708">
        <v>205511</v>
      </c>
    </row>
    <row r="2709" spans="1:4">
      <c r="A2709" s="41">
        <v>46070</v>
      </c>
      <c r="B2709" t="s">
        <v>171</v>
      </c>
      <c r="C2709">
        <v>1916</v>
      </c>
      <c r="D2709">
        <v>215702</v>
      </c>
    </row>
    <row r="2710" spans="1:4">
      <c r="A2710" s="41">
        <v>46070</v>
      </c>
      <c r="B2710" t="s">
        <v>173</v>
      </c>
      <c r="C2710">
        <v>8561</v>
      </c>
      <c r="D2710">
        <v>164625</v>
      </c>
    </row>
    <row r="2711" spans="1:4">
      <c r="A2711" s="41">
        <v>46070</v>
      </c>
      <c r="B2711" t="s">
        <v>175</v>
      </c>
      <c r="C2711">
        <v>9169</v>
      </c>
      <c r="D2711">
        <v>207563</v>
      </c>
    </row>
    <row r="2712" spans="1:4">
      <c r="A2712" s="41">
        <v>46070</v>
      </c>
      <c r="B2712" t="s">
        <v>254</v>
      </c>
      <c r="C2712">
        <v>15624</v>
      </c>
    </row>
    <row r="2713" spans="1:4">
      <c r="A2713" s="41">
        <v>46070</v>
      </c>
      <c r="B2713" t="s">
        <v>258</v>
      </c>
      <c r="C2713">
        <v>2631</v>
      </c>
    </row>
    <row r="2714" spans="1:4">
      <c r="A2714" s="41">
        <v>46070</v>
      </c>
      <c r="B2714" t="s">
        <v>263</v>
      </c>
      <c r="C2714">
        <v>9894</v>
      </c>
    </row>
    <row r="2715" spans="1:4">
      <c r="A2715" s="41">
        <v>46070</v>
      </c>
      <c r="B2715" t="s">
        <v>268</v>
      </c>
      <c r="C2715">
        <v>5569</v>
      </c>
    </row>
    <row r="2716" spans="1:4">
      <c r="A2716" s="41">
        <v>46070</v>
      </c>
      <c r="B2716" t="s">
        <v>273</v>
      </c>
      <c r="C2716">
        <v>4122</v>
      </c>
    </row>
    <row r="2717" spans="1:4">
      <c r="A2717" s="41">
        <v>46070</v>
      </c>
      <c r="B2717" t="s">
        <v>275</v>
      </c>
      <c r="C2717">
        <v>1402</v>
      </c>
    </row>
    <row r="2718" spans="1:4">
      <c r="A2718" s="41">
        <v>46070</v>
      </c>
      <c r="B2718" t="s">
        <v>288</v>
      </c>
      <c r="C2718">
        <v>1357</v>
      </c>
    </row>
    <row r="2719" spans="1:4">
      <c r="A2719" s="41">
        <v>46070</v>
      </c>
      <c r="B2719" t="s">
        <v>299</v>
      </c>
      <c r="C2719">
        <v>8573</v>
      </c>
    </row>
    <row r="2720" spans="1:4">
      <c r="A2720" s="41">
        <v>46070</v>
      </c>
      <c r="B2720" t="s">
        <v>305</v>
      </c>
      <c r="C2720">
        <v>16893</v>
      </c>
    </row>
    <row r="2721" spans="1:4">
      <c r="A2721" s="41">
        <v>46070</v>
      </c>
      <c r="B2721" t="s">
        <v>314</v>
      </c>
      <c r="C2721">
        <v>27743</v>
      </c>
    </row>
    <row r="2722" spans="1:4">
      <c r="A2722" s="41">
        <v>46070</v>
      </c>
      <c r="B2722" t="s">
        <v>324</v>
      </c>
      <c r="C2722">
        <v>7025</v>
      </c>
    </row>
    <row r="2723" spans="1:4">
      <c r="A2723" s="41">
        <v>46070</v>
      </c>
      <c r="B2723" t="s">
        <v>333</v>
      </c>
      <c r="C2723">
        <v>11866</v>
      </c>
    </row>
    <row r="2724" spans="1:4">
      <c r="A2724" s="41">
        <v>46070</v>
      </c>
      <c r="B2724" t="s">
        <v>396</v>
      </c>
      <c r="C2724">
        <v>8570</v>
      </c>
    </row>
    <row r="2725" spans="1:4">
      <c r="A2725" s="41">
        <v>46070</v>
      </c>
      <c r="B2725" t="s">
        <v>408</v>
      </c>
      <c r="C2725">
        <v>4346</v>
      </c>
    </row>
    <row r="2726" spans="1:4">
      <c r="A2726" s="41">
        <v>46070</v>
      </c>
      <c r="B2726" t="s">
        <v>417</v>
      </c>
      <c r="C2726">
        <v>8202.6</v>
      </c>
    </row>
    <row r="2727" spans="1:4">
      <c r="A2727" s="41">
        <v>46070</v>
      </c>
      <c r="B2727" t="s">
        <v>420</v>
      </c>
      <c r="C2727">
        <v>5609</v>
      </c>
    </row>
    <row r="2728" spans="1:4">
      <c r="A2728" s="41">
        <v>46070</v>
      </c>
      <c r="B2728" t="s">
        <v>431</v>
      </c>
      <c r="C2728">
        <v>9993</v>
      </c>
    </row>
    <row r="2729" spans="1:4">
      <c r="A2729" s="41">
        <v>46070</v>
      </c>
      <c r="B2729" t="s">
        <v>443</v>
      </c>
      <c r="C2729">
        <v>2283</v>
      </c>
    </row>
    <row r="2730" spans="1:4">
      <c r="A2730" s="41">
        <v>46070</v>
      </c>
      <c r="B2730" t="s">
        <v>447</v>
      </c>
      <c r="C2730">
        <v>1666</v>
      </c>
    </row>
    <row r="2731" spans="1:4">
      <c r="A2731" s="41">
        <v>46070</v>
      </c>
      <c r="B2731" t="s">
        <v>496</v>
      </c>
      <c r="D2731">
        <v>111261</v>
      </c>
    </row>
    <row r="2732" spans="1:4">
      <c r="A2732" s="41">
        <v>46070</v>
      </c>
      <c r="B2732" t="s">
        <v>510</v>
      </c>
      <c r="D2732">
        <v>43348</v>
      </c>
    </row>
    <row r="2733" spans="1:4">
      <c r="A2733" s="41">
        <v>46070</v>
      </c>
      <c r="B2733" t="s">
        <v>512</v>
      </c>
      <c r="D2733">
        <v>49382</v>
      </c>
    </row>
    <row r="2734" spans="1:4">
      <c r="A2734" s="41">
        <v>46070</v>
      </c>
      <c r="B2734" t="s">
        <v>514</v>
      </c>
      <c r="D2734">
        <v>61165</v>
      </c>
    </row>
    <row r="2735" spans="1:4">
      <c r="A2735" s="41">
        <v>46070</v>
      </c>
      <c r="B2735" t="s">
        <v>91</v>
      </c>
      <c r="C2735">
        <v>3576</v>
      </c>
      <c r="D2735">
        <v>82592</v>
      </c>
    </row>
    <row r="2736" spans="1:4">
      <c r="A2736" s="41">
        <v>46070</v>
      </c>
      <c r="B2736" t="s">
        <v>520</v>
      </c>
      <c r="D2736">
        <v>50199</v>
      </c>
    </row>
    <row r="2737" spans="1:4">
      <c r="A2737" s="41">
        <v>46070</v>
      </c>
      <c r="B2737" t="s">
        <v>523</v>
      </c>
      <c r="D2737">
        <v>57443</v>
      </c>
    </row>
    <row r="2738" spans="1:4">
      <c r="A2738" s="41">
        <v>46070</v>
      </c>
      <c r="B2738" t="s">
        <v>533</v>
      </c>
      <c r="D2738">
        <v>71900</v>
      </c>
    </row>
    <row r="2739" spans="1:4">
      <c r="A2739" s="41">
        <v>46070</v>
      </c>
      <c r="B2739" t="s">
        <v>539</v>
      </c>
      <c r="D2739">
        <v>36964</v>
      </c>
    </row>
    <row r="2740" spans="1:4">
      <c r="A2740" s="41">
        <v>46070</v>
      </c>
      <c r="B2740" t="s">
        <v>549</v>
      </c>
      <c r="D2740">
        <v>12599</v>
      </c>
    </row>
    <row r="2741" spans="1:4">
      <c r="A2741" s="41">
        <v>46070</v>
      </c>
      <c r="B2741" t="s">
        <v>551</v>
      </c>
      <c r="D2741">
        <v>17513</v>
      </c>
    </row>
    <row r="2742" spans="1:4">
      <c r="A2742" s="41">
        <v>46070</v>
      </c>
      <c r="B2742" t="s">
        <v>559</v>
      </c>
      <c r="D2742">
        <v>558715</v>
      </c>
    </row>
    <row r="2743" spans="1:4">
      <c r="A2743" s="41">
        <v>46070</v>
      </c>
      <c r="B2743" t="s">
        <v>577</v>
      </c>
      <c r="D2743">
        <v>225086</v>
      </c>
    </row>
    <row r="2744" spans="1:4">
      <c r="A2744" s="41">
        <v>46070</v>
      </c>
      <c r="B2744" t="s">
        <v>594</v>
      </c>
      <c r="D2744">
        <v>132105</v>
      </c>
    </row>
    <row r="2745" spans="1:4">
      <c r="A2745" s="41">
        <v>46070</v>
      </c>
      <c r="B2745" t="s">
        <v>596</v>
      </c>
      <c r="D2745">
        <v>140552</v>
      </c>
    </row>
    <row r="2746" spans="1:4">
      <c r="A2746" s="41">
        <v>46070</v>
      </c>
      <c r="B2746" t="s">
        <v>611</v>
      </c>
      <c r="D2746">
        <v>259357</v>
      </c>
    </row>
    <row r="2747" spans="1:4">
      <c r="A2747" s="41">
        <v>46070</v>
      </c>
      <c r="B2747" t="s">
        <v>624</v>
      </c>
      <c r="D2747">
        <v>89338</v>
      </c>
    </row>
    <row r="2748" spans="1:4">
      <c r="A2748" s="41">
        <v>46070</v>
      </c>
      <c r="B2748" t="s">
        <v>630</v>
      </c>
      <c r="D2748">
        <v>140698</v>
      </c>
    </row>
    <row r="2749" spans="1:4">
      <c r="A2749" s="41">
        <v>46071</v>
      </c>
      <c r="B2749" t="s">
        <v>32</v>
      </c>
      <c r="C2749">
        <v>10386</v>
      </c>
      <c r="D2749">
        <v>250379</v>
      </c>
    </row>
    <row r="2750" spans="1:4">
      <c r="A2750" s="41">
        <v>46071</v>
      </c>
      <c r="B2750" t="s">
        <v>32</v>
      </c>
      <c r="C2750">
        <v>10397</v>
      </c>
      <c r="D2750">
        <v>250786</v>
      </c>
    </row>
    <row r="2751" spans="1:4">
      <c r="A2751" s="41">
        <v>46071</v>
      </c>
      <c r="B2751" t="s">
        <v>78</v>
      </c>
      <c r="D2751">
        <v>518227</v>
      </c>
    </row>
    <row r="2752" spans="1:4">
      <c r="A2752" s="41">
        <v>46071</v>
      </c>
      <c r="B2752" t="s">
        <v>81</v>
      </c>
      <c r="C2752">
        <v>2684</v>
      </c>
      <c r="D2752">
        <v>192861</v>
      </c>
    </row>
    <row r="2753" spans="1:4">
      <c r="A2753" s="41">
        <v>46071</v>
      </c>
      <c r="B2753" t="s">
        <v>93</v>
      </c>
      <c r="C2753">
        <v>3627</v>
      </c>
      <c r="D2753">
        <v>98599</v>
      </c>
    </row>
    <row r="2754" spans="1:4">
      <c r="A2754" s="41">
        <v>46071</v>
      </c>
      <c r="B2754" t="s">
        <v>128</v>
      </c>
      <c r="D2754">
        <v>645438</v>
      </c>
    </row>
    <row r="2755" spans="1:4">
      <c r="A2755" s="41">
        <v>46071</v>
      </c>
      <c r="B2755" t="s">
        <v>138</v>
      </c>
      <c r="D2755">
        <v>292552</v>
      </c>
    </row>
    <row r="2756" spans="1:4">
      <c r="A2756" s="81">
        <v>44406</v>
      </c>
      <c r="B2756" t="s">
        <v>38</v>
      </c>
      <c r="C2756">
        <v>4086</v>
      </c>
      <c r="D2756">
        <v>59713</v>
      </c>
    </row>
    <row r="2757" spans="1:4">
      <c r="A2757" s="41">
        <v>46071</v>
      </c>
      <c r="B2757" t="s">
        <v>159</v>
      </c>
      <c r="D2757">
        <v>139952</v>
      </c>
    </row>
    <row r="2758" spans="1:4">
      <c r="A2758" s="41">
        <v>46071</v>
      </c>
      <c r="B2758" t="s">
        <v>661</v>
      </c>
      <c r="D2758">
        <v>313169</v>
      </c>
    </row>
    <row r="2759" spans="1:4">
      <c r="A2759" s="41">
        <v>46071</v>
      </c>
      <c r="B2759" t="s">
        <v>175</v>
      </c>
      <c r="C2759">
        <v>9178</v>
      </c>
      <c r="D2759">
        <v>207769</v>
      </c>
    </row>
    <row r="2760" spans="1:4">
      <c r="A2760" s="41">
        <v>46071</v>
      </c>
      <c r="B2760" t="s">
        <v>182</v>
      </c>
      <c r="C2760">
        <v>8696</v>
      </c>
      <c r="D2760">
        <v>164196</v>
      </c>
    </row>
    <row r="2761" spans="1:4">
      <c r="A2761" s="41">
        <v>46071</v>
      </c>
      <c r="B2761" t="s">
        <v>243</v>
      </c>
      <c r="C2761">
        <v>512195</v>
      </c>
    </row>
    <row r="2762" spans="1:4">
      <c r="A2762" s="41">
        <v>46071</v>
      </c>
      <c r="B2762" t="s">
        <v>254</v>
      </c>
      <c r="C2762">
        <v>15634</v>
      </c>
    </row>
    <row r="2763" spans="1:4">
      <c r="A2763" s="41">
        <v>46071</v>
      </c>
      <c r="B2763" t="s">
        <v>258</v>
      </c>
      <c r="C2763">
        <v>2642</v>
      </c>
    </row>
    <row r="2764" spans="1:4">
      <c r="A2764" s="41">
        <v>46071</v>
      </c>
      <c r="B2764" t="s">
        <v>288</v>
      </c>
      <c r="C2764">
        <v>1368</v>
      </c>
    </row>
    <row r="2765" spans="1:4">
      <c r="A2765" s="41">
        <v>46071</v>
      </c>
      <c r="B2765" t="s">
        <v>301</v>
      </c>
      <c r="C2765">
        <v>14507</v>
      </c>
    </row>
    <row r="2766" spans="1:4">
      <c r="A2766" s="41">
        <v>46071</v>
      </c>
      <c r="B2766" t="s">
        <v>306</v>
      </c>
      <c r="C2766">
        <v>21395</v>
      </c>
    </row>
    <row r="2767" spans="1:4">
      <c r="A2767" s="41">
        <v>46071</v>
      </c>
      <c r="B2767" t="s">
        <v>314</v>
      </c>
      <c r="C2767">
        <v>27747</v>
      </c>
    </row>
    <row r="2768" spans="1:4">
      <c r="A2768" s="41">
        <v>46071</v>
      </c>
      <c r="B2768" t="s">
        <v>359</v>
      </c>
      <c r="C2768">
        <v>13616</v>
      </c>
    </row>
    <row r="2769" spans="1:5">
      <c r="A2769" s="41">
        <v>46071</v>
      </c>
      <c r="B2769" t="s">
        <v>382</v>
      </c>
      <c r="C2769">
        <v>12991</v>
      </c>
    </row>
    <row r="2770" spans="1:5">
      <c r="A2770" s="41">
        <v>46071</v>
      </c>
      <c r="B2770" t="s">
        <v>414</v>
      </c>
      <c r="C2770">
        <v>10279</v>
      </c>
      <c r="E2770" t="s">
        <v>33</v>
      </c>
    </row>
    <row r="2771" spans="1:5">
      <c r="A2771" s="41">
        <v>46071</v>
      </c>
      <c r="B2771" t="s">
        <v>456</v>
      </c>
      <c r="C2771">
        <v>2112</v>
      </c>
    </row>
    <row r="2772" spans="1:5">
      <c r="A2772" s="41">
        <v>46071</v>
      </c>
      <c r="B2772" t="s">
        <v>458</v>
      </c>
      <c r="D2772">
        <v>94359</v>
      </c>
    </row>
    <row r="2773" spans="1:5">
      <c r="A2773" s="41">
        <v>46071</v>
      </c>
      <c r="B2773" t="s">
        <v>463</v>
      </c>
      <c r="D2773">
        <v>103841</v>
      </c>
    </row>
    <row r="2774" spans="1:5">
      <c r="A2774" s="41">
        <v>46071</v>
      </c>
      <c r="B2774" t="s">
        <v>485</v>
      </c>
      <c r="D2774">
        <v>78714</v>
      </c>
    </row>
    <row r="2775" spans="1:5">
      <c r="A2775" s="41">
        <v>46071</v>
      </c>
      <c r="B2775" t="s">
        <v>91</v>
      </c>
      <c r="C2775">
        <v>3583</v>
      </c>
      <c r="D2775">
        <v>92772</v>
      </c>
    </row>
    <row r="2776" spans="1:5">
      <c r="A2776" s="41">
        <v>46071</v>
      </c>
      <c r="B2776" t="s">
        <v>518</v>
      </c>
      <c r="D2776">
        <v>73600</v>
      </c>
    </row>
    <row r="2777" spans="1:5">
      <c r="A2777" s="41">
        <v>46071</v>
      </c>
      <c r="B2777" t="s">
        <v>518</v>
      </c>
      <c r="D2777">
        <v>73600</v>
      </c>
    </row>
    <row r="2778" spans="1:5">
      <c r="A2778" s="41">
        <v>46071</v>
      </c>
      <c r="B2778" t="s">
        <v>528</v>
      </c>
      <c r="D2778">
        <v>65219</v>
      </c>
    </row>
    <row r="2779" spans="1:5">
      <c r="A2779" s="41">
        <v>46071</v>
      </c>
      <c r="B2779" t="s">
        <v>535</v>
      </c>
      <c r="D2779">
        <v>70645</v>
      </c>
    </row>
    <row r="2780" spans="1:5">
      <c r="A2780" s="41">
        <v>46071</v>
      </c>
      <c r="B2780" t="s">
        <v>535</v>
      </c>
      <c r="D2780">
        <v>70852</v>
      </c>
    </row>
    <row r="2781" spans="1:5">
      <c r="A2781" s="41">
        <v>46071</v>
      </c>
      <c r="B2781" t="s">
        <v>542</v>
      </c>
      <c r="D2781">
        <v>86695</v>
      </c>
    </row>
    <row r="2782" spans="1:5">
      <c r="A2782" s="41">
        <v>46071</v>
      </c>
      <c r="B2782" t="s">
        <v>549</v>
      </c>
      <c r="D2782">
        <v>12810</v>
      </c>
    </row>
    <row r="2783" spans="1:5">
      <c r="A2783" s="41">
        <v>46071</v>
      </c>
      <c r="B2783" t="s">
        <v>568</v>
      </c>
      <c r="D2783">
        <v>157485</v>
      </c>
    </row>
    <row r="2784" spans="1:5">
      <c r="A2784" s="41">
        <v>46071</v>
      </c>
      <c r="B2784" t="s">
        <v>575</v>
      </c>
      <c r="D2784">
        <v>236581</v>
      </c>
    </row>
    <row r="2785" spans="1:4">
      <c r="A2785" s="41">
        <v>46071</v>
      </c>
      <c r="B2785" t="s">
        <v>577</v>
      </c>
      <c r="D2785">
        <v>223306</v>
      </c>
    </row>
    <row r="2786" spans="1:4">
      <c r="A2786" s="41">
        <v>46071</v>
      </c>
      <c r="B2786" t="s">
        <v>593</v>
      </c>
      <c r="D2786">
        <v>163176</v>
      </c>
    </row>
    <row r="2787" spans="1:4">
      <c r="A2787" s="41">
        <v>46071</v>
      </c>
      <c r="B2787" t="s">
        <v>594</v>
      </c>
      <c r="D2787">
        <v>137292</v>
      </c>
    </row>
    <row r="2788" spans="1:4">
      <c r="A2788" s="41">
        <v>46071</v>
      </c>
      <c r="B2788" t="s">
        <v>596</v>
      </c>
      <c r="D2788">
        <v>140958</v>
      </c>
    </row>
    <row r="2789" spans="1:4">
      <c r="A2789" s="41">
        <v>46071</v>
      </c>
      <c r="B2789" t="s">
        <v>626</v>
      </c>
      <c r="D2789">
        <v>106035</v>
      </c>
    </row>
    <row r="2790" spans="1:4">
      <c r="A2790" s="41">
        <v>46071</v>
      </c>
      <c r="B2790" t="s">
        <v>628</v>
      </c>
      <c r="D2790">
        <v>89405</v>
      </c>
    </row>
    <row r="2791" spans="1:4">
      <c r="A2791" s="41">
        <v>46071</v>
      </c>
      <c r="B2791" t="s">
        <v>634</v>
      </c>
      <c r="D2791">
        <v>105801</v>
      </c>
    </row>
    <row r="2792" spans="1:4">
      <c r="A2792" s="41">
        <v>46072</v>
      </c>
      <c r="B2792" t="s">
        <v>19</v>
      </c>
      <c r="C2792">
        <v>10205</v>
      </c>
      <c r="D2792">
        <v>257878</v>
      </c>
    </row>
    <row r="2793" spans="1:4">
      <c r="A2793" s="41">
        <v>46072</v>
      </c>
      <c r="B2793" t="s">
        <v>19</v>
      </c>
      <c r="C2793">
        <v>10199</v>
      </c>
      <c r="D2793">
        <v>257770</v>
      </c>
    </row>
    <row r="2794" spans="1:4">
      <c r="A2794" s="41">
        <v>46072</v>
      </c>
      <c r="B2794" t="s">
        <v>29</v>
      </c>
      <c r="C2794">
        <v>10693</v>
      </c>
      <c r="D2794">
        <v>258091</v>
      </c>
    </row>
    <row r="2795" spans="1:4">
      <c r="A2795" s="41">
        <v>46072</v>
      </c>
      <c r="B2795" t="s">
        <v>32</v>
      </c>
      <c r="C2795">
        <v>10409</v>
      </c>
      <c r="D2795">
        <v>251224</v>
      </c>
    </row>
    <row r="2796" spans="1:4">
      <c r="A2796" s="41">
        <v>46072</v>
      </c>
      <c r="B2796" t="s">
        <v>50</v>
      </c>
      <c r="D2796">
        <v>273859</v>
      </c>
    </row>
    <row r="2797" spans="1:4">
      <c r="A2797" s="41">
        <v>46072</v>
      </c>
      <c r="B2797" t="s">
        <v>89</v>
      </c>
      <c r="C2797">
        <v>3431</v>
      </c>
      <c r="D2797">
        <v>87953</v>
      </c>
    </row>
    <row r="2798" spans="1:4">
      <c r="A2798" s="41">
        <v>46072</v>
      </c>
      <c r="B2798" t="s">
        <v>93</v>
      </c>
      <c r="D2798">
        <v>98782</v>
      </c>
    </row>
    <row r="2799" spans="1:4">
      <c r="A2799" s="41">
        <v>46072</v>
      </c>
      <c r="B2799" t="s">
        <v>97</v>
      </c>
      <c r="C2799">
        <v>1471</v>
      </c>
      <c r="D2799">
        <v>75372</v>
      </c>
    </row>
    <row r="2800" spans="1:4">
      <c r="A2800" s="81">
        <v>44426</v>
      </c>
      <c r="B2800" t="s">
        <v>1190</v>
      </c>
      <c r="C2800">
        <v>2655</v>
      </c>
    </row>
    <row r="2801" spans="1:5">
      <c r="A2801" s="41">
        <v>46072</v>
      </c>
      <c r="B2801" t="s">
        <v>661</v>
      </c>
      <c r="D2801">
        <v>313697</v>
      </c>
    </row>
    <row r="2802" spans="1:5">
      <c r="A2802" s="41">
        <v>46072</v>
      </c>
      <c r="B2802" t="s">
        <v>165</v>
      </c>
      <c r="D2802">
        <v>106761</v>
      </c>
      <c r="E2802" t="s">
        <v>300</v>
      </c>
    </row>
    <row r="2803" spans="1:5">
      <c r="A2803" s="41">
        <v>46072</v>
      </c>
      <c r="B2803" t="s">
        <v>171</v>
      </c>
      <c r="C2803">
        <v>1923</v>
      </c>
      <c r="D2803">
        <v>205934</v>
      </c>
    </row>
    <row r="2804" spans="1:5">
      <c r="A2804" s="41">
        <v>46072</v>
      </c>
      <c r="B2804" t="s">
        <v>175</v>
      </c>
      <c r="C2804">
        <v>9188</v>
      </c>
      <c r="D2804">
        <v>207999</v>
      </c>
    </row>
    <row r="2805" spans="1:5">
      <c r="A2805" s="41">
        <v>46072</v>
      </c>
      <c r="B2805" t="s">
        <v>254</v>
      </c>
      <c r="C2805">
        <v>15644</v>
      </c>
    </row>
    <row r="2806" spans="1:5">
      <c r="A2806" s="41">
        <v>46072</v>
      </c>
      <c r="B2806" t="s">
        <v>258</v>
      </c>
      <c r="C2806">
        <v>2652</v>
      </c>
    </row>
    <row r="2807" spans="1:5">
      <c r="A2807" s="41">
        <v>46072</v>
      </c>
      <c r="B2807" t="s">
        <v>268</v>
      </c>
      <c r="C2807">
        <v>5579</v>
      </c>
    </row>
    <row r="2808" spans="1:5">
      <c r="A2808" s="41">
        <v>46072</v>
      </c>
      <c r="B2808" t="s">
        <v>273</v>
      </c>
      <c r="C2808">
        <v>4133</v>
      </c>
    </row>
    <row r="2809" spans="1:5">
      <c r="A2809" s="41">
        <v>46072</v>
      </c>
      <c r="B2809" t="s">
        <v>275</v>
      </c>
      <c r="C2809">
        <v>1411</v>
      </c>
    </row>
    <row r="2810" spans="1:5">
      <c r="A2810" s="41">
        <v>46072</v>
      </c>
      <c r="B2810" t="s">
        <v>288</v>
      </c>
      <c r="C2810">
        <v>1379</v>
      </c>
    </row>
    <row r="2811" spans="1:5">
      <c r="A2811" s="41">
        <v>46072</v>
      </c>
      <c r="B2811" t="s">
        <v>299</v>
      </c>
      <c r="C2811">
        <v>8588</v>
      </c>
    </row>
    <row r="2812" spans="1:5">
      <c r="A2812" s="41">
        <v>46072</v>
      </c>
      <c r="B2812" t="s">
        <v>305</v>
      </c>
      <c r="C2812">
        <v>16902</v>
      </c>
    </row>
    <row r="2813" spans="1:5">
      <c r="A2813" s="41">
        <v>46072</v>
      </c>
      <c r="B2813" t="s">
        <v>333</v>
      </c>
      <c r="C2813">
        <v>11863</v>
      </c>
    </row>
    <row r="2814" spans="1:5">
      <c r="A2814" s="41">
        <v>46072</v>
      </c>
      <c r="B2814" t="s">
        <v>364</v>
      </c>
      <c r="C2814">
        <v>16815</v>
      </c>
    </row>
    <row r="2815" spans="1:5">
      <c r="A2815" s="41">
        <v>46072</v>
      </c>
      <c r="B2815" t="s">
        <v>379</v>
      </c>
      <c r="C2815">
        <v>3504</v>
      </c>
    </row>
    <row r="2816" spans="1:5">
      <c r="A2816" s="41">
        <v>46072</v>
      </c>
      <c r="B2816" t="s">
        <v>396</v>
      </c>
      <c r="C2816">
        <v>8575</v>
      </c>
    </row>
    <row r="2817" spans="1:4">
      <c r="A2817" s="41">
        <v>46072</v>
      </c>
      <c r="B2817" t="s">
        <v>405</v>
      </c>
      <c r="C2817">
        <v>12680</v>
      </c>
    </row>
    <row r="2818" spans="1:4">
      <c r="A2818" s="41">
        <v>46072</v>
      </c>
      <c r="B2818" t="s">
        <v>417</v>
      </c>
      <c r="C2818">
        <v>8219</v>
      </c>
    </row>
    <row r="2819" spans="1:4">
      <c r="A2819" s="41">
        <v>46072</v>
      </c>
      <c r="B2819" t="s">
        <v>420</v>
      </c>
      <c r="C2819">
        <v>5621</v>
      </c>
    </row>
    <row r="2820" spans="1:4">
      <c r="A2820" s="41">
        <v>46072</v>
      </c>
      <c r="B2820" t="s">
        <v>424</v>
      </c>
      <c r="C2820">
        <v>547</v>
      </c>
    </row>
    <row r="2821" spans="1:4">
      <c r="A2821" s="41">
        <v>46072</v>
      </c>
      <c r="B2821" t="s">
        <v>431</v>
      </c>
      <c r="C2821">
        <v>9998</v>
      </c>
    </row>
    <row r="2822" spans="1:4">
      <c r="A2822" s="41">
        <v>46072</v>
      </c>
      <c r="B2822" t="s">
        <v>443</v>
      </c>
      <c r="C2822">
        <v>2289</v>
      </c>
    </row>
    <row r="2823" spans="1:4">
      <c r="A2823" s="41">
        <v>46072</v>
      </c>
      <c r="B2823" t="s">
        <v>447</v>
      </c>
      <c r="C2823">
        <v>1670</v>
      </c>
    </row>
    <row r="2824" spans="1:4">
      <c r="A2824" s="41">
        <v>46072</v>
      </c>
      <c r="B2824" t="s">
        <v>465</v>
      </c>
      <c r="D2824">
        <v>103127</v>
      </c>
    </row>
    <row r="2825" spans="1:4">
      <c r="A2825" s="41">
        <v>46072</v>
      </c>
      <c r="B2825" t="s">
        <v>488</v>
      </c>
      <c r="D2825">
        <v>102405</v>
      </c>
    </row>
    <row r="2826" spans="1:4">
      <c r="A2826" s="41">
        <v>46072</v>
      </c>
      <c r="B2826" t="s">
        <v>490</v>
      </c>
      <c r="D2826">
        <v>85189</v>
      </c>
    </row>
    <row r="2827" spans="1:4">
      <c r="A2827" s="41">
        <v>46072</v>
      </c>
      <c r="B2827" t="s">
        <v>495</v>
      </c>
      <c r="D2827">
        <v>107331</v>
      </c>
    </row>
    <row r="2828" spans="1:4">
      <c r="A2828" s="41">
        <v>46072</v>
      </c>
      <c r="B2828" t="s">
        <v>496</v>
      </c>
    </row>
    <row r="2829" spans="1:4">
      <c r="A2829" s="41">
        <v>46072</v>
      </c>
      <c r="B2829" t="s">
        <v>501</v>
      </c>
      <c r="D2829">
        <v>88679</v>
      </c>
    </row>
    <row r="2830" spans="1:4">
      <c r="A2830" s="41">
        <v>46072</v>
      </c>
      <c r="B2830" t="s">
        <v>506</v>
      </c>
      <c r="D2830">
        <v>61106</v>
      </c>
    </row>
    <row r="2831" spans="1:4">
      <c r="A2831" s="41">
        <v>46072</v>
      </c>
      <c r="B2831" t="s">
        <v>512</v>
      </c>
      <c r="D2831">
        <v>49814</v>
      </c>
    </row>
    <row r="2832" spans="1:4">
      <c r="A2832" s="41">
        <v>46072</v>
      </c>
      <c r="B2832" t="s">
        <v>91</v>
      </c>
      <c r="C2832">
        <v>3594</v>
      </c>
      <c r="D2832">
        <v>93066</v>
      </c>
    </row>
    <row r="2833" spans="1:4">
      <c r="A2833" s="41">
        <v>46072</v>
      </c>
      <c r="B2833" t="s">
        <v>520</v>
      </c>
      <c r="D2833">
        <v>50334</v>
      </c>
    </row>
    <row r="2834" spans="1:4">
      <c r="A2834" s="41">
        <v>46072</v>
      </c>
      <c r="B2834" t="s">
        <v>523</v>
      </c>
      <c r="D2834">
        <v>58080</v>
      </c>
    </row>
    <row r="2835" spans="1:4">
      <c r="A2835" s="41">
        <v>46072</v>
      </c>
      <c r="B2835" t="s">
        <v>526</v>
      </c>
      <c r="D2835">
        <v>60940</v>
      </c>
    </row>
    <row r="2836" spans="1:4">
      <c r="A2836" s="41">
        <v>46072</v>
      </c>
      <c r="B2836" t="s">
        <v>539</v>
      </c>
      <c r="D2836">
        <v>37399</v>
      </c>
    </row>
    <row r="2837" spans="1:4">
      <c r="A2837" s="41">
        <v>46072</v>
      </c>
      <c r="B2837" t="s">
        <v>549</v>
      </c>
      <c r="D2837">
        <v>13045</v>
      </c>
    </row>
    <row r="2838" spans="1:4">
      <c r="A2838" s="41">
        <v>46072</v>
      </c>
      <c r="B2838" t="s">
        <v>551</v>
      </c>
      <c r="D2838">
        <v>17698</v>
      </c>
    </row>
    <row r="2839" spans="1:4">
      <c r="A2839" s="41">
        <v>46072</v>
      </c>
      <c r="B2839" t="s">
        <v>559</v>
      </c>
      <c r="D2839">
        <v>558947</v>
      </c>
    </row>
    <row r="2840" spans="1:4">
      <c r="A2840" s="41">
        <v>46072</v>
      </c>
      <c r="B2840" t="s">
        <v>577</v>
      </c>
      <c r="D2840">
        <v>223783</v>
      </c>
    </row>
    <row r="2841" spans="1:4">
      <c r="A2841" s="41">
        <v>46072</v>
      </c>
      <c r="B2841" t="s">
        <v>596</v>
      </c>
      <c r="D2841">
        <v>141356</v>
      </c>
    </row>
    <row r="2842" spans="1:4">
      <c r="A2842" s="41">
        <v>46072</v>
      </c>
      <c r="B2842" t="s">
        <v>620</v>
      </c>
      <c r="D2842">
        <v>124411</v>
      </c>
    </row>
    <row r="2843" spans="1:4">
      <c r="A2843" s="41">
        <v>46072</v>
      </c>
      <c r="B2843" t="s">
        <v>624</v>
      </c>
      <c r="D2843">
        <v>89592</v>
      </c>
    </row>
    <row r="2844" spans="1:4">
      <c r="A2844" s="41">
        <v>46072</v>
      </c>
      <c r="B2844" t="s">
        <v>630</v>
      </c>
      <c r="D2844">
        <v>141027</v>
      </c>
    </row>
    <row r="2845" spans="1:4">
      <c r="A2845" s="41">
        <v>46072</v>
      </c>
      <c r="B2845" t="s">
        <v>634</v>
      </c>
      <c r="D2845">
        <v>106225</v>
      </c>
    </row>
    <row r="2846" spans="1:4">
      <c r="A2846" s="41">
        <v>46073</v>
      </c>
      <c r="B2846" t="s">
        <v>29</v>
      </c>
      <c r="C2846">
        <v>10701</v>
      </c>
      <c r="D2846">
        <v>258313</v>
      </c>
    </row>
    <row r="2847" spans="1:4">
      <c r="A2847" s="41">
        <v>46073</v>
      </c>
      <c r="B2847" t="s">
        <v>44</v>
      </c>
      <c r="D2847">
        <v>188873</v>
      </c>
    </row>
    <row r="2848" spans="1:4">
      <c r="A2848" s="41">
        <v>46073</v>
      </c>
      <c r="B2848" t="s">
        <v>65</v>
      </c>
      <c r="C2848">
        <v>3775</v>
      </c>
    </row>
    <row r="2849" spans="1:4">
      <c r="A2849" s="41">
        <v>46073</v>
      </c>
      <c r="B2849" t="s">
        <v>81</v>
      </c>
      <c r="C2849">
        <v>2694</v>
      </c>
      <c r="D2849">
        <v>193033</v>
      </c>
    </row>
    <row r="2850" spans="1:4">
      <c r="A2850" s="41">
        <v>46073</v>
      </c>
      <c r="B2850" t="s">
        <v>106</v>
      </c>
      <c r="D2850">
        <v>120924</v>
      </c>
    </row>
    <row r="2851" spans="1:4">
      <c r="A2851" s="81">
        <v>44505</v>
      </c>
      <c r="B2851" t="s">
        <v>169</v>
      </c>
      <c r="C2851">
        <v>3157</v>
      </c>
    </row>
    <row r="2852" spans="1:4">
      <c r="A2852" s="41">
        <v>46073</v>
      </c>
      <c r="B2852" t="s">
        <v>169</v>
      </c>
      <c r="C2852">
        <v>9313</v>
      </c>
      <c r="D2852">
        <v>196798</v>
      </c>
    </row>
    <row r="2853" spans="1:4">
      <c r="A2853" s="41">
        <v>46073</v>
      </c>
      <c r="B2853" t="s">
        <v>175</v>
      </c>
      <c r="C2853">
        <v>9198</v>
      </c>
      <c r="D2853">
        <v>208168</v>
      </c>
    </row>
    <row r="2854" spans="1:4">
      <c r="A2854" s="41">
        <v>46073</v>
      </c>
      <c r="B2854" t="s">
        <v>182</v>
      </c>
      <c r="C2854">
        <v>8711</v>
      </c>
      <c r="D2854">
        <v>164435</v>
      </c>
    </row>
    <row r="2855" spans="1:4">
      <c r="A2855" s="41">
        <v>46073</v>
      </c>
      <c r="B2855" t="s">
        <v>234</v>
      </c>
      <c r="C2855">
        <v>1969</v>
      </c>
    </row>
    <row r="2856" spans="1:4">
      <c r="A2856" s="41">
        <v>46073</v>
      </c>
      <c r="B2856" t="s">
        <v>246</v>
      </c>
      <c r="C2856">
        <v>6471</v>
      </c>
    </row>
    <row r="2857" spans="1:4">
      <c r="A2857" s="41">
        <v>46073</v>
      </c>
      <c r="B2857" t="s">
        <v>249</v>
      </c>
      <c r="C2857">
        <v>4834</v>
      </c>
    </row>
    <row r="2858" spans="1:4">
      <c r="A2858" s="41">
        <v>46073</v>
      </c>
      <c r="B2858" t="s">
        <v>295</v>
      </c>
      <c r="C2858">
        <v>8872</v>
      </c>
    </row>
    <row r="2859" spans="1:4">
      <c r="A2859" s="41">
        <v>46073</v>
      </c>
      <c r="B2859" t="s">
        <v>314</v>
      </c>
      <c r="C2859">
        <v>27759</v>
      </c>
    </row>
    <row r="2860" spans="1:4">
      <c r="A2860" s="41">
        <v>46073</v>
      </c>
      <c r="B2860" t="s">
        <v>378</v>
      </c>
      <c r="C2860">
        <v>3699</v>
      </c>
    </row>
    <row r="2861" spans="1:4">
      <c r="A2861" s="41">
        <v>46073</v>
      </c>
      <c r="B2861" t="s">
        <v>408</v>
      </c>
      <c r="C2861">
        <v>4359</v>
      </c>
    </row>
    <row r="2862" spans="1:4">
      <c r="A2862" s="41">
        <v>46073</v>
      </c>
      <c r="B2862" t="s">
        <v>440</v>
      </c>
      <c r="C2862">
        <v>1950</v>
      </c>
    </row>
    <row r="2863" spans="1:4">
      <c r="A2863" s="41">
        <v>46073</v>
      </c>
      <c r="B2863" t="s">
        <v>449</v>
      </c>
      <c r="C2863">
        <v>1671</v>
      </c>
    </row>
    <row r="2864" spans="1:4">
      <c r="A2864" s="41">
        <v>46073</v>
      </c>
      <c r="B2864" t="s">
        <v>451</v>
      </c>
      <c r="C2864">
        <v>1926</v>
      </c>
    </row>
    <row r="2865" spans="1:4">
      <c r="A2865" s="41">
        <v>46073</v>
      </c>
      <c r="B2865" t="s">
        <v>456</v>
      </c>
      <c r="C2865">
        <v>2129</v>
      </c>
    </row>
    <row r="2866" spans="1:4">
      <c r="A2866" s="41">
        <v>46073</v>
      </c>
      <c r="B2866" t="s">
        <v>458</v>
      </c>
      <c r="D2866">
        <v>94588</v>
      </c>
    </row>
    <row r="2867" spans="1:4">
      <c r="A2867" s="41">
        <v>46073</v>
      </c>
      <c r="B2867" t="s">
        <v>463</v>
      </c>
      <c r="D2867">
        <v>104779</v>
      </c>
    </row>
    <row r="2868" spans="1:4">
      <c r="A2868" s="41">
        <v>46073</v>
      </c>
      <c r="B2868" t="s">
        <v>488</v>
      </c>
      <c r="D2868">
        <v>102904</v>
      </c>
    </row>
    <row r="2869" spans="1:4">
      <c r="A2869" s="41">
        <v>46073</v>
      </c>
      <c r="B2869" t="s">
        <v>490</v>
      </c>
      <c r="D2869">
        <v>85537</v>
      </c>
    </row>
    <row r="2870" spans="1:4">
      <c r="A2870" s="41">
        <v>46073</v>
      </c>
      <c r="B2870" t="s">
        <v>499</v>
      </c>
      <c r="D2870">
        <v>61924</v>
      </c>
    </row>
    <row r="2871" spans="1:4">
      <c r="A2871" s="41">
        <v>46073</v>
      </c>
      <c r="B2871" t="s">
        <v>501</v>
      </c>
      <c r="D2871">
        <v>89196</v>
      </c>
    </row>
    <row r="2872" spans="1:4">
      <c r="A2872" s="41">
        <v>46073</v>
      </c>
      <c r="B2872" t="s">
        <v>506</v>
      </c>
      <c r="D2872">
        <v>61499</v>
      </c>
    </row>
    <row r="2873" spans="1:4">
      <c r="A2873" s="41">
        <v>46073</v>
      </c>
      <c r="B2873" t="s">
        <v>508</v>
      </c>
      <c r="D2873">
        <v>48475</v>
      </c>
    </row>
    <row r="2874" spans="1:4">
      <c r="A2874" s="41">
        <v>46073</v>
      </c>
      <c r="B2874" t="s">
        <v>512</v>
      </c>
      <c r="D2874">
        <v>50035</v>
      </c>
    </row>
    <row r="2875" spans="1:4">
      <c r="A2875" s="41">
        <v>46073</v>
      </c>
      <c r="B2875" t="s">
        <v>515</v>
      </c>
      <c r="D2875">
        <v>69830</v>
      </c>
    </row>
    <row r="2876" spans="1:4">
      <c r="A2876" s="41">
        <v>46073</v>
      </c>
      <c r="B2876" t="s">
        <v>528</v>
      </c>
      <c r="D2876">
        <v>65777</v>
      </c>
    </row>
    <row r="2877" spans="1:4">
      <c r="A2877" s="41">
        <v>46073</v>
      </c>
      <c r="B2877" t="s">
        <v>533</v>
      </c>
      <c r="D2877">
        <v>72322</v>
      </c>
    </row>
    <row r="2878" spans="1:4">
      <c r="A2878" s="41">
        <v>46073</v>
      </c>
      <c r="B2878" t="s">
        <v>537</v>
      </c>
      <c r="D2878">
        <v>94450</v>
      </c>
    </row>
    <row r="2879" spans="1:4">
      <c r="A2879" s="41">
        <v>46073</v>
      </c>
      <c r="B2879" t="s">
        <v>542</v>
      </c>
      <c r="D2879">
        <v>87199</v>
      </c>
    </row>
    <row r="2880" spans="1:4">
      <c r="A2880" s="41">
        <v>46073</v>
      </c>
      <c r="B2880" t="s">
        <v>549</v>
      </c>
      <c r="D2880">
        <v>13240</v>
      </c>
    </row>
    <row r="2881" spans="1:4">
      <c r="A2881" s="41">
        <v>46073</v>
      </c>
      <c r="B2881" t="s">
        <v>552</v>
      </c>
      <c r="D2881">
        <v>13214</v>
      </c>
    </row>
    <row r="2882" spans="1:4">
      <c r="A2882" s="41">
        <v>46073</v>
      </c>
      <c r="B2882" t="s">
        <v>568</v>
      </c>
      <c r="D2882">
        <v>157645</v>
      </c>
    </row>
    <row r="2883" spans="1:4">
      <c r="A2883" s="41">
        <v>46073</v>
      </c>
      <c r="B2883" t="s">
        <v>572</v>
      </c>
      <c r="D2883">
        <v>148561</v>
      </c>
    </row>
    <row r="2884" spans="1:4">
      <c r="A2884" s="41">
        <v>46073</v>
      </c>
      <c r="B2884" t="s">
        <v>572</v>
      </c>
      <c r="D2884">
        <v>148771</v>
      </c>
    </row>
    <row r="2885" spans="1:4">
      <c r="A2885" s="41">
        <v>46073</v>
      </c>
      <c r="B2885" t="s">
        <v>596</v>
      </c>
      <c r="D2885">
        <v>141692</v>
      </c>
    </row>
    <row r="2886" spans="1:4">
      <c r="A2886" s="41">
        <v>46073</v>
      </c>
      <c r="B2886" t="s">
        <v>598</v>
      </c>
      <c r="D2886">
        <v>137856</v>
      </c>
    </row>
    <row r="2887" spans="1:4">
      <c r="A2887" s="41">
        <v>46073</v>
      </c>
      <c r="B2887" t="s">
        <v>608</v>
      </c>
      <c r="D2887">
        <v>299453</v>
      </c>
    </row>
    <row r="2888" spans="1:4">
      <c r="A2888" s="41">
        <v>46073</v>
      </c>
      <c r="B2888" t="s">
        <v>611</v>
      </c>
      <c r="D2888">
        <v>259942</v>
      </c>
    </row>
    <row r="2889" spans="1:4">
      <c r="A2889" s="41">
        <v>46073</v>
      </c>
      <c r="B2889" t="s">
        <v>616</v>
      </c>
      <c r="D2889">
        <v>120150</v>
      </c>
    </row>
    <row r="2890" spans="1:4">
      <c r="A2890" s="41">
        <v>46073</v>
      </c>
      <c r="B2890" t="s">
        <v>626</v>
      </c>
      <c r="D2890">
        <v>106295</v>
      </c>
    </row>
    <row r="2891" spans="1:4">
      <c r="A2891" s="41">
        <v>46073</v>
      </c>
      <c r="B2891" t="s">
        <v>634</v>
      </c>
      <c r="D2891">
        <v>106649</v>
      </c>
    </row>
    <row r="2892" spans="1:4">
      <c r="A2892" s="41">
        <v>46076</v>
      </c>
      <c r="B2892" t="s">
        <v>19</v>
      </c>
      <c r="C2892">
        <v>10214</v>
      </c>
    </row>
    <row r="2893" spans="1:4">
      <c r="A2893" s="41">
        <v>46076</v>
      </c>
      <c r="B2893" t="s">
        <v>19</v>
      </c>
      <c r="C2893">
        <v>10221</v>
      </c>
    </row>
    <row r="2894" spans="1:4">
      <c r="A2894" s="41">
        <v>46076</v>
      </c>
      <c r="B2894" t="s">
        <v>32</v>
      </c>
      <c r="D2894">
        <v>251542</v>
      </c>
    </row>
    <row r="2895" spans="1:4">
      <c r="A2895" s="41">
        <v>46076</v>
      </c>
      <c r="B2895" t="s">
        <v>50</v>
      </c>
      <c r="D2895">
        <v>274086</v>
      </c>
    </row>
    <row r="2896" spans="1:4">
      <c r="A2896" s="41">
        <v>46076</v>
      </c>
      <c r="B2896" t="s">
        <v>78</v>
      </c>
      <c r="D2896">
        <v>514143</v>
      </c>
    </row>
    <row r="2897" spans="1:4">
      <c r="A2897" s="41">
        <v>46076</v>
      </c>
      <c r="B2897" t="s">
        <v>78</v>
      </c>
      <c r="D2897">
        <v>513181</v>
      </c>
    </row>
    <row r="2898" spans="1:4">
      <c r="A2898" s="41">
        <v>46076</v>
      </c>
      <c r="B2898" t="s">
        <v>81</v>
      </c>
      <c r="D2898">
        <v>193075</v>
      </c>
    </row>
    <row r="2899" spans="1:4">
      <c r="A2899" s="41">
        <v>46076</v>
      </c>
      <c r="B2899" t="s">
        <v>93</v>
      </c>
      <c r="D2899">
        <v>99221</v>
      </c>
    </row>
    <row r="2900" spans="1:4">
      <c r="A2900" s="41">
        <v>46076</v>
      </c>
      <c r="B2900" t="s">
        <v>106</v>
      </c>
      <c r="D2900">
        <v>121124</v>
      </c>
    </row>
    <row r="2901" spans="1:4">
      <c r="A2901" s="41">
        <v>46076</v>
      </c>
      <c r="B2901" t="s">
        <v>138</v>
      </c>
      <c r="D2901">
        <v>293287</v>
      </c>
    </row>
    <row r="2902" spans="1:4">
      <c r="A2902" s="81">
        <v>44505</v>
      </c>
      <c r="B2902" t="s">
        <v>386</v>
      </c>
      <c r="C2902">
        <v>5757</v>
      </c>
    </row>
    <row r="2903" spans="1:4">
      <c r="A2903" s="41">
        <v>46076</v>
      </c>
      <c r="B2903" t="s">
        <v>661</v>
      </c>
      <c r="D2903">
        <v>314044</v>
      </c>
    </row>
    <row r="2904" spans="1:4">
      <c r="A2904" s="41">
        <v>46076</v>
      </c>
      <c r="B2904" t="s">
        <v>171</v>
      </c>
      <c r="C2904">
        <v>1937</v>
      </c>
      <c r="D2904">
        <v>206402</v>
      </c>
    </row>
    <row r="2905" spans="1:4">
      <c r="A2905" s="41">
        <v>46076</v>
      </c>
      <c r="B2905" t="s">
        <v>171</v>
      </c>
      <c r="C2905">
        <v>1947</v>
      </c>
    </row>
    <row r="2906" spans="1:4">
      <c r="A2906" s="41">
        <v>46076</v>
      </c>
      <c r="B2906" t="s">
        <v>175</v>
      </c>
      <c r="C2906">
        <v>9206</v>
      </c>
      <c r="D2906">
        <v>208322</v>
      </c>
    </row>
    <row r="2907" spans="1:4">
      <c r="A2907" s="41">
        <v>46076</v>
      </c>
      <c r="B2907" t="s">
        <v>254</v>
      </c>
      <c r="C2907">
        <v>15651</v>
      </c>
    </row>
    <row r="2908" spans="1:4">
      <c r="A2908" s="41">
        <v>46076</v>
      </c>
      <c r="B2908" t="s">
        <v>254</v>
      </c>
      <c r="C2908">
        <v>15659</v>
      </c>
    </row>
    <row r="2909" spans="1:4">
      <c r="A2909" s="41">
        <v>46076</v>
      </c>
      <c r="B2909" t="s">
        <v>258</v>
      </c>
      <c r="C2909">
        <v>2660</v>
      </c>
    </row>
    <row r="2910" spans="1:4">
      <c r="A2910" s="41">
        <v>46076</v>
      </c>
      <c r="B2910" t="s">
        <v>258</v>
      </c>
      <c r="C2910">
        <v>2668</v>
      </c>
    </row>
    <row r="2911" spans="1:4">
      <c r="A2911" s="41">
        <v>46076</v>
      </c>
      <c r="B2911" t="s">
        <v>273</v>
      </c>
      <c r="C2911">
        <v>4148</v>
      </c>
    </row>
    <row r="2912" spans="1:4">
      <c r="A2912" s="41">
        <v>46076</v>
      </c>
      <c r="B2912" t="s">
        <v>275</v>
      </c>
      <c r="C2912">
        <v>1421</v>
      </c>
    </row>
    <row r="2913" spans="1:5">
      <c r="A2913" s="41">
        <v>46076</v>
      </c>
      <c r="B2913" t="s">
        <v>288</v>
      </c>
      <c r="C2913">
        <v>1387</v>
      </c>
    </row>
    <row r="2914" spans="1:5">
      <c r="A2914" s="41">
        <v>46076</v>
      </c>
      <c r="B2914" t="s">
        <v>288</v>
      </c>
      <c r="C2914">
        <v>1395</v>
      </c>
    </row>
    <row r="2915" spans="1:5">
      <c r="A2915" s="41">
        <v>46076</v>
      </c>
      <c r="B2915" t="s">
        <v>305</v>
      </c>
      <c r="C2915">
        <v>16911</v>
      </c>
    </row>
    <row r="2916" spans="1:5">
      <c r="A2916" s="41">
        <v>46076</v>
      </c>
      <c r="B2916" t="s">
        <v>333</v>
      </c>
      <c r="C2916">
        <v>11867</v>
      </c>
    </row>
    <row r="2917" spans="1:5">
      <c r="A2917" s="41">
        <v>46076</v>
      </c>
      <c r="B2917" t="s">
        <v>379</v>
      </c>
      <c r="C2917">
        <v>3015</v>
      </c>
    </row>
    <row r="2918" spans="1:5">
      <c r="A2918" s="41">
        <v>46076</v>
      </c>
      <c r="B2918" t="s">
        <v>417</v>
      </c>
      <c r="C2918">
        <v>8226</v>
      </c>
    </row>
    <row r="2919" spans="1:5">
      <c r="A2919" s="41">
        <v>46076</v>
      </c>
      <c r="B2919" t="s">
        <v>417</v>
      </c>
      <c r="C2919">
        <v>8233</v>
      </c>
    </row>
    <row r="2920" spans="1:5">
      <c r="A2920" s="41">
        <v>46076</v>
      </c>
      <c r="B2920" t="s">
        <v>420</v>
      </c>
      <c r="C2920">
        <v>5633</v>
      </c>
      <c r="E2920" t="s">
        <v>272</v>
      </c>
    </row>
    <row r="2921" spans="1:5">
      <c r="A2921" s="41">
        <v>46076</v>
      </c>
      <c r="B2921" t="s">
        <v>424</v>
      </c>
      <c r="C2921">
        <v>551</v>
      </c>
    </row>
    <row r="2922" spans="1:5">
      <c r="A2922" s="41">
        <v>46076</v>
      </c>
      <c r="B2922" t="s">
        <v>431</v>
      </c>
      <c r="C2922">
        <v>10014</v>
      </c>
    </row>
    <row r="2923" spans="1:5">
      <c r="A2923" s="41">
        <v>46076</v>
      </c>
      <c r="B2923" t="s">
        <v>443</v>
      </c>
      <c r="C2923">
        <v>2293</v>
      </c>
      <c r="E2923" t="s">
        <v>272</v>
      </c>
    </row>
    <row r="2924" spans="1:5">
      <c r="A2924" s="41">
        <v>46076</v>
      </c>
      <c r="B2924" t="s">
        <v>481</v>
      </c>
      <c r="D2924">
        <v>74020</v>
      </c>
    </row>
    <row r="2925" spans="1:5">
      <c r="A2925" s="41">
        <v>46076</v>
      </c>
      <c r="B2925" t="s">
        <v>488</v>
      </c>
      <c r="D2925">
        <v>103262</v>
      </c>
    </row>
    <row r="2926" spans="1:5">
      <c r="A2926" s="41">
        <v>46076</v>
      </c>
      <c r="B2926" t="s">
        <v>496</v>
      </c>
    </row>
    <row r="2927" spans="1:5">
      <c r="A2927" s="41">
        <v>46076</v>
      </c>
      <c r="B2927" t="s">
        <v>501</v>
      </c>
      <c r="D2927">
        <v>89731</v>
      </c>
    </row>
    <row r="2928" spans="1:5">
      <c r="A2928" s="41">
        <v>46076</v>
      </c>
      <c r="B2928" t="s">
        <v>510</v>
      </c>
      <c r="D2928">
        <v>43665</v>
      </c>
    </row>
    <row r="2929" spans="1:4">
      <c r="A2929" s="41">
        <v>46076</v>
      </c>
      <c r="B2929" t="s">
        <v>512</v>
      </c>
      <c r="D2929">
        <v>50424</v>
      </c>
    </row>
    <row r="2930" spans="1:4">
      <c r="A2930" s="41">
        <v>46076</v>
      </c>
      <c r="B2930" t="s">
        <v>514</v>
      </c>
      <c r="D2930">
        <v>61470</v>
      </c>
    </row>
    <row r="2931" spans="1:4">
      <c r="A2931" s="41">
        <v>46076</v>
      </c>
      <c r="B2931" t="s">
        <v>91</v>
      </c>
      <c r="C2931">
        <v>3608</v>
      </c>
      <c r="D2931">
        <v>93293</v>
      </c>
    </row>
    <row r="2932" spans="1:4">
      <c r="A2932" s="41">
        <v>46076</v>
      </c>
      <c r="B2932" t="s">
        <v>523</v>
      </c>
      <c r="D2932">
        <v>58559</v>
      </c>
    </row>
    <row r="2933" spans="1:4">
      <c r="A2933" s="41">
        <v>46076</v>
      </c>
      <c r="B2933" t="s">
        <v>526</v>
      </c>
      <c r="D2933">
        <v>61427</v>
      </c>
    </row>
    <row r="2934" spans="1:4">
      <c r="A2934" s="41">
        <v>46076</v>
      </c>
      <c r="B2934" t="s">
        <v>533</v>
      </c>
      <c r="D2934">
        <v>72692</v>
      </c>
    </row>
    <row r="2935" spans="1:4">
      <c r="A2935" s="41">
        <v>46076</v>
      </c>
      <c r="B2935" t="s">
        <v>535</v>
      </c>
      <c r="D2935">
        <v>72148</v>
      </c>
    </row>
    <row r="2936" spans="1:4">
      <c r="A2936" s="41">
        <v>46076</v>
      </c>
      <c r="B2936" t="s">
        <v>539</v>
      </c>
      <c r="D2936">
        <v>37779</v>
      </c>
    </row>
    <row r="2937" spans="1:4">
      <c r="A2937" s="41">
        <v>46076</v>
      </c>
      <c r="B2937" t="s">
        <v>542</v>
      </c>
      <c r="D2937">
        <v>88018</v>
      </c>
    </row>
    <row r="2938" spans="1:4">
      <c r="A2938" s="41">
        <v>46076</v>
      </c>
      <c r="B2938" t="s">
        <v>551</v>
      </c>
      <c r="D2938">
        <v>18398</v>
      </c>
    </row>
    <row r="2939" spans="1:4">
      <c r="A2939" s="41">
        <v>46076</v>
      </c>
      <c r="B2939" t="s">
        <v>552</v>
      </c>
      <c r="D2939">
        <v>13792</v>
      </c>
    </row>
    <row r="2940" spans="1:4">
      <c r="A2940" s="41">
        <v>46076</v>
      </c>
      <c r="B2940" t="s">
        <v>559</v>
      </c>
      <c r="D2940">
        <v>559311</v>
      </c>
    </row>
    <row r="2941" spans="1:4">
      <c r="A2941" s="41">
        <v>46076</v>
      </c>
      <c r="B2941" t="s">
        <v>575</v>
      </c>
      <c r="D2941">
        <v>237160</v>
      </c>
    </row>
    <row r="2942" spans="1:4">
      <c r="A2942" s="41">
        <v>46076</v>
      </c>
      <c r="B2942" t="s">
        <v>577</v>
      </c>
      <c r="D2942">
        <v>224581</v>
      </c>
    </row>
    <row r="2943" spans="1:4">
      <c r="A2943" s="41">
        <v>46076</v>
      </c>
      <c r="B2943" t="s">
        <v>593</v>
      </c>
      <c r="D2943">
        <v>163875</v>
      </c>
    </row>
    <row r="2944" spans="1:4">
      <c r="A2944" s="41">
        <v>46076</v>
      </c>
      <c r="B2944" t="s">
        <v>593</v>
      </c>
      <c r="D2944">
        <v>163975</v>
      </c>
    </row>
    <row r="2945" spans="1:5">
      <c r="A2945" s="41">
        <v>46076</v>
      </c>
      <c r="B2945" t="s">
        <v>594</v>
      </c>
      <c r="D2945">
        <v>138078</v>
      </c>
    </row>
    <row r="2946" spans="1:5">
      <c r="A2946" s="41">
        <v>46076</v>
      </c>
      <c r="B2946" t="s">
        <v>596</v>
      </c>
      <c r="D2946">
        <v>142031</v>
      </c>
    </row>
    <row r="2947" spans="1:5">
      <c r="A2947" s="41">
        <v>46076</v>
      </c>
      <c r="B2947" t="s">
        <v>620</v>
      </c>
      <c r="D2947">
        <v>125117</v>
      </c>
    </row>
    <row r="2948" spans="1:5">
      <c r="A2948" s="41">
        <v>46076</v>
      </c>
      <c r="B2948" t="s">
        <v>624</v>
      </c>
      <c r="D2948">
        <v>90312</v>
      </c>
      <c r="E2948" t="s">
        <v>272</v>
      </c>
    </row>
    <row r="2949" spans="1:5">
      <c r="A2949" s="41">
        <v>46076</v>
      </c>
      <c r="B2949" t="s">
        <v>626</v>
      </c>
      <c r="D2949">
        <v>106722</v>
      </c>
    </row>
    <row r="2950" spans="1:5">
      <c r="A2950" s="41">
        <v>46076</v>
      </c>
      <c r="B2950" t="s">
        <v>630</v>
      </c>
      <c r="D2950">
        <v>141802</v>
      </c>
    </row>
    <row r="2951" spans="1:5">
      <c r="A2951" s="41">
        <v>46076</v>
      </c>
      <c r="B2951" t="s">
        <v>634</v>
      </c>
      <c r="D2951">
        <v>106886</v>
      </c>
    </row>
    <row r="2952" spans="1:5">
      <c r="A2952" s="41">
        <v>46077</v>
      </c>
      <c r="B2952" t="s">
        <v>19</v>
      </c>
      <c r="C2952">
        <v>10229</v>
      </c>
    </row>
    <row r="2953" spans="1:5">
      <c r="A2953" s="41">
        <v>46077</v>
      </c>
      <c r="B2953" t="s">
        <v>32</v>
      </c>
      <c r="C2953">
        <v>10428</v>
      </c>
      <c r="D2953">
        <v>251731</v>
      </c>
    </row>
    <row r="2954" spans="1:5">
      <c r="A2954" s="41">
        <v>46077</v>
      </c>
      <c r="B2954" t="s">
        <v>41</v>
      </c>
      <c r="D2954">
        <v>98639</v>
      </c>
    </row>
    <row r="2955" spans="1:5">
      <c r="A2955" s="41">
        <v>46077</v>
      </c>
      <c r="B2955" t="s">
        <v>41</v>
      </c>
      <c r="D2955">
        <v>98639</v>
      </c>
    </row>
    <row r="2956" spans="1:5">
      <c r="A2956" s="41">
        <v>46077</v>
      </c>
      <c r="B2956" t="s">
        <v>65</v>
      </c>
      <c r="C2956">
        <v>3783</v>
      </c>
    </row>
    <row r="2957" spans="1:5">
      <c r="A2957" s="41">
        <v>46077</v>
      </c>
      <c r="B2957" t="s">
        <v>78</v>
      </c>
      <c r="D2957">
        <v>514244</v>
      </c>
    </row>
    <row r="2958" spans="1:5">
      <c r="A2958" s="41">
        <v>46077</v>
      </c>
      <c r="B2958" t="s">
        <v>89</v>
      </c>
      <c r="C2958">
        <v>3440</v>
      </c>
      <c r="D2958">
        <v>88032</v>
      </c>
    </row>
    <row r="2959" spans="1:5">
      <c r="A2959" s="41">
        <v>46077</v>
      </c>
      <c r="B2959" t="s">
        <v>106</v>
      </c>
      <c r="D2959">
        <v>121354</v>
      </c>
    </row>
    <row r="2960" spans="1:5">
      <c r="A2960" s="41">
        <v>46077</v>
      </c>
      <c r="B2960" t="s">
        <v>126</v>
      </c>
      <c r="D2960">
        <v>62298</v>
      </c>
    </row>
    <row r="2961" spans="1:4">
      <c r="A2961" s="41">
        <v>46077</v>
      </c>
      <c r="B2961" t="s">
        <v>138</v>
      </c>
      <c r="D2961">
        <v>293623</v>
      </c>
    </row>
    <row r="2962" spans="1:4">
      <c r="A2962" s="41">
        <v>46077</v>
      </c>
      <c r="B2962" t="s">
        <v>159</v>
      </c>
      <c r="D2962">
        <v>140128</v>
      </c>
    </row>
    <row r="2963" spans="1:4">
      <c r="A2963" s="41">
        <v>46077</v>
      </c>
      <c r="B2963" t="s">
        <v>661</v>
      </c>
      <c r="D2963">
        <v>314811</v>
      </c>
    </row>
    <row r="2964" spans="1:4">
      <c r="A2964" s="41">
        <v>46077</v>
      </c>
      <c r="B2964" t="s">
        <v>169</v>
      </c>
      <c r="C2964">
        <v>9324</v>
      </c>
      <c r="D2964">
        <v>197007</v>
      </c>
    </row>
    <row r="2965" spans="1:4">
      <c r="A2965" s="41">
        <v>46077</v>
      </c>
      <c r="B2965" t="s">
        <v>171</v>
      </c>
      <c r="C2965">
        <v>1952</v>
      </c>
    </row>
    <row r="2966" spans="1:4">
      <c r="A2966" s="41">
        <v>46077</v>
      </c>
      <c r="B2966" t="s">
        <v>182</v>
      </c>
      <c r="C2966">
        <v>7722</v>
      </c>
      <c r="D2966">
        <v>164614</v>
      </c>
    </row>
    <row r="2967" spans="1:4">
      <c r="A2967" s="41">
        <v>46077</v>
      </c>
      <c r="B2967" t="s">
        <v>210</v>
      </c>
      <c r="C2967">
        <v>210</v>
      </c>
    </row>
    <row r="2968" spans="1:4">
      <c r="A2968" s="41">
        <v>46077</v>
      </c>
      <c r="B2968" t="s">
        <v>234</v>
      </c>
      <c r="C2968">
        <v>1970</v>
      </c>
    </row>
    <row r="2969" spans="1:4">
      <c r="A2969" s="41">
        <v>46077</v>
      </c>
      <c r="B2969" t="s">
        <v>243</v>
      </c>
      <c r="C2969">
        <v>5737</v>
      </c>
    </row>
    <row r="2970" spans="1:4">
      <c r="A2970" s="41">
        <v>46077</v>
      </c>
      <c r="B2970" t="s">
        <v>246</v>
      </c>
      <c r="C2970">
        <v>6472</v>
      </c>
    </row>
    <row r="2971" spans="1:4">
      <c r="A2971" s="41">
        <v>46077</v>
      </c>
      <c r="B2971" t="s">
        <v>249</v>
      </c>
      <c r="C2971">
        <v>4837</v>
      </c>
    </row>
    <row r="2972" spans="1:4">
      <c r="A2972" s="41">
        <v>46077</v>
      </c>
      <c r="B2972" t="s">
        <v>258</v>
      </c>
      <c r="C2972">
        <v>2678</v>
      </c>
    </row>
    <row r="2973" spans="1:4">
      <c r="A2973" s="41">
        <v>46077</v>
      </c>
      <c r="B2973" t="s">
        <v>263</v>
      </c>
      <c r="C2973">
        <v>9916</v>
      </c>
    </row>
    <row r="2974" spans="1:4">
      <c r="A2974" s="41">
        <v>46077</v>
      </c>
      <c r="B2974" t="s">
        <v>268</v>
      </c>
      <c r="C2974">
        <v>5590</v>
      </c>
    </row>
    <row r="2975" spans="1:4">
      <c r="A2975" s="41">
        <v>46077</v>
      </c>
      <c r="B2975" t="s">
        <v>288</v>
      </c>
      <c r="C2975">
        <v>1404</v>
      </c>
    </row>
    <row r="2976" spans="1:4">
      <c r="A2976" s="41">
        <v>46077</v>
      </c>
      <c r="B2976" t="s">
        <v>295</v>
      </c>
      <c r="C2976">
        <v>8885</v>
      </c>
    </row>
    <row r="2977" spans="1:4">
      <c r="A2977" s="41">
        <v>46077</v>
      </c>
      <c r="B2977" t="s">
        <v>301</v>
      </c>
      <c r="C2977">
        <v>14517</v>
      </c>
    </row>
    <row r="2978" spans="1:4">
      <c r="A2978" s="41">
        <v>46077</v>
      </c>
      <c r="B2978" t="s">
        <v>314</v>
      </c>
      <c r="C2978">
        <v>27767</v>
      </c>
    </row>
    <row r="2979" spans="1:4">
      <c r="A2979" s="41">
        <v>46077</v>
      </c>
      <c r="B2979" t="s">
        <v>378</v>
      </c>
      <c r="C2979">
        <v>3704</v>
      </c>
    </row>
    <row r="2980" spans="1:4">
      <c r="A2980" s="41">
        <v>46077</v>
      </c>
      <c r="B2980" t="s">
        <v>405</v>
      </c>
      <c r="C2980">
        <v>12697</v>
      </c>
    </row>
    <row r="2981" spans="1:4">
      <c r="A2981" s="41">
        <v>46077</v>
      </c>
      <c r="B2981" t="s">
        <v>408</v>
      </c>
      <c r="C2981">
        <v>4373</v>
      </c>
    </row>
    <row r="2982" spans="1:4">
      <c r="A2982" s="41">
        <v>46077</v>
      </c>
      <c r="B2982" t="s">
        <v>417</v>
      </c>
      <c r="C2982">
        <v>8241</v>
      </c>
    </row>
    <row r="2983" spans="1:4">
      <c r="A2983" s="41">
        <v>46077</v>
      </c>
      <c r="B2983" t="s">
        <v>449</v>
      </c>
      <c r="C2983">
        <v>1680</v>
      </c>
    </row>
    <row r="2984" spans="1:4">
      <c r="A2984" s="41">
        <v>46077</v>
      </c>
      <c r="B2984" t="s">
        <v>456</v>
      </c>
      <c r="C2984">
        <v>2141</v>
      </c>
    </row>
    <row r="2985" spans="1:4">
      <c r="A2985" s="41">
        <v>46077</v>
      </c>
      <c r="B2985" t="s">
        <v>485</v>
      </c>
      <c r="D2985">
        <v>79894</v>
      </c>
    </row>
    <row r="2986" spans="1:4">
      <c r="A2986" s="41">
        <v>46077</v>
      </c>
      <c r="B2986" t="s">
        <v>488</v>
      </c>
      <c r="D2986">
        <v>103822</v>
      </c>
    </row>
    <row r="2987" spans="1:4">
      <c r="A2987" s="41">
        <v>46077</v>
      </c>
      <c r="B2987" t="s">
        <v>490</v>
      </c>
      <c r="D2987">
        <v>86262</v>
      </c>
    </row>
    <row r="2988" spans="1:4">
      <c r="A2988" s="41">
        <v>46077</v>
      </c>
      <c r="B2988" t="s">
        <v>499</v>
      </c>
      <c r="D2988">
        <v>62985</v>
      </c>
    </row>
    <row r="2989" spans="1:4">
      <c r="A2989" s="41">
        <v>46077</v>
      </c>
      <c r="B2989" t="s">
        <v>501</v>
      </c>
      <c r="D2989">
        <v>90248</v>
      </c>
    </row>
    <row r="2990" spans="1:4">
      <c r="A2990" s="41">
        <v>46077</v>
      </c>
      <c r="B2990" t="s">
        <v>515</v>
      </c>
      <c r="D2990">
        <v>70370</v>
      </c>
    </row>
    <row r="2991" spans="1:4">
      <c r="A2991" s="41">
        <v>46077</v>
      </c>
      <c r="B2991" t="s">
        <v>91</v>
      </c>
      <c r="C2991">
        <v>3633</v>
      </c>
      <c r="D2991">
        <v>3617</v>
      </c>
    </row>
    <row r="2992" spans="1:4">
      <c r="A2992" s="41">
        <v>46077</v>
      </c>
      <c r="B2992" t="s">
        <v>518</v>
      </c>
      <c r="D2992">
        <v>74563</v>
      </c>
    </row>
    <row r="2993" spans="1:4">
      <c r="A2993" s="41">
        <v>46077</v>
      </c>
      <c r="B2993" t="s">
        <v>518</v>
      </c>
      <c r="D2993">
        <v>74563</v>
      </c>
    </row>
    <row r="2994" spans="1:4">
      <c r="A2994" s="41">
        <v>46077</v>
      </c>
      <c r="B2994" t="s">
        <v>528</v>
      </c>
      <c r="D2994">
        <v>66252</v>
      </c>
    </row>
    <row r="2995" spans="1:4">
      <c r="A2995" s="41">
        <v>46077</v>
      </c>
      <c r="B2995" t="s">
        <v>549</v>
      </c>
      <c r="D2995">
        <v>13675</v>
      </c>
    </row>
    <row r="2996" spans="1:4">
      <c r="A2996" s="41">
        <v>46077</v>
      </c>
      <c r="B2996" t="s">
        <v>568</v>
      </c>
      <c r="D2996">
        <v>158262</v>
      </c>
    </row>
    <row r="2997" spans="1:4">
      <c r="A2997" s="41">
        <v>46077</v>
      </c>
      <c r="B2997" t="s">
        <v>572</v>
      </c>
      <c r="D2997">
        <v>149507</v>
      </c>
    </row>
    <row r="2998" spans="1:4">
      <c r="A2998" s="41">
        <v>46077</v>
      </c>
      <c r="B2998" t="s">
        <v>577</v>
      </c>
      <c r="D2998">
        <v>224814</v>
      </c>
    </row>
    <row r="2999" spans="1:4">
      <c r="A2999" s="41">
        <v>46077</v>
      </c>
      <c r="B2999" t="s">
        <v>608</v>
      </c>
      <c r="D2999">
        <v>299895</v>
      </c>
    </row>
    <row r="3000" spans="1:4">
      <c r="A3000" s="41">
        <v>46077</v>
      </c>
      <c r="B3000" t="s">
        <v>611</v>
      </c>
      <c r="D3000">
        <v>260400</v>
      </c>
    </row>
    <row r="3001" spans="1:4">
      <c r="A3001" s="41">
        <v>46077</v>
      </c>
      <c r="B3001" t="s">
        <v>616</v>
      </c>
      <c r="D3001">
        <v>121099</v>
      </c>
    </row>
    <row r="3002" spans="1:4">
      <c r="A3002" s="41">
        <v>46078</v>
      </c>
      <c r="B3002" t="s">
        <v>19</v>
      </c>
      <c r="C3002">
        <v>10239</v>
      </c>
    </row>
    <row r="3003" spans="1:4">
      <c r="A3003" s="41">
        <v>46078</v>
      </c>
      <c r="B3003" t="s">
        <v>32</v>
      </c>
      <c r="C3003">
        <v>10435</v>
      </c>
      <c r="D3003">
        <v>252301</v>
      </c>
    </row>
    <row r="3004" spans="1:4">
      <c r="A3004" s="41">
        <v>46078</v>
      </c>
      <c r="B3004" t="s">
        <v>44</v>
      </c>
      <c r="D3004">
        <v>189048</v>
      </c>
    </row>
    <row r="3005" spans="1:4">
      <c r="A3005" s="41">
        <v>46078</v>
      </c>
      <c r="B3005" t="s">
        <v>50</v>
      </c>
      <c r="D3005">
        <v>274320</v>
      </c>
    </row>
    <row r="3006" spans="1:4">
      <c r="A3006" s="41">
        <v>46078</v>
      </c>
      <c r="B3006" t="s">
        <v>78</v>
      </c>
      <c r="D3006">
        <v>514355</v>
      </c>
    </row>
    <row r="3007" spans="1:4">
      <c r="A3007" s="41">
        <v>46078</v>
      </c>
      <c r="B3007" t="s">
        <v>81</v>
      </c>
      <c r="D3007">
        <v>193355</v>
      </c>
    </row>
    <row r="3008" spans="1:4">
      <c r="A3008" s="41">
        <v>46078</v>
      </c>
      <c r="B3008" t="s">
        <v>109</v>
      </c>
      <c r="D3008">
        <v>140754</v>
      </c>
    </row>
    <row r="3009" spans="1:4">
      <c r="A3009" s="41">
        <v>46078</v>
      </c>
      <c r="B3009" t="s">
        <v>661</v>
      </c>
      <c r="D3009">
        <v>315180</v>
      </c>
    </row>
    <row r="3010" spans="1:4">
      <c r="A3010" s="41">
        <v>46078</v>
      </c>
      <c r="B3010" t="s">
        <v>169</v>
      </c>
      <c r="C3010">
        <v>9933</v>
      </c>
      <c r="D3010">
        <v>197196</v>
      </c>
    </row>
    <row r="3011" spans="1:4">
      <c r="A3011" s="41">
        <v>46078</v>
      </c>
      <c r="B3011" t="s">
        <v>171</v>
      </c>
      <c r="C3011">
        <v>1964</v>
      </c>
    </row>
    <row r="3012" spans="1:4">
      <c r="A3012" s="41">
        <v>46078</v>
      </c>
      <c r="B3012" t="s">
        <v>175</v>
      </c>
      <c r="C3012">
        <v>9214</v>
      </c>
      <c r="D3012">
        <v>208477</v>
      </c>
    </row>
    <row r="3013" spans="1:4">
      <c r="A3013" s="41">
        <v>46078</v>
      </c>
      <c r="B3013" t="s">
        <v>177</v>
      </c>
      <c r="D3013">
        <v>193551</v>
      </c>
    </row>
    <row r="3014" spans="1:4">
      <c r="A3014" s="41">
        <v>46078</v>
      </c>
      <c r="B3014" t="s">
        <v>193</v>
      </c>
      <c r="D3014">
        <v>132835</v>
      </c>
    </row>
    <row r="3015" spans="1:4">
      <c r="A3015" s="41">
        <v>46078</v>
      </c>
      <c r="B3015" t="s">
        <v>254</v>
      </c>
      <c r="C3015">
        <v>15664</v>
      </c>
    </row>
    <row r="3016" spans="1:4">
      <c r="A3016" s="41">
        <v>46078</v>
      </c>
      <c r="B3016" t="s">
        <v>258</v>
      </c>
      <c r="C3016">
        <v>2687</v>
      </c>
    </row>
    <row r="3017" spans="1:4">
      <c r="A3017" s="41">
        <v>46078</v>
      </c>
      <c r="B3017" t="s">
        <v>273</v>
      </c>
      <c r="C3017">
        <v>4156</v>
      </c>
    </row>
    <row r="3018" spans="1:4">
      <c r="A3018" s="41">
        <v>46078</v>
      </c>
      <c r="B3018" t="s">
        <v>275</v>
      </c>
      <c r="C3018">
        <v>1431</v>
      </c>
    </row>
    <row r="3019" spans="1:4">
      <c r="A3019" s="41">
        <v>46078</v>
      </c>
      <c r="B3019" t="s">
        <v>288</v>
      </c>
      <c r="C3019">
        <v>1415</v>
      </c>
    </row>
    <row r="3020" spans="1:4">
      <c r="A3020" s="41">
        <v>46078</v>
      </c>
      <c r="B3020" t="s">
        <v>290</v>
      </c>
      <c r="C3020">
        <v>1882</v>
      </c>
    </row>
    <row r="3021" spans="1:4">
      <c r="A3021" s="41">
        <v>46078</v>
      </c>
      <c r="B3021" t="s">
        <v>299</v>
      </c>
      <c r="C3021">
        <v>8607</v>
      </c>
    </row>
    <row r="3022" spans="1:4">
      <c r="A3022" s="41">
        <v>46078</v>
      </c>
      <c r="B3022" t="s">
        <v>324</v>
      </c>
      <c r="C3022">
        <v>7036</v>
      </c>
    </row>
    <row r="3023" spans="1:4">
      <c r="A3023" s="41">
        <v>46078</v>
      </c>
      <c r="B3023" t="s">
        <v>379</v>
      </c>
      <c r="C3023">
        <v>3515</v>
      </c>
    </row>
    <row r="3024" spans="1:4">
      <c r="A3024" s="41">
        <v>46078</v>
      </c>
      <c r="B3024" t="s">
        <v>405</v>
      </c>
      <c r="C3024">
        <v>12702</v>
      </c>
    </row>
    <row r="3025" spans="1:5">
      <c r="A3025" s="41">
        <v>46078</v>
      </c>
      <c r="B3025" t="s">
        <v>417</v>
      </c>
      <c r="C3025">
        <v>8250</v>
      </c>
    </row>
    <row r="3026" spans="1:5">
      <c r="A3026" s="41">
        <v>46078</v>
      </c>
      <c r="B3026" t="s">
        <v>424</v>
      </c>
      <c r="C3026">
        <v>553</v>
      </c>
    </row>
    <row r="3027" spans="1:5">
      <c r="A3027" s="41">
        <v>46078</v>
      </c>
      <c r="B3027" t="s">
        <v>431</v>
      </c>
      <c r="C3027">
        <v>10028</v>
      </c>
    </row>
    <row r="3028" spans="1:5">
      <c r="A3028" s="41">
        <v>46078</v>
      </c>
      <c r="B3028" t="s">
        <v>447</v>
      </c>
      <c r="C3028">
        <v>1678</v>
      </c>
    </row>
    <row r="3029" spans="1:5">
      <c r="A3029" s="41">
        <v>46078</v>
      </c>
      <c r="B3029" t="s">
        <v>456</v>
      </c>
      <c r="C3029">
        <v>2148</v>
      </c>
    </row>
    <row r="3030" spans="1:5">
      <c r="A3030" s="41">
        <v>46078</v>
      </c>
      <c r="B3030" t="s">
        <v>458</v>
      </c>
      <c r="D3030">
        <v>94872</v>
      </c>
    </row>
    <row r="3031" spans="1:5">
      <c r="A3031" s="41">
        <v>46078</v>
      </c>
      <c r="B3031" t="s">
        <v>465</v>
      </c>
      <c r="D3031">
        <v>104557</v>
      </c>
    </row>
    <row r="3032" spans="1:5">
      <c r="A3032" s="41">
        <v>46078</v>
      </c>
      <c r="B3032" t="s">
        <v>485</v>
      </c>
      <c r="D3032">
        <v>80313</v>
      </c>
    </row>
    <row r="3033" spans="1:5">
      <c r="A3033" s="41">
        <v>46078</v>
      </c>
      <c r="B3033" t="s">
        <v>488</v>
      </c>
      <c r="D3033">
        <v>104318</v>
      </c>
    </row>
    <row r="3034" spans="1:5">
      <c r="A3034" s="41">
        <v>46078</v>
      </c>
      <c r="B3034" t="s">
        <v>496</v>
      </c>
      <c r="D3034">
        <v>112351</v>
      </c>
    </row>
    <row r="3035" spans="1:5">
      <c r="A3035" s="41">
        <v>46078</v>
      </c>
      <c r="B3035" t="s">
        <v>512</v>
      </c>
      <c r="D3035">
        <v>50733</v>
      </c>
    </row>
    <row r="3036" spans="1:5">
      <c r="A3036" s="41">
        <v>46078</v>
      </c>
      <c r="B3036" t="s">
        <v>517</v>
      </c>
      <c r="D3036">
        <v>40452</v>
      </c>
    </row>
    <row r="3037" spans="1:5">
      <c r="A3037" s="41">
        <v>46078</v>
      </c>
      <c r="B3037" t="s">
        <v>520</v>
      </c>
      <c r="D3037">
        <v>51537</v>
      </c>
      <c r="E3037" t="s">
        <v>272</v>
      </c>
    </row>
    <row r="3038" spans="1:5">
      <c r="A3038" s="41">
        <v>46078</v>
      </c>
      <c r="B3038" t="s">
        <v>523</v>
      </c>
      <c r="D3038">
        <v>59309</v>
      </c>
    </row>
    <row r="3039" spans="1:5">
      <c r="A3039" s="41">
        <v>46078</v>
      </c>
      <c r="B3039" t="s">
        <v>533</v>
      </c>
      <c r="D3039">
        <v>73083</v>
      </c>
    </row>
    <row r="3040" spans="1:5">
      <c r="A3040" s="41">
        <v>46078</v>
      </c>
      <c r="B3040" t="s">
        <v>539</v>
      </c>
      <c r="D3040">
        <v>38159</v>
      </c>
    </row>
    <row r="3041" spans="1:5">
      <c r="A3041" s="41">
        <v>46078</v>
      </c>
      <c r="B3041" t="s">
        <v>542</v>
      </c>
      <c r="D3041">
        <v>88472</v>
      </c>
    </row>
    <row r="3042" spans="1:5">
      <c r="A3042" s="41">
        <v>46078</v>
      </c>
      <c r="B3042" t="s">
        <v>559</v>
      </c>
      <c r="D3042">
        <v>559552</v>
      </c>
    </row>
    <row r="3043" spans="1:5">
      <c r="A3043" s="41">
        <v>46078</v>
      </c>
      <c r="B3043" t="s">
        <v>593</v>
      </c>
      <c r="D3043">
        <v>164440</v>
      </c>
    </row>
    <row r="3044" spans="1:5">
      <c r="A3044" s="41">
        <v>46078</v>
      </c>
      <c r="B3044" t="s">
        <v>596</v>
      </c>
      <c r="D3044">
        <v>142708</v>
      </c>
    </row>
    <row r="3045" spans="1:5">
      <c r="A3045" s="41">
        <v>46078</v>
      </c>
      <c r="B3045" t="s">
        <v>598</v>
      </c>
      <c r="D3045">
        <v>138722</v>
      </c>
    </row>
    <row r="3046" spans="1:5">
      <c r="A3046" s="41">
        <v>46078</v>
      </c>
      <c r="B3046" t="s">
        <v>620</v>
      </c>
      <c r="D3046">
        <v>125373</v>
      </c>
    </row>
    <row r="3047" spans="1:5">
      <c r="A3047" s="41">
        <v>46078</v>
      </c>
      <c r="B3047" t="s">
        <v>630</v>
      </c>
      <c r="D3047">
        <v>142085</v>
      </c>
    </row>
    <row r="3048" spans="1:5">
      <c r="A3048" s="41">
        <v>46078</v>
      </c>
      <c r="B3048" t="s">
        <v>634</v>
      </c>
      <c r="D3048">
        <v>107274</v>
      </c>
    </row>
    <row r="3049" spans="1:5">
      <c r="A3049" s="41">
        <v>46079</v>
      </c>
      <c r="B3049" t="s">
        <v>19</v>
      </c>
      <c r="C3049">
        <v>10248</v>
      </c>
    </row>
    <row r="3050" spans="1:5">
      <c r="A3050" s="41">
        <v>46079</v>
      </c>
      <c r="B3050" t="s">
        <v>32</v>
      </c>
      <c r="C3050">
        <v>10442</v>
      </c>
      <c r="D3050">
        <v>252478</v>
      </c>
    </row>
    <row r="3051" spans="1:5">
      <c r="A3051" s="41">
        <v>46079</v>
      </c>
      <c r="B3051" t="s">
        <v>65</v>
      </c>
      <c r="C3051">
        <v>3797</v>
      </c>
    </row>
    <row r="3052" spans="1:5">
      <c r="A3052" s="41">
        <v>46079</v>
      </c>
      <c r="B3052" t="s">
        <v>78</v>
      </c>
      <c r="D3052">
        <v>516144</v>
      </c>
    </row>
    <row r="3053" spans="1:5">
      <c r="A3053" s="41">
        <v>46079</v>
      </c>
      <c r="B3053" t="s">
        <v>106</v>
      </c>
      <c r="D3053">
        <v>121674</v>
      </c>
    </row>
    <row r="3054" spans="1:5">
      <c r="A3054" s="41">
        <v>46079</v>
      </c>
      <c r="B3054" t="s">
        <v>138</v>
      </c>
      <c r="D3054">
        <v>293891</v>
      </c>
      <c r="E3054" t="s">
        <v>36</v>
      </c>
    </row>
    <row r="3055" spans="1:5">
      <c r="A3055" s="41">
        <v>46079</v>
      </c>
      <c r="B3055" t="s">
        <v>159</v>
      </c>
      <c r="D3055">
        <v>140245</v>
      </c>
      <c r="E3055" t="s">
        <v>33</v>
      </c>
    </row>
    <row r="3056" spans="1:5">
      <c r="A3056" s="41">
        <v>46079</v>
      </c>
      <c r="B3056" t="s">
        <v>169</v>
      </c>
      <c r="C3056">
        <v>9346</v>
      </c>
      <c r="D3056">
        <v>197403</v>
      </c>
    </row>
    <row r="3057" spans="1:5">
      <c r="A3057" s="41">
        <v>46079</v>
      </c>
      <c r="B3057" t="s">
        <v>171</v>
      </c>
      <c r="C3057">
        <v>1974</v>
      </c>
      <c r="E3057" t="s">
        <v>39</v>
      </c>
    </row>
    <row r="3058" spans="1:5">
      <c r="A3058" s="41">
        <v>46079</v>
      </c>
      <c r="B3058" t="s">
        <v>175</v>
      </c>
      <c r="C3058">
        <v>9224</v>
      </c>
      <c r="D3058">
        <v>208634</v>
      </c>
    </row>
    <row r="3059" spans="1:5">
      <c r="A3059" s="41">
        <v>46079</v>
      </c>
      <c r="B3059" t="s">
        <v>182</v>
      </c>
      <c r="C3059">
        <v>8738</v>
      </c>
      <c r="D3059">
        <v>164882</v>
      </c>
    </row>
    <row r="3060" spans="1:5">
      <c r="A3060" s="41">
        <v>46079</v>
      </c>
      <c r="B3060" t="s">
        <v>207</v>
      </c>
      <c r="C3060">
        <v>1323</v>
      </c>
    </row>
    <row r="3061" spans="1:5">
      <c r="A3061" s="41">
        <v>46079</v>
      </c>
      <c r="B3061" t="s">
        <v>210</v>
      </c>
      <c r="C3061">
        <v>208</v>
      </c>
    </row>
    <row r="3062" spans="1:5">
      <c r="A3062" s="41">
        <v>46079</v>
      </c>
      <c r="B3062" t="s">
        <v>227</v>
      </c>
      <c r="C3062">
        <v>785</v>
      </c>
      <c r="E3062" t="s">
        <v>84</v>
      </c>
    </row>
    <row r="3063" spans="1:5">
      <c r="A3063" s="41">
        <v>46079</v>
      </c>
      <c r="B3063" t="s">
        <v>243</v>
      </c>
      <c r="C3063">
        <v>5141</v>
      </c>
    </row>
    <row r="3064" spans="1:5">
      <c r="A3064" s="41">
        <v>46079</v>
      </c>
      <c r="B3064" t="s">
        <v>249</v>
      </c>
      <c r="C3064">
        <v>4837</v>
      </c>
    </row>
    <row r="3065" spans="1:5">
      <c r="A3065" s="41">
        <v>46079</v>
      </c>
      <c r="B3065" t="s">
        <v>254</v>
      </c>
      <c r="C3065">
        <v>15671</v>
      </c>
    </row>
    <row r="3066" spans="1:5">
      <c r="A3066" s="41">
        <v>46079</v>
      </c>
      <c r="B3066" t="s">
        <v>263</v>
      </c>
      <c r="C3066">
        <v>9933</v>
      </c>
    </row>
    <row r="3067" spans="1:5">
      <c r="A3067" s="41">
        <v>46079</v>
      </c>
      <c r="B3067" t="s">
        <v>288</v>
      </c>
      <c r="C3067">
        <v>1426</v>
      </c>
    </row>
    <row r="3068" spans="1:5">
      <c r="A3068" s="41">
        <v>46079</v>
      </c>
      <c r="B3068" t="s">
        <v>295</v>
      </c>
      <c r="C3068">
        <v>8905</v>
      </c>
    </row>
    <row r="3069" spans="1:5">
      <c r="A3069" s="41">
        <v>46079</v>
      </c>
      <c r="B3069" t="s">
        <v>301</v>
      </c>
      <c r="C3069">
        <v>14524</v>
      </c>
    </row>
    <row r="3070" spans="1:5">
      <c r="A3070" s="41">
        <v>46079</v>
      </c>
      <c r="B3070" t="s">
        <v>314</v>
      </c>
      <c r="C3070">
        <v>27779</v>
      </c>
    </row>
    <row r="3071" spans="1:5">
      <c r="A3071" s="41">
        <v>46079</v>
      </c>
      <c r="B3071" t="s">
        <v>333</v>
      </c>
      <c r="C3071">
        <v>11880</v>
      </c>
    </row>
    <row r="3072" spans="1:5">
      <c r="A3072" s="41">
        <v>46079</v>
      </c>
      <c r="B3072" t="s">
        <v>396</v>
      </c>
      <c r="C3072">
        <v>8584</v>
      </c>
    </row>
    <row r="3073" spans="1:6">
      <c r="A3073" s="41">
        <v>46079</v>
      </c>
      <c r="B3073" t="s">
        <v>408</v>
      </c>
      <c r="C3073">
        <v>4385</v>
      </c>
    </row>
    <row r="3074" spans="1:6">
      <c r="A3074" s="41">
        <v>46079</v>
      </c>
      <c r="B3074" t="s">
        <v>417</v>
      </c>
      <c r="C3074">
        <v>8256</v>
      </c>
    </row>
    <row r="3075" spans="1:6">
      <c r="A3075" s="41">
        <v>46079</v>
      </c>
      <c r="B3075" t="s">
        <v>440</v>
      </c>
      <c r="C3075">
        <v>1962</v>
      </c>
    </row>
    <row r="3076" spans="1:6">
      <c r="A3076" s="41">
        <v>46079</v>
      </c>
      <c r="B3076" t="s">
        <v>449</v>
      </c>
      <c r="C3076">
        <v>1692</v>
      </c>
    </row>
    <row r="3077" spans="1:6">
      <c r="A3077" s="41">
        <v>46079</v>
      </c>
      <c r="B3077" t="s">
        <v>455</v>
      </c>
      <c r="C3077">
        <v>2405</v>
      </c>
      <c r="E3077" t="s">
        <v>84</v>
      </c>
    </row>
    <row r="3078" spans="1:6">
      <c r="A3078" s="41">
        <v>46079</v>
      </c>
      <c r="B3078" t="s">
        <v>456</v>
      </c>
      <c r="C3078">
        <v>2151</v>
      </c>
    </row>
    <row r="3079" spans="1:6">
      <c r="A3079" s="41">
        <v>46079</v>
      </c>
      <c r="B3079" t="s">
        <v>481</v>
      </c>
      <c r="D3079">
        <v>74616</v>
      </c>
    </row>
    <row r="3080" spans="1:6">
      <c r="A3080" s="41">
        <v>46079</v>
      </c>
      <c r="B3080" t="s">
        <v>485</v>
      </c>
      <c r="D3080">
        <v>80745</v>
      </c>
    </row>
    <row r="3081" spans="1:6">
      <c r="A3081" s="41">
        <v>46079</v>
      </c>
      <c r="B3081" t="s">
        <v>490</v>
      </c>
      <c r="D3081">
        <v>89919</v>
      </c>
    </row>
    <row r="3082" spans="1:6">
      <c r="A3082" s="41">
        <v>46079</v>
      </c>
      <c r="B3082" t="s">
        <v>493</v>
      </c>
      <c r="D3082">
        <v>38582</v>
      </c>
    </row>
    <row r="3083" spans="1:6">
      <c r="A3083" s="41">
        <v>46079</v>
      </c>
      <c r="B3083" t="s">
        <v>501</v>
      </c>
      <c r="D3083">
        <v>91604</v>
      </c>
      <c r="E3083" t="s">
        <v>36</v>
      </c>
      <c r="F3083" t="s">
        <v>505</v>
      </c>
    </row>
    <row r="3084" spans="1:6">
      <c r="A3084" s="41">
        <v>46079</v>
      </c>
      <c r="B3084" t="s">
        <v>508</v>
      </c>
      <c r="D3084">
        <v>49112</v>
      </c>
    </row>
    <row r="3085" spans="1:6">
      <c r="A3085" s="41">
        <v>46079</v>
      </c>
      <c r="B3085" t="s">
        <v>515</v>
      </c>
      <c r="D3085">
        <v>70988</v>
      </c>
    </row>
    <row r="3086" spans="1:6">
      <c r="A3086" s="41">
        <v>46079</v>
      </c>
      <c r="B3086" t="s">
        <v>91</v>
      </c>
      <c r="C3086">
        <v>3632</v>
      </c>
      <c r="D3086">
        <v>94116</v>
      </c>
    </row>
    <row r="3087" spans="1:6">
      <c r="A3087" s="41">
        <v>46079</v>
      </c>
      <c r="B3087" t="s">
        <v>523</v>
      </c>
      <c r="D3087">
        <v>34337</v>
      </c>
    </row>
    <row r="3088" spans="1:6">
      <c r="A3088" s="41">
        <v>46079</v>
      </c>
      <c r="B3088" t="s">
        <v>526</v>
      </c>
      <c r="D3088">
        <v>61780</v>
      </c>
    </row>
    <row r="3089" spans="1:5">
      <c r="A3089" s="41">
        <v>46079</v>
      </c>
      <c r="B3089" t="s">
        <v>528</v>
      </c>
      <c r="D3089">
        <v>66430</v>
      </c>
    </row>
    <row r="3090" spans="1:5">
      <c r="A3090" s="41">
        <v>46079</v>
      </c>
      <c r="B3090" t="s">
        <v>549</v>
      </c>
    </row>
    <row r="3091" spans="1:5">
      <c r="A3091" s="41">
        <v>46079</v>
      </c>
      <c r="B3091" t="s">
        <v>552</v>
      </c>
      <c r="D3091">
        <v>14090</v>
      </c>
    </row>
    <row r="3092" spans="1:5">
      <c r="A3092" s="41">
        <v>46079</v>
      </c>
      <c r="B3092" t="s">
        <v>575</v>
      </c>
      <c r="D3092">
        <v>237260</v>
      </c>
    </row>
    <row r="3093" spans="1:5">
      <c r="A3093" s="41">
        <v>46079</v>
      </c>
      <c r="B3093" t="s">
        <v>608</v>
      </c>
      <c r="D3093">
        <v>300499</v>
      </c>
    </row>
    <row r="3094" spans="1:5">
      <c r="A3094" s="41">
        <v>46079</v>
      </c>
      <c r="B3094" t="s">
        <v>626</v>
      </c>
      <c r="D3094">
        <v>106998</v>
      </c>
    </row>
    <row r="3095" spans="1:5">
      <c r="A3095" s="41">
        <v>46080</v>
      </c>
      <c r="B3095" t="s">
        <v>32</v>
      </c>
      <c r="C3095">
        <v>10456</v>
      </c>
      <c r="D3095">
        <v>252735</v>
      </c>
    </row>
    <row r="3096" spans="1:5">
      <c r="A3096" s="41">
        <v>46080</v>
      </c>
      <c r="B3096" t="s">
        <v>44</v>
      </c>
      <c r="D3096">
        <v>189344</v>
      </c>
    </row>
    <row r="3097" spans="1:5">
      <c r="A3097" s="41">
        <v>46080</v>
      </c>
      <c r="B3097" t="s">
        <v>65</v>
      </c>
      <c r="D3097">
        <v>63131</v>
      </c>
    </row>
    <row r="3098" spans="1:5">
      <c r="A3098" s="41">
        <v>46080</v>
      </c>
      <c r="B3098" t="s">
        <v>81</v>
      </c>
      <c r="D3098">
        <v>193621</v>
      </c>
    </row>
    <row r="3099" spans="1:5">
      <c r="A3099" s="41">
        <v>46080</v>
      </c>
      <c r="B3099" t="s">
        <v>106</v>
      </c>
      <c r="D3099">
        <v>121700</v>
      </c>
    </row>
    <row r="3100" spans="1:5">
      <c r="A3100" s="41">
        <v>46080</v>
      </c>
      <c r="B3100" t="s">
        <v>169</v>
      </c>
      <c r="C3100">
        <v>9356</v>
      </c>
      <c r="D3100">
        <v>197558</v>
      </c>
    </row>
    <row r="3101" spans="1:5">
      <c r="A3101" s="41">
        <v>46080</v>
      </c>
      <c r="B3101" t="s">
        <v>173</v>
      </c>
      <c r="C3101">
        <v>8575</v>
      </c>
      <c r="D3101">
        <v>164938</v>
      </c>
    </row>
    <row r="3102" spans="1:5">
      <c r="A3102" s="41">
        <v>46080</v>
      </c>
      <c r="B3102" t="s">
        <v>175</v>
      </c>
      <c r="C3102">
        <v>9234</v>
      </c>
      <c r="D3102">
        <v>208777</v>
      </c>
    </row>
    <row r="3103" spans="1:5">
      <c r="A3103" s="41">
        <v>46080</v>
      </c>
      <c r="B3103" t="s">
        <v>187</v>
      </c>
      <c r="D3103">
        <v>534934</v>
      </c>
    </row>
    <row r="3104" spans="1:5">
      <c r="A3104" s="41">
        <v>46080</v>
      </c>
      <c r="B3104" t="s">
        <v>273</v>
      </c>
      <c r="C3104">
        <v>4168</v>
      </c>
      <c r="E3104" t="s">
        <v>272</v>
      </c>
    </row>
    <row r="3105" spans="1:5">
      <c r="A3105" s="41">
        <v>46080</v>
      </c>
      <c r="B3105" t="s">
        <v>275</v>
      </c>
      <c r="C3105">
        <v>1441</v>
      </c>
    </row>
    <row r="3106" spans="1:5">
      <c r="A3106" s="41">
        <v>46080</v>
      </c>
      <c r="B3106" t="s">
        <v>299</v>
      </c>
      <c r="C3106">
        <v>8620</v>
      </c>
    </row>
    <row r="3107" spans="1:5">
      <c r="A3107" s="41">
        <v>46080</v>
      </c>
      <c r="B3107" t="s">
        <v>365</v>
      </c>
      <c r="C3107">
        <v>4795</v>
      </c>
    </row>
    <row r="3108" spans="1:5">
      <c r="A3108" s="41">
        <v>46080</v>
      </c>
      <c r="B3108" t="s">
        <v>431</v>
      </c>
      <c r="C3108">
        <v>10041</v>
      </c>
      <c r="E3108" t="s">
        <v>272</v>
      </c>
    </row>
    <row r="3109" spans="1:5">
      <c r="A3109" s="41">
        <v>46080</v>
      </c>
      <c r="B3109" t="s">
        <v>465</v>
      </c>
      <c r="D3109">
        <v>104870</v>
      </c>
    </row>
    <row r="3110" spans="1:5">
      <c r="A3110" s="41">
        <v>46080</v>
      </c>
      <c r="B3110" t="s">
        <v>496</v>
      </c>
      <c r="D3110">
        <v>112584</v>
      </c>
    </row>
    <row r="3111" spans="1:5">
      <c r="A3111" s="41">
        <v>46080</v>
      </c>
      <c r="B3111" t="s">
        <v>506</v>
      </c>
      <c r="D3111">
        <v>62973</v>
      </c>
    </row>
    <row r="3112" spans="1:5">
      <c r="A3112" s="41">
        <v>46080</v>
      </c>
      <c r="B3112" t="s">
        <v>510</v>
      </c>
      <c r="D3112">
        <v>44061</v>
      </c>
    </row>
    <row r="3113" spans="1:5">
      <c r="A3113" s="41">
        <v>46080</v>
      </c>
      <c r="B3113" t="s">
        <v>514</v>
      </c>
      <c r="D3113">
        <v>61959</v>
      </c>
    </row>
    <row r="3114" spans="1:5">
      <c r="A3114" s="41">
        <v>46080</v>
      </c>
      <c r="B3114" t="s">
        <v>523</v>
      </c>
      <c r="D3114">
        <v>59714</v>
      </c>
    </row>
    <row r="3115" spans="1:5">
      <c r="A3115" s="41">
        <v>46080</v>
      </c>
      <c r="B3115" t="s">
        <v>535</v>
      </c>
      <c r="D3115">
        <v>73436</v>
      </c>
    </row>
    <row r="3116" spans="1:5">
      <c r="A3116" s="41">
        <v>46080</v>
      </c>
      <c r="B3116" t="s">
        <v>542</v>
      </c>
      <c r="D3116">
        <v>88943</v>
      </c>
    </row>
    <row r="3117" spans="1:5">
      <c r="A3117" s="41">
        <v>46080</v>
      </c>
      <c r="B3117" t="s">
        <v>542</v>
      </c>
      <c r="D3117">
        <v>89056</v>
      </c>
    </row>
    <row r="3118" spans="1:5">
      <c r="A3118" s="41">
        <v>46080</v>
      </c>
      <c r="B3118" t="s">
        <v>549</v>
      </c>
      <c r="D3118">
        <v>13331</v>
      </c>
    </row>
    <row r="3119" spans="1:5">
      <c r="A3119" s="41">
        <v>46080</v>
      </c>
      <c r="B3119" t="s">
        <v>559</v>
      </c>
      <c r="D3119">
        <v>559749</v>
      </c>
    </row>
    <row r="3120" spans="1:5">
      <c r="A3120" s="41">
        <v>46080</v>
      </c>
      <c r="B3120" t="s">
        <v>568</v>
      </c>
      <c r="D3120">
        <v>158585</v>
      </c>
    </row>
    <row r="3121" spans="1:4">
      <c r="A3121" s="41">
        <v>46080</v>
      </c>
      <c r="B3121" t="s">
        <v>572</v>
      </c>
      <c r="D3121">
        <v>149771</v>
      </c>
    </row>
    <row r="3122" spans="1:4">
      <c r="A3122" s="41">
        <v>46080</v>
      </c>
      <c r="B3122" t="s">
        <v>593</v>
      </c>
      <c r="D3122">
        <v>164984</v>
      </c>
    </row>
    <row r="3123" spans="1:4">
      <c r="A3123" s="41">
        <v>46080</v>
      </c>
      <c r="B3123" t="s">
        <v>616</v>
      </c>
      <c r="D3123">
        <v>121388</v>
      </c>
    </row>
    <row r="3124" spans="1:4">
      <c r="A3124" s="41">
        <v>46080</v>
      </c>
      <c r="B3124" t="s">
        <v>620</v>
      </c>
      <c r="D3124">
        <v>125539</v>
      </c>
    </row>
    <row r="3125" spans="1:4">
      <c r="A3125" s="41">
        <v>46080</v>
      </c>
      <c r="B3125" t="s">
        <v>622</v>
      </c>
      <c r="D3125">
        <v>110482</v>
      </c>
    </row>
    <row r="3126" spans="1:4">
      <c r="A3126" s="41">
        <v>46080</v>
      </c>
      <c r="B3126" t="s">
        <v>626</v>
      </c>
      <c r="D3126">
        <v>107236</v>
      </c>
    </row>
    <row r="3127" spans="1:4">
      <c r="A3127" s="41">
        <v>46080</v>
      </c>
      <c r="B3127" t="s">
        <v>628</v>
      </c>
      <c r="D3127">
        <v>90899</v>
      </c>
    </row>
    <row r="3128" spans="1:4">
      <c r="A3128" s="41">
        <v>46080</v>
      </c>
      <c r="B3128" t="s">
        <v>630</v>
      </c>
      <c r="D3128">
        <v>142317</v>
      </c>
    </row>
    <row r="3129" spans="1:4">
      <c r="A3129" s="41">
        <v>46080</v>
      </c>
      <c r="B3129" t="s">
        <v>634</v>
      </c>
      <c r="D3129">
        <v>107772</v>
      </c>
    </row>
    <row r="3130" spans="1:4">
      <c r="A3130" s="41">
        <v>46083</v>
      </c>
      <c r="B3130" t="s">
        <v>29</v>
      </c>
      <c r="C3130">
        <v>10709</v>
      </c>
      <c r="D3130">
        <v>258456</v>
      </c>
    </row>
    <row r="3131" spans="1:4">
      <c r="A3131" s="41">
        <v>46083</v>
      </c>
      <c r="B3131" t="s">
        <v>65</v>
      </c>
      <c r="C3131">
        <v>3812</v>
      </c>
    </row>
    <row r="3132" spans="1:4">
      <c r="A3132" s="41">
        <v>46083</v>
      </c>
      <c r="B3132" t="s">
        <v>78</v>
      </c>
      <c r="D3132">
        <v>514492</v>
      </c>
    </row>
    <row r="3133" spans="1:4">
      <c r="A3133" s="41">
        <v>46083</v>
      </c>
      <c r="B3133" t="s">
        <v>106</v>
      </c>
      <c r="D3133">
        <v>122003</v>
      </c>
    </row>
    <row r="3134" spans="1:4">
      <c r="A3134" s="81">
        <v>44553</v>
      </c>
      <c r="B3134" t="s">
        <v>12</v>
      </c>
      <c r="C3134">
        <v>1683</v>
      </c>
    </row>
    <row r="3135" spans="1:4">
      <c r="A3135" s="41">
        <v>46083</v>
      </c>
      <c r="B3135" t="s">
        <v>173</v>
      </c>
      <c r="D3135">
        <v>165071</v>
      </c>
    </row>
    <row r="3136" spans="1:4">
      <c r="A3136" s="41">
        <v>46083</v>
      </c>
      <c r="B3136" t="s">
        <v>175</v>
      </c>
      <c r="C3136">
        <v>9241</v>
      </c>
      <c r="D3136">
        <v>208907</v>
      </c>
    </row>
    <row r="3137" spans="1:6">
      <c r="A3137" s="41">
        <v>46083</v>
      </c>
      <c r="B3137" t="s">
        <v>175</v>
      </c>
      <c r="C3137">
        <v>9364</v>
      </c>
      <c r="D3137">
        <v>197687</v>
      </c>
    </row>
    <row r="3138" spans="1:6">
      <c r="A3138" s="41">
        <v>46083</v>
      </c>
      <c r="B3138" t="s">
        <v>182</v>
      </c>
      <c r="C3138">
        <v>8757</v>
      </c>
      <c r="D3138">
        <v>165190</v>
      </c>
    </row>
    <row r="3139" spans="1:6">
      <c r="A3139" s="41">
        <v>46083</v>
      </c>
      <c r="B3139" t="s">
        <v>263</v>
      </c>
      <c r="C3139">
        <v>9938</v>
      </c>
    </row>
    <row r="3140" spans="1:6">
      <c r="A3140" s="41">
        <v>46083</v>
      </c>
      <c r="B3140" t="s">
        <v>295</v>
      </c>
      <c r="C3140">
        <v>8919</v>
      </c>
    </row>
    <row r="3141" spans="1:6">
      <c r="A3141" s="41">
        <v>46083</v>
      </c>
      <c r="B3141" t="s">
        <v>330</v>
      </c>
      <c r="C3141">
        <v>25962</v>
      </c>
    </row>
    <row r="3142" spans="1:6">
      <c r="A3142" s="41">
        <v>46083</v>
      </c>
      <c r="B3142" t="s">
        <v>365</v>
      </c>
      <c r="C3142">
        <v>4800</v>
      </c>
    </row>
    <row r="3143" spans="1:6">
      <c r="A3143" s="41">
        <v>46083</v>
      </c>
      <c r="B3143" t="s">
        <v>378</v>
      </c>
      <c r="C3143">
        <v>3724</v>
      </c>
      <c r="E3143" t="s">
        <v>33</v>
      </c>
    </row>
    <row r="3144" spans="1:6">
      <c r="A3144" s="41">
        <v>46083</v>
      </c>
      <c r="B3144" t="s">
        <v>382</v>
      </c>
      <c r="C3144">
        <v>13011</v>
      </c>
    </row>
    <row r="3145" spans="1:6">
      <c r="A3145" s="41">
        <v>46083</v>
      </c>
      <c r="B3145" t="s">
        <v>408</v>
      </c>
      <c r="C3145">
        <v>4399</v>
      </c>
    </row>
    <row r="3146" spans="1:6">
      <c r="A3146" s="41">
        <v>46083</v>
      </c>
      <c r="B3146" t="s">
        <v>456</v>
      </c>
      <c r="C3146">
        <v>2161</v>
      </c>
    </row>
    <row r="3147" spans="1:6">
      <c r="A3147" s="41">
        <v>46083</v>
      </c>
      <c r="B3147" t="s">
        <v>465</v>
      </c>
      <c r="D3147">
        <v>105293</v>
      </c>
    </row>
    <row r="3148" spans="1:6">
      <c r="A3148" s="41">
        <v>46083</v>
      </c>
      <c r="B3148" t="s">
        <v>485</v>
      </c>
      <c r="D3148">
        <v>81877</v>
      </c>
    </row>
    <row r="3149" spans="1:6">
      <c r="A3149" s="41">
        <v>46083</v>
      </c>
      <c r="B3149" t="s">
        <v>499</v>
      </c>
      <c r="D3149">
        <v>64032</v>
      </c>
    </row>
    <row r="3150" spans="1:6">
      <c r="A3150" s="41">
        <v>46083</v>
      </c>
      <c r="B3150" t="s">
        <v>501</v>
      </c>
      <c r="D3150">
        <v>92125</v>
      </c>
      <c r="E3150" t="s">
        <v>36</v>
      </c>
      <c r="F3150" t="s">
        <v>505</v>
      </c>
    </row>
    <row r="3151" spans="1:6">
      <c r="A3151" s="41">
        <v>46083</v>
      </c>
      <c r="B3151" t="s">
        <v>514</v>
      </c>
      <c r="D3151">
        <v>62167</v>
      </c>
    </row>
    <row r="3152" spans="1:6">
      <c r="A3152" s="41">
        <v>46083</v>
      </c>
      <c r="B3152" t="s">
        <v>523</v>
      </c>
      <c r="D3152">
        <v>60127</v>
      </c>
    </row>
    <row r="3153" spans="1:6">
      <c r="A3153" s="41">
        <v>46083</v>
      </c>
      <c r="B3153" t="s">
        <v>535</v>
      </c>
      <c r="D3153">
        <v>74393</v>
      </c>
    </row>
    <row r="3154" spans="1:6">
      <c r="A3154" s="41">
        <v>46083</v>
      </c>
      <c r="B3154" t="s">
        <v>542</v>
      </c>
      <c r="D3154">
        <v>89964</v>
      </c>
    </row>
    <row r="3155" spans="1:6">
      <c r="A3155" s="41">
        <v>46083</v>
      </c>
      <c r="B3155" t="s">
        <v>549</v>
      </c>
      <c r="D3155">
        <v>14203</v>
      </c>
    </row>
    <row r="3156" spans="1:6">
      <c r="A3156" s="41">
        <v>46083</v>
      </c>
      <c r="B3156" t="s">
        <v>568</v>
      </c>
      <c r="D3156">
        <v>159213</v>
      </c>
    </row>
    <row r="3157" spans="1:6">
      <c r="A3157" s="41">
        <v>46083</v>
      </c>
      <c r="B3157" t="s">
        <v>572</v>
      </c>
      <c r="D3157">
        <v>150457</v>
      </c>
      <c r="E3157" t="s">
        <v>33</v>
      </c>
    </row>
    <row r="3158" spans="1:6">
      <c r="A3158" s="41">
        <v>46083</v>
      </c>
      <c r="B3158" t="s">
        <v>598</v>
      </c>
      <c r="D3158">
        <v>139427</v>
      </c>
      <c r="E3158" t="s">
        <v>33</v>
      </c>
    </row>
    <row r="3159" spans="1:6">
      <c r="A3159" s="41">
        <v>46083</v>
      </c>
      <c r="B3159" t="s">
        <v>616</v>
      </c>
      <c r="D3159">
        <v>122294</v>
      </c>
    </row>
    <row r="3160" spans="1:6">
      <c r="A3160" s="41">
        <v>46083</v>
      </c>
      <c r="B3160" t="s">
        <v>628</v>
      </c>
      <c r="D3160">
        <v>91231</v>
      </c>
    </row>
    <row r="3161" spans="1:6">
      <c r="A3161" s="41">
        <v>46084</v>
      </c>
      <c r="B3161" t="s">
        <v>106</v>
      </c>
      <c r="D3161">
        <v>122183</v>
      </c>
    </row>
    <row r="3162" spans="1:6">
      <c r="A3162" s="41">
        <v>46084</v>
      </c>
      <c r="B3162" t="s">
        <v>128</v>
      </c>
      <c r="D3162">
        <v>646601</v>
      </c>
    </row>
    <row r="3163" spans="1:6">
      <c r="A3163" s="41">
        <v>46084</v>
      </c>
      <c r="B3163" t="s">
        <v>175</v>
      </c>
      <c r="C3163">
        <v>9248</v>
      </c>
      <c r="D3163">
        <v>209061</v>
      </c>
    </row>
    <row r="3164" spans="1:6">
      <c r="A3164" s="41">
        <v>46084</v>
      </c>
      <c r="B3164" t="s">
        <v>306</v>
      </c>
      <c r="C3164">
        <v>21410</v>
      </c>
    </row>
    <row r="3165" spans="1:6">
      <c r="A3165" s="41">
        <v>46084</v>
      </c>
      <c r="B3165" t="s">
        <v>374</v>
      </c>
      <c r="C3165">
        <v>5671</v>
      </c>
    </row>
    <row r="3166" spans="1:6">
      <c r="A3166" s="41">
        <v>46084</v>
      </c>
      <c r="B3166" t="s">
        <v>458</v>
      </c>
      <c r="D3166">
        <v>95191</v>
      </c>
    </row>
    <row r="3167" spans="1:6">
      <c r="A3167" s="41">
        <v>46084</v>
      </c>
      <c r="B3167" t="s">
        <v>481</v>
      </c>
      <c r="D3167">
        <v>75328</v>
      </c>
    </row>
    <row r="3168" spans="1:6">
      <c r="A3168" s="41">
        <v>46084</v>
      </c>
      <c r="B3168" t="s">
        <v>501</v>
      </c>
      <c r="D3168">
        <v>92642</v>
      </c>
      <c r="E3168" t="s">
        <v>36</v>
      </c>
      <c r="F3168" t="s">
        <v>505</v>
      </c>
    </row>
    <row r="3169" spans="1:4">
      <c r="A3169" s="41">
        <v>46084</v>
      </c>
      <c r="B3169" t="s">
        <v>512</v>
      </c>
      <c r="D3169">
        <v>51558</v>
      </c>
    </row>
    <row r="3170" spans="1:4">
      <c r="A3170" s="41">
        <v>46084</v>
      </c>
      <c r="B3170" t="s">
        <v>518</v>
      </c>
      <c r="D3170">
        <v>76038</v>
      </c>
    </row>
    <row r="3171" spans="1:4">
      <c r="A3171" s="41">
        <v>46084</v>
      </c>
      <c r="B3171" t="s">
        <v>549</v>
      </c>
    </row>
    <row r="3172" spans="1:4">
      <c r="A3172" s="41">
        <v>46084</v>
      </c>
      <c r="B3172" t="s">
        <v>596</v>
      </c>
      <c r="D3172">
        <v>143988</v>
      </c>
    </row>
    <row r="3173" spans="1:4">
      <c r="A3173" s="41">
        <v>46084</v>
      </c>
      <c r="B3173" t="s">
        <v>622</v>
      </c>
      <c r="D3173">
        <v>110846</v>
      </c>
    </row>
    <row r="3174" spans="1:4">
      <c r="A3174" s="41">
        <v>46084</v>
      </c>
      <c r="B3174" t="s">
        <v>634</v>
      </c>
      <c r="D3174">
        <v>108141</v>
      </c>
    </row>
    <row r="3175" spans="1:4">
      <c r="A3175" s="41">
        <v>46085</v>
      </c>
      <c r="B3175" t="s">
        <v>78</v>
      </c>
      <c r="D3175">
        <v>516492</v>
      </c>
    </row>
    <row r="3176" spans="1:4">
      <c r="A3176" s="41">
        <v>46085</v>
      </c>
      <c r="B3176" t="s">
        <v>106</v>
      </c>
      <c r="D3176">
        <v>122431</v>
      </c>
    </row>
    <row r="3177" spans="1:4">
      <c r="A3177" s="41">
        <v>46085</v>
      </c>
      <c r="B3177" t="s">
        <v>128</v>
      </c>
      <c r="D3177">
        <v>646986</v>
      </c>
    </row>
    <row r="3178" spans="1:4">
      <c r="A3178" s="81">
        <v>44559</v>
      </c>
      <c r="B3178" t="s">
        <v>171</v>
      </c>
      <c r="C3178">
        <v>3508</v>
      </c>
    </row>
    <row r="3179" spans="1:4">
      <c r="A3179" s="41">
        <v>46085</v>
      </c>
      <c r="B3179" t="s">
        <v>169</v>
      </c>
      <c r="C3179">
        <v>9378</v>
      </c>
      <c r="D3179">
        <v>197970</v>
      </c>
    </row>
    <row r="3180" spans="1:4">
      <c r="A3180" s="41">
        <v>46085</v>
      </c>
      <c r="B3180" t="s">
        <v>177</v>
      </c>
    </row>
    <row r="3181" spans="1:4">
      <c r="A3181" s="41">
        <v>46085</v>
      </c>
      <c r="B3181" t="s">
        <v>275</v>
      </c>
      <c r="C3181">
        <v>1448</v>
      </c>
    </row>
    <row r="3182" spans="1:4">
      <c r="A3182" s="41">
        <v>46085</v>
      </c>
      <c r="B3182" t="s">
        <v>301</v>
      </c>
      <c r="C3182">
        <v>14537</v>
      </c>
    </row>
    <row r="3183" spans="1:4">
      <c r="A3183" s="41">
        <v>46085</v>
      </c>
      <c r="B3183" t="s">
        <v>339</v>
      </c>
      <c r="C3183">
        <v>1929</v>
      </c>
    </row>
    <row r="3184" spans="1:4">
      <c r="A3184" s="41">
        <v>46085</v>
      </c>
      <c r="B3184" t="s">
        <v>365</v>
      </c>
      <c r="C3184">
        <v>4812</v>
      </c>
    </row>
    <row r="3185" spans="1:6">
      <c r="A3185" s="41">
        <v>46085</v>
      </c>
      <c r="B3185" t="s">
        <v>382</v>
      </c>
      <c r="C3185">
        <v>13020</v>
      </c>
    </row>
    <row r="3186" spans="1:6">
      <c r="A3186" s="41">
        <v>46085</v>
      </c>
      <c r="B3186" t="s">
        <v>449</v>
      </c>
      <c r="C3186">
        <v>1717</v>
      </c>
    </row>
    <row r="3187" spans="1:6">
      <c r="A3187" s="41">
        <v>46085</v>
      </c>
      <c r="B3187" t="s">
        <v>465</v>
      </c>
      <c r="D3187">
        <v>105517</v>
      </c>
    </row>
    <row r="3188" spans="1:6">
      <c r="A3188" s="41">
        <v>46085</v>
      </c>
      <c r="B3188" t="s">
        <v>469</v>
      </c>
      <c r="D3188">
        <v>71020</v>
      </c>
    </row>
    <row r="3189" spans="1:6">
      <c r="A3189" s="41">
        <v>46085</v>
      </c>
      <c r="B3189" t="s">
        <v>501</v>
      </c>
      <c r="D3189">
        <v>93438</v>
      </c>
      <c r="E3189" t="s">
        <v>36</v>
      </c>
      <c r="F3189" t="s">
        <v>505</v>
      </c>
    </row>
    <row r="3190" spans="1:6">
      <c r="A3190" s="41">
        <v>46085</v>
      </c>
      <c r="B3190" t="s">
        <v>508</v>
      </c>
      <c r="D3190">
        <v>49571</v>
      </c>
    </row>
    <row r="3191" spans="1:6">
      <c r="A3191" s="41">
        <v>46085</v>
      </c>
      <c r="B3191" t="s">
        <v>510</v>
      </c>
      <c r="D3191">
        <v>44419</v>
      </c>
    </row>
    <row r="3192" spans="1:6">
      <c r="A3192" s="41">
        <v>46085</v>
      </c>
      <c r="B3192" t="s">
        <v>515</v>
      </c>
      <c r="D3192">
        <v>71753</v>
      </c>
    </row>
    <row r="3193" spans="1:6">
      <c r="A3193" s="41">
        <v>46085</v>
      </c>
      <c r="B3193" t="s">
        <v>523</v>
      </c>
      <c r="D3193">
        <v>60908</v>
      </c>
    </row>
    <row r="3194" spans="1:6">
      <c r="A3194" s="41">
        <v>46085</v>
      </c>
      <c r="B3194" t="s">
        <v>535</v>
      </c>
      <c r="D3194">
        <v>75156</v>
      </c>
    </row>
    <row r="3195" spans="1:6">
      <c r="A3195" s="41">
        <v>46085</v>
      </c>
      <c r="B3195" t="s">
        <v>544</v>
      </c>
      <c r="D3195">
        <v>34811</v>
      </c>
    </row>
    <row r="3196" spans="1:6">
      <c r="A3196" s="41">
        <v>46085</v>
      </c>
      <c r="B3196" t="s">
        <v>593</v>
      </c>
      <c r="D3196">
        <v>165320</v>
      </c>
    </row>
    <row r="3197" spans="1:6">
      <c r="A3197" s="41">
        <v>46085</v>
      </c>
      <c r="B3197" t="s">
        <v>611</v>
      </c>
      <c r="D3197">
        <v>261792</v>
      </c>
    </row>
    <row r="3198" spans="1:6">
      <c r="A3198" s="41">
        <v>46086</v>
      </c>
      <c r="B3198" t="s">
        <v>38</v>
      </c>
      <c r="C3198">
        <v>10820</v>
      </c>
    </row>
    <row r="3199" spans="1:6">
      <c r="A3199" s="41">
        <v>46086</v>
      </c>
      <c r="B3199" t="s">
        <v>78</v>
      </c>
      <c r="D3199">
        <v>512848</v>
      </c>
    </row>
    <row r="3200" spans="1:6">
      <c r="A3200" s="41">
        <v>46086</v>
      </c>
      <c r="B3200" t="s">
        <v>106</v>
      </c>
      <c r="D3200">
        <v>122576</v>
      </c>
    </row>
    <row r="3201" spans="1:6">
      <c r="A3201" s="41">
        <v>46086</v>
      </c>
      <c r="B3201" t="s">
        <v>109</v>
      </c>
      <c r="D3201">
        <v>140968</v>
      </c>
    </row>
    <row r="3202" spans="1:6">
      <c r="A3202" s="41">
        <v>46086</v>
      </c>
      <c r="B3202" t="s">
        <v>128</v>
      </c>
      <c r="D3202">
        <v>647481</v>
      </c>
    </row>
    <row r="3203" spans="1:6">
      <c r="A3203" s="41">
        <v>46086</v>
      </c>
      <c r="B3203" t="s">
        <v>210</v>
      </c>
    </row>
    <row r="3204" spans="1:6">
      <c r="A3204" s="41">
        <v>46086</v>
      </c>
      <c r="B3204" t="s">
        <v>379</v>
      </c>
      <c r="C3204">
        <v>3530</v>
      </c>
    </row>
    <row r="3205" spans="1:6">
      <c r="A3205" s="41">
        <v>46086</v>
      </c>
      <c r="B3205" t="s">
        <v>393</v>
      </c>
      <c r="C3205">
        <v>33</v>
      </c>
    </row>
    <row r="3206" spans="1:6">
      <c r="A3206" s="41">
        <v>46086</v>
      </c>
      <c r="B3206" t="s">
        <v>424</v>
      </c>
      <c r="C3206">
        <v>557</v>
      </c>
    </row>
    <row r="3207" spans="1:6">
      <c r="A3207" s="41">
        <v>46086</v>
      </c>
      <c r="B3207" t="s">
        <v>465</v>
      </c>
      <c r="D3207">
        <v>105926</v>
      </c>
    </row>
    <row r="3208" spans="1:6">
      <c r="A3208" s="41">
        <v>46086</v>
      </c>
      <c r="B3208" t="s">
        <v>501</v>
      </c>
      <c r="D3208">
        <v>93455</v>
      </c>
      <c r="E3208" t="s">
        <v>36</v>
      </c>
      <c r="F3208" t="s">
        <v>505</v>
      </c>
    </row>
    <row r="3209" spans="1:6">
      <c r="A3209" s="41">
        <v>46086</v>
      </c>
      <c r="B3209" t="s">
        <v>506</v>
      </c>
      <c r="D3209">
        <v>62939</v>
      </c>
    </row>
    <row r="3210" spans="1:6">
      <c r="A3210" s="41">
        <v>46086</v>
      </c>
      <c r="B3210" t="s">
        <v>512</v>
      </c>
      <c r="D3210">
        <v>51800</v>
      </c>
    </row>
    <row r="3211" spans="1:6">
      <c r="A3211" s="41">
        <v>46086</v>
      </c>
      <c r="B3211" t="s">
        <v>526</v>
      </c>
      <c r="D3211">
        <v>62878</v>
      </c>
    </row>
    <row r="3212" spans="1:6">
      <c r="A3212" s="41">
        <v>46086</v>
      </c>
      <c r="B3212" t="s">
        <v>528</v>
      </c>
      <c r="D3212">
        <v>67733</v>
      </c>
    </row>
    <row r="3213" spans="1:6">
      <c r="A3213" s="41">
        <v>46086</v>
      </c>
      <c r="B3213" t="s">
        <v>533</v>
      </c>
      <c r="D3213">
        <v>74040</v>
      </c>
    </row>
    <row r="3214" spans="1:6">
      <c r="A3214" s="41">
        <v>46086</v>
      </c>
      <c r="B3214" t="s">
        <v>552</v>
      </c>
      <c r="D3214">
        <v>15342</v>
      </c>
    </row>
    <row r="3215" spans="1:6">
      <c r="A3215" s="41">
        <v>46086</v>
      </c>
      <c r="B3215" t="s">
        <v>596</v>
      </c>
      <c r="D3215">
        <v>144670</v>
      </c>
    </row>
    <row r="3216" spans="1:6">
      <c r="A3216" s="41">
        <v>46086</v>
      </c>
      <c r="B3216" t="s">
        <v>596</v>
      </c>
      <c r="D3216">
        <v>144721</v>
      </c>
    </row>
    <row r="3217" spans="1:5">
      <c r="A3217" s="41">
        <v>46086</v>
      </c>
      <c r="B3217" t="s">
        <v>608</v>
      </c>
      <c r="D3217">
        <v>301959</v>
      </c>
    </row>
    <row r="3218" spans="1:5">
      <c r="A3218" s="41">
        <v>46086</v>
      </c>
      <c r="B3218" t="s">
        <v>634</v>
      </c>
      <c r="D3218">
        <v>108622</v>
      </c>
    </row>
    <row r="3219" spans="1:5">
      <c r="A3219" s="41">
        <v>46087</v>
      </c>
      <c r="B3219" t="s">
        <v>38</v>
      </c>
      <c r="C3219">
        <v>10837</v>
      </c>
    </row>
    <row r="3220" spans="1:5">
      <c r="A3220" s="41">
        <v>46087</v>
      </c>
      <c r="B3220" t="s">
        <v>93</v>
      </c>
      <c r="D3220">
        <v>99818</v>
      </c>
    </row>
    <row r="3221" spans="1:5">
      <c r="A3221" s="41">
        <v>46087</v>
      </c>
      <c r="B3221" t="s">
        <v>130</v>
      </c>
      <c r="D3221">
        <v>121800</v>
      </c>
    </row>
    <row r="3222" spans="1:5">
      <c r="A3222" s="41">
        <v>46087</v>
      </c>
      <c r="B3222" t="s">
        <v>202</v>
      </c>
      <c r="C3222">
        <v>589</v>
      </c>
      <c r="E3222" t="s">
        <v>300</v>
      </c>
    </row>
    <row r="3223" spans="1:5">
      <c r="A3223" s="41">
        <v>46087</v>
      </c>
      <c r="B3223" t="s">
        <v>275</v>
      </c>
      <c r="C3223">
        <v>1456</v>
      </c>
    </row>
    <row r="3224" spans="1:5">
      <c r="A3224" s="41">
        <v>46087</v>
      </c>
      <c r="B3224" t="s">
        <v>301</v>
      </c>
      <c r="C3224">
        <v>14545</v>
      </c>
    </row>
    <row r="3225" spans="1:5">
      <c r="A3225" s="41">
        <v>46087</v>
      </c>
      <c r="B3225" t="s">
        <v>339</v>
      </c>
      <c r="C3225">
        <v>1932</v>
      </c>
    </row>
    <row r="3226" spans="1:5">
      <c r="A3226" s="41">
        <v>46087</v>
      </c>
      <c r="B3226" t="s">
        <v>353</v>
      </c>
      <c r="C3226">
        <v>8282</v>
      </c>
    </row>
    <row r="3227" spans="1:5">
      <c r="A3227" s="41">
        <v>46087</v>
      </c>
      <c r="B3227" t="s">
        <v>382</v>
      </c>
      <c r="C3227">
        <v>13034</v>
      </c>
    </row>
    <row r="3228" spans="1:5">
      <c r="A3228" s="41">
        <v>46087</v>
      </c>
      <c r="B3228" t="s">
        <v>449</v>
      </c>
      <c r="C3228">
        <v>1728</v>
      </c>
    </row>
    <row r="3229" spans="1:5">
      <c r="A3229" s="41">
        <v>46087</v>
      </c>
      <c r="B3229" t="s">
        <v>485</v>
      </c>
      <c r="D3229">
        <v>82915</v>
      </c>
    </row>
    <row r="3230" spans="1:5">
      <c r="A3230" s="41">
        <v>46087</v>
      </c>
      <c r="B3230" t="s">
        <v>515</v>
      </c>
      <c r="D3230">
        <v>71827</v>
      </c>
    </row>
    <row r="3231" spans="1:5">
      <c r="A3231" s="41">
        <v>46087</v>
      </c>
      <c r="B3231" t="s">
        <v>91</v>
      </c>
      <c r="C3231">
        <v>3681</v>
      </c>
      <c r="D3231">
        <v>95436</v>
      </c>
    </row>
    <row r="3232" spans="1:5">
      <c r="A3232" s="41">
        <v>46087</v>
      </c>
      <c r="B3232" t="s">
        <v>523</v>
      </c>
      <c r="D3232">
        <v>61394</v>
      </c>
    </row>
    <row r="3233" spans="1:7">
      <c r="A3233" s="41">
        <v>46087</v>
      </c>
      <c r="B3233" t="s">
        <v>539</v>
      </c>
      <c r="D3233">
        <v>40129</v>
      </c>
    </row>
    <row r="3234" spans="1:7">
      <c r="A3234" s="41">
        <v>46087</v>
      </c>
      <c r="B3234" t="s">
        <v>593</v>
      </c>
      <c r="D3234">
        <v>166066</v>
      </c>
    </row>
    <row r="3235" spans="1:7">
      <c r="A3235" s="41">
        <v>46087</v>
      </c>
      <c r="B3235" t="s">
        <v>611</v>
      </c>
      <c r="D3235">
        <v>261267</v>
      </c>
    </row>
    <row r="3236" spans="1:7">
      <c r="A3236" s="41">
        <v>46087</v>
      </c>
      <c r="B3236" t="s">
        <v>622</v>
      </c>
      <c r="D3236">
        <v>111035</v>
      </c>
    </row>
    <row r="3237" spans="1:7">
      <c r="A3237" s="41">
        <v>46087</v>
      </c>
      <c r="B3237" t="s">
        <v>549</v>
      </c>
      <c r="D3237">
        <v>14420</v>
      </c>
      <c r="E3237" t="s">
        <v>663</v>
      </c>
    </row>
    <row r="3238" spans="1:7">
      <c r="A3238" s="81">
        <v>44574</v>
      </c>
      <c r="B3238" t="s">
        <v>19</v>
      </c>
      <c r="C3238">
        <v>4923</v>
      </c>
    </row>
    <row r="3239" spans="1:7">
      <c r="A3239" s="41">
        <v>46090</v>
      </c>
      <c r="B3239" t="s">
        <v>393</v>
      </c>
      <c r="C3239">
        <v>36</v>
      </c>
    </row>
    <row r="3240" spans="1:7">
      <c r="A3240" s="41">
        <v>46090</v>
      </c>
      <c r="B3240" t="s">
        <v>469</v>
      </c>
      <c r="D3240">
        <v>71937</v>
      </c>
    </row>
    <row r="3241" spans="1:7">
      <c r="A3241" s="41">
        <v>46090</v>
      </c>
      <c r="B3241" t="s">
        <v>485</v>
      </c>
      <c r="D3241">
        <v>83200</v>
      </c>
    </row>
    <row r="3242" spans="1:7">
      <c r="A3242" s="41">
        <v>46090</v>
      </c>
      <c r="B3242" t="s">
        <v>501</v>
      </c>
      <c r="D3242">
        <v>94990</v>
      </c>
      <c r="E3242" t="s">
        <v>36</v>
      </c>
      <c r="F3242" t="s">
        <v>505</v>
      </c>
    </row>
    <row r="3243" spans="1:7">
      <c r="A3243" s="41">
        <v>46090</v>
      </c>
      <c r="B3243" t="s">
        <v>506</v>
      </c>
      <c r="D3243">
        <v>64682</v>
      </c>
    </row>
    <row r="3244" spans="1:7">
      <c r="A3244" s="41">
        <v>46090</v>
      </c>
      <c r="B3244" t="s">
        <v>514</v>
      </c>
      <c r="D3244">
        <v>63502</v>
      </c>
    </row>
    <row r="3245" spans="1:7">
      <c r="A3245" s="41">
        <v>46090</v>
      </c>
      <c r="B3245" t="s">
        <v>515</v>
      </c>
      <c r="D3245">
        <v>72474</v>
      </c>
    </row>
    <row r="3246" spans="1:7">
      <c r="A3246" s="41">
        <v>46090</v>
      </c>
      <c r="B3246" t="s">
        <v>533</v>
      </c>
      <c r="D3246">
        <v>74351</v>
      </c>
    </row>
    <row r="3247" spans="1:7">
      <c r="A3247" s="41">
        <v>46090</v>
      </c>
      <c r="B3247" t="s">
        <v>596</v>
      </c>
      <c r="D3247">
        <v>145409</v>
      </c>
    </row>
    <row r="3248" spans="1:7">
      <c r="A3248" s="41">
        <v>46090</v>
      </c>
      <c r="B3248" t="s">
        <v>32</v>
      </c>
      <c r="C3248">
        <v>10496</v>
      </c>
      <c r="D3248">
        <v>253667</v>
      </c>
      <c r="E3248" t="s">
        <v>33</v>
      </c>
      <c r="F3248" t="s">
        <v>34</v>
      </c>
      <c r="G3248" t="s">
        <v>670</v>
      </c>
    </row>
    <row r="3249" spans="1:7">
      <c r="A3249" s="41">
        <v>46090</v>
      </c>
      <c r="B3249" t="s">
        <v>109</v>
      </c>
      <c r="D3249">
        <v>141196</v>
      </c>
      <c r="E3249" t="s">
        <v>113</v>
      </c>
      <c r="F3249" t="s">
        <v>114</v>
      </c>
      <c r="G3249" t="s">
        <v>670</v>
      </c>
    </row>
    <row r="3250" spans="1:7">
      <c r="A3250" s="41">
        <v>46090</v>
      </c>
      <c r="B3250" t="s">
        <v>175</v>
      </c>
      <c r="C3250">
        <v>9275</v>
      </c>
      <c r="E3250" t="s">
        <v>33</v>
      </c>
      <c r="F3250" t="s">
        <v>671</v>
      </c>
      <c r="G3250" t="s">
        <v>670</v>
      </c>
    </row>
    <row r="3251" spans="1:7">
      <c r="A3251" s="41">
        <v>46090</v>
      </c>
      <c r="B3251" t="s">
        <v>393</v>
      </c>
      <c r="C3251">
        <v>56</v>
      </c>
      <c r="E3251" t="s">
        <v>113</v>
      </c>
      <c r="F3251" t="s">
        <v>309</v>
      </c>
      <c r="G3251" t="s">
        <v>670</v>
      </c>
    </row>
    <row r="3252" spans="1:7">
      <c r="A3252" s="41">
        <v>46090</v>
      </c>
      <c r="B3252" t="s">
        <v>510</v>
      </c>
      <c r="D3252">
        <v>44907</v>
      </c>
      <c r="E3252" t="s">
        <v>276</v>
      </c>
      <c r="F3252" t="s">
        <v>672</v>
      </c>
      <c r="G3252" t="s">
        <v>670</v>
      </c>
    </row>
    <row r="3253" spans="1:7">
      <c r="A3253" s="41">
        <v>46090</v>
      </c>
      <c r="B3253" t="s">
        <v>523</v>
      </c>
      <c r="D3253">
        <v>61887</v>
      </c>
      <c r="E3253" t="s">
        <v>276</v>
      </c>
      <c r="F3253" t="s">
        <v>525</v>
      </c>
      <c r="G3253" t="s">
        <v>670</v>
      </c>
    </row>
    <row r="3254" spans="1:7">
      <c r="A3254" s="41">
        <v>46090</v>
      </c>
      <c r="B3254" t="s">
        <v>533</v>
      </c>
      <c r="D3254">
        <v>74351</v>
      </c>
      <c r="E3254" t="s">
        <v>113</v>
      </c>
      <c r="F3254" t="s">
        <v>534</v>
      </c>
      <c r="G3254" t="s">
        <v>670</v>
      </c>
    </row>
    <row r="3255" spans="1:7">
      <c r="A3255" s="41">
        <v>46090</v>
      </c>
      <c r="B3255" t="s">
        <v>549</v>
      </c>
      <c r="D3255">
        <v>15252</v>
      </c>
      <c r="E3255" t="s">
        <v>33</v>
      </c>
      <c r="F3255" t="s">
        <v>673</v>
      </c>
      <c r="G3255" t="s">
        <v>670</v>
      </c>
    </row>
    <row r="3256" spans="1:7">
      <c r="A3256" s="41">
        <v>46090</v>
      </c>
      <c r="B3256" t="s">
        <v>596</v>
      </c>
      <c r="D3256">
        <v>145409</v>
      </c>
      <c r="E3256" t="s">
        <v>113</v>
      </c>
      <c r="F3256" t="s">
        <v>674</v>
      </c>
      <c r="G3256" t="s">
        <v>670</v>
      </c>
    </row>
    <row r="3257" spans="1:7">
      <c r="A3257" s="41">
        <v>46090</v>
      </c>
      <c r="B3257" t="s">
        <v>634</v>
      </c>
      <c r="E3257" t="s">
        <v>75</v>
      </c>
      <c r="F3257" t="s">
        <v>635</v>
      </c>
      <c r="G3257" t="s">
        <v>670</v>
      </c>
    </row>
    <row r="3258" spans="1:7">
      <c r="A3258" s="41">
        <v>46091</v>
      </c>
      <c r="B3258" t="s">
        <v>130</v>
      </c>
      <c r="D3258">
        <v>121996</v>
      </c>
    </row>
    <row r="3259" spans="1:7">
      <c r="A3259" s="41">
        <v>46091</v>
      </c>
      <c r="B3259" t="s">
        <v>449</v>
      </c>
      <c r="C3259">
        <v>1734</v>
      </c>
    </row>
    <row r="3260" spans="1:7">
      <c r="A3260" s="41">
        <v>46091</v>
      </c>
      <c r="B3260" t="s">
        <v>508</v>
      </c>
      <c r="D3260">
        <v>50010</v>
      </c>
    </row>
    <row r="3261" spans="1:7">
      <c r="A3261" s="41">
        <v>46091</v>
      </c>
      <c r="B3261" t="s">
        <v>515</v>
      </c>
      <c r="D3261">
        <v>72649</v>
      </c>
    </row>
    <row r="3262" spans="1:7">
      <c r="A3262" s="41">
        <v>46091</v>
      </c>
      <c r="B3262" t="s">
        <v>91</v>
      </c>
      <c r="C3262">
        <v>3689</v>
      </c>
      <c r="D3262">
        <v>95853</v>
      </c>
    </row>
    <row r="3263" spans="1:7">
      <c r="A3263" s="41">
        <v>46091</v>
      </c>
      <c r="B3263" t="s">
        <v>518</v>
      </c>
      <c r="D3263">
        <v>77451</v>
      </c>
    </row>
    <row r="3264" spans="1:7">
      <c r="A3264" s="41">
        <v>46091</v>
      </c>
      <c r="B3264" t="s">
        <v>528</v>
      </c>
      <c r="D3264">
        <v>68166</v>
      </c>
    </row>
    <row r="3265" spans="1:7">
      <c r="A3265" s="41">
        <v>46091</v>
      </c>
      <c r="B3265" t="s">
        <v>539</v>
      </c>
      <c r="D3265">
        <v>40897</v>
      </c>
    </row>
    <row r="3266" spans="1:7">
      <c r="A3266" s="41">
        <v>46091</v>
      </c>
      <c r="B3266" t="s">
        <v>552</v>
      </c>
      <c r="D3266">
        <v>16152</v>
      </c>
    </row>
    <row r="3267" spans="1:7">
      <c r="A3267" s="41">
        <v>46091</v>
      </c>
      <c r="B3267" t="s">
        <v>593</v>
      </c>
      <c r="D3267">
        <v>166412</v>
      </c>
    </row>
    <row r="3268" spans="1:7">
      <c r="A3268" s="41">
        <v>46091</v>
      </c>
      <c r="B3268" t="s">
        <v>608</v>
      </c>
      <c r="D3268">
        <v>302604</v>
      </c>
    </row>
    <row r="3269" spans="1:7">
      <c r="A3269" s="41">
        <v>46091</v>
      </c>
      <c r="B3269" t="s">
        <v>523</v>
      </c>
      <c r="D3269">
        <v>33265</v>
      </c>
      <c r="E3269" t="s">
        <v>36</v>
      </c>
      <c r="F3269" t="s">
        <v>668</v>
      </c>
    </row>
    <row r="3270" spans="1:7">
      <c r="A3270" s="41">
        <v>46091</v>
      </c>
      <c r="B3270" t="s">
        <v>32</v>
      </c>
      <c r="C3270">
        <v>10505</v>
      </c>
      <c r="D3270">
        <v>253880</v>
      </c>
      <c r="E3270" t="s">
        <v>33</v>
      </c>
      <c r="F3270" t="s">
        <v>34</v>
      </c>
      <c r="G3270" t="s">
        <v>670</v>
      </c>
    </row>
    <row r="3271" spans="1:7">
      <c r="A3271" s="41">
        <v>46091</v>
      </c>
      <c r="B3271" t="s">
        <v>169</v>
      </c>
      <c r="C3271">
        <v>9403</v>
      </c>
      <c r="D3271">
        <v>198388</v>
      </c>
      <c r="E3271" t="s">
        <v>33</v>
      </c>
      <c r="F3271" t="s">
        <v>675</v>
      </c>
      <c r="G3271" t="s">
        <v>670</v>
      </c>
    </row>
    <row r="3272" spans="1:7">
      <c r="A3272" s="41">
        <v>46091</v>
      </c>
      <c r="B3272" t="s">
        <v>182</v>
      </c>
      <c r="C3272">
        <v>8796</v>
      </c>
      <c r="D3272">
        <v>165961</v>
      </c>
      <c r="E3272" t="s">
        <v>33</v>
      </c>
      <c r="F3272" t="s">
        <v>184</v>
      </c>
      <c r="G3272" t="s">
        <v>670</v>
      </c>
    </row>
    <row r="3273" spans="1:7">
      <c r="A3273" s="41">
        <v>46091</v>
      </c>
      <c r="B3273" t="s">
        <v>359</v>
      </c>
      <c r="C3273">
        <v>13638</v>
      </c>
      <c r="E3273" t="s">
        <v>30</v>
      </c>
      <c r="F3273" t="s">
        <v>615</v>
      </c>
      <c r="G3273" t="s">
        <v>670</v>
      </c>
    </row>
    <row r="3274" spans="1:7">
      <c r="A3274" s="41">
        <v>46091</v>
      </c>
      <c r="B3274" t="s">
        <v>518</v>
      </c>
      <c r="E3274" t="s">
        <v>30</v>
      </c>
      <c r="F3274" t="s">
        <v>676</v>
      </c>
      <c r="G3274" t="s">
        <v>670</v>
      </c>
    </row>
    <row r="3275" spans="1:7">
      <c r="A3275" s="41">
        <v>46091</v>
      </c>
      <c r="B3275" t="s">
        <v>549</v>
      </c>
      <c r="D3275">
        <v>15471</v>
      </c>
      <c r="E3275" t="s">
        <v>33</v>
      </c>
      <c r="F3275" t="s">
        <v>673</v>
      </c>
      <c r="G3275" t="s">
        <v>670</v>
      </c>
    </row>
    <row r="3276" spans="1:7">
      <c r="A3276" s="41">
        <v>46091</v>
      </c>
      <c r="B3276" t="s">
        <v>614</v>
      </c>
      <c r="D3276">
        <v>149874</v>
      </c>
      <c r="E3276" t="s">
        <v>30</v>
      </c>
      <c r="F3276" t="s">
        <v>615</v>
      </c>
      <c r="G3276" t="s">
        <v>670</v>
      </c>
    </row>
    <row r="3277" spans="1:7">
      <c r="A3277" s="41">
        <v>46092</v>
      </c>
      <c r="B3277" t="s">
        <v>275</v>
      </c>
      <c r="C3277">
        <v>1465</v>
      </c>
      <c r="E3277" t="s">
        <v>276</v>
      </c>
    </row>
    <row r="3278" spans="1:7">
      <c r="A3278" s="41">
        <v>46092</v>
      </c>
      <c r="B3278" t="s">
        <v>38</v>
      </c>
      <c r="C3278">
        <v>10923</v>
      </c>
      <c r="E3278" t="s">
        <v>39</v>
      </c>
    </row>
    <row r="3279" spans="1:7">
      <c r="A3279" s="41">
        <v>46092</v>
      </c>
      <c r="B3279" t="s">
        <v>169</v>
      </c>
      <c r="D3279">
        <v>192388</v>
      </c>
      <c r="E3279" t="s">
        <v>33</v>
      </c>
      <c r="F3279" t="s">
        <v>675</v>
      </c>
      <c r="G3279" t="s">
        <v>670</v>
      </c>
    </row>
    <row r="3280" spans="1:7">
      <c r="A3280" s="41">
        <v>46092</v>
      </c>
      <c r="B3280" t="s">
        <v>175</v>
      </c>
      <c r="C3280">
        <v>9288</v>
      </c>
      <c r="E3280" t="s">
        <v>33</v>
      </c>
      <c r="F3280" t="s">
        <v>671</v>
      </c>
      <c r="G3280" t="s">
        <v>670</v>
      </c>
    </row>
    <row r="3281" spans="1:7">
      <c r="A3281" s="41">
        <v>46092</v>
      </c>
      <c r="B3281" t="s">
        <v>193</v>
      </c>
      <c r="D3281">
        <v>132950</v>
      </c>
      <c r="E3281" t="s">
        <v>33</v>
      </c>
      <c r="F3281" t="s">
        <v>194</v>
      </c>
      <c r="G3281" t="s">
        <v>670</v>
      </c>
    </row>
    <row r="3282" spans="1:7">
      <c r="A3282" s="41">
        <v>46092</v>
      </c>
      <c r="B3282" t="s">
        <v>275</v>
      </c>
      <c r="C3282">
        <v>1465</v>
      </c>
      <c r="E3282" t="s">
        <v>276</v>
      </c>
      <c r="F3282" t="s">
        <v>277</v>
      </c>
      <c r="G3282" t="s">
        <v>670</v>
      </c>
    </row>
    <row r="3283" spans="1:7">
      <c r="A3283" s="41">
        <v>46092</v>
      </c>
      <c r="B3283" t="s">
        <v>295</v>
      </c>
      <c r="C3283">
        <v>8958</v>
      </c>
      <c r="E3283" t="s">
        <v>33</v>
      </c>
      <c r="F3283" t="s">
        <v>298</v>
      </c>
      <c r="G3283" t="s">
        <v>670</v>
      </c>
    </row>
    <row r="3284" spans="1:7">
      <c r="A3284" s="41">
        <v>46092</v>
      </c>
      <c r="B3284" t="s">
        <v>324</v>
      </c>
      <c r="C3284">
        <v>7049</v>
      </c>
      <c r="E3284" t="s">
        <v>33</v>
      </c>
      <c r="F3284" t="s">
        <v>325</v>
      </c>
      <c r="G3284" t="s">
        <v>670</v>
      </c>
    </row>
    <row r="3285" spans="1:7">
      <c r="A3285" s="41">
        <v>46092</v>
      </c>
      <c r="B3285" t="s">
        <v>393</v>
      </c>
      <c r="E3285" t="s">
        <v>75</v>
      </c>
      <c r="F3285" t="s">
        <v>309</v>
      </c>
      <c r="G3285" t="s">
        <v>670</v>
      </c>
    </row>
    <row r="3286" spans="1:7">
      <c r="A3286" s="41">
        <v>46092</v>
      </c>
      <c r="B3286" t="s">
        <v>396</v>
      </c>
      <c r="C3286">
        <v>8612</v>
      </c>
      <c r="E3286" t="s">
        <v>33</v>
      </c>
      <c r="F3286" t="s">
        <v>677</v>
      </c>
      <c r="G3286" t="s">
        <v>670</v>
      </c>
    </row>
    <row r="3287" spans="1:7">
      <c r="A3287" s="41">
        <v>46092</v>
      </c>
      <c r="B3287" t="s">
        <v>458</v>
      </c>
      <c r="D3287">
        <v>95795</v>
      </c>
      <c r="E3287" t="s">
        <v>75</v>
      </c>
      <c r="F3287" t="s">
        <v>461</v>
      </c>
      <c r="G3287" t="s">
        <v>670</v>
      </c>
    </row>
    <row r="3288" spans="1:7">
      <c r="A3288" s="41">
        <v>46092</v>
      </c>
      <c r="B3288" t="s">
        <v>512</v>
      </c>
      <c r="D3288">
        <v>52473</v>
      </c>
      <c r="E3288" t="s">
        <v>75</v>
      </c>
      <c r="F3288" t="s">
        <v>513</v>
      </c>
      <c r="G3288" t="s">
        <v>670</v>
      </c>
    </row>
    <row r="3289" spans="1:7">
      <c r="A3289" s="41">
        <v>46092</v>
      </c>
      <c r="B3289" t="s">
        <v>523</v>
      </c>
      <c r="D3289">
        <v>62442</v>
      </c>
      <c r="E3289" t="s">
        <v>276</v>
      </c>
      <c r="F3289" t="s">
        <v>525</v>
      </c>
      <c r="G3289" t="s">
        <v>670</v>
      </c>
    </row>
    <row r="3290" spans="1:7">
      <c r="A3290" s="41">
        <v>46092</v>
      </c>
      <c r="B3290" t="s">
        <v>533</v>
      </c>
      <c r="D3290">
        <v>74820</v>
      </c>
      <c r="E3290" t="s">
        <v>75</v>
      </c>
      <c r="F3290" t="s">
        <v>534</v>
      </c>
      <c r="G3290" t="s">
        <v>670</v>
      </c>
    </row>
    <row r="3291" spans="1:7">
      <c r="A3291" s="41">
        <v>46092</v>
      </c>
      <c r="B3291" t="s">
        <v>535</v>
      </c>
      <c r="D3291">
        <v>76466</v>
      </c>
      <c r="E3291" t="s">
        <v>30</v>
      </c>
      <c r="F3291" t="s">
        <v>536</v>
      </c>
      <c r="G3291" t="s">
        <v>670</v>
      </c>
    </row>
    <row r="3292" spans="1:7">
      <c r="A3292" s="41">
        <v>46092</v>
      </c>
      <c r="B3292" t="s">
        <v>542</v>
      </c>
      <c r="D3292">
        <v>91719</v>
      </c>
      <c r="E3292" t="s">
        <v>33</v>
      </c>
      <c r="F3292" t="s">
        <v>678</v>
      </c>
      <c r="G3292" t="s">
        <v>670</v>
      </c>
    </row>
    <row r="3293" spans="1:7">
      <c r="A3293" s="41">
        <v>46092</v>
      </c>
      <c r="B3293" t="s">
        <v>549</v>
      </c>
      <c r="D3293">
        <v>15740</v>
      </c>
      <c r="E3293" t="s">
        <v>33</v>
      </c>
      <c r="F3293" t="s">
        <v>673</v>
      </c>
      <c r="G3293" t="s">
        <v>670</v>
      </c>
    </row>
    <row r="3294" spans="1:7">
      <c r="A3294" s="41">
        <v>46092</v>
      </c>
      <c r="B3294" t="s">
        <v>577</v>
      </c>
      <c r="D3294">
        <v>226726</v>
      </c>
      <c r="E3294" t="s">
        <v>113</v>
      </c>
      <c r="F3294" t="s">
        <v>578</v>
      </c>
      <c r="G3294" t="s">
        <v>670</v>
      </c>
    </row>
    <row r="3295" spans="1:7">
      <c r="A3295" s="41">
        <v>46092</v>
      </c>
      <c r="B3295" t="s">
        <v>594</v>
      </c>
      <c r="D3295">
        <v>140796</v>
      </c>
      <c r="E3295" t="s">
        <v>113</v>
      </c>
      <c r="G3295" t="s">
        <v>670</v>
      </c>
    </row>
    <row r="3296" spans="1:7">
      <c r="A3296" s="41">
        <v>46092</v>
      </c>
      <c r="B3296" t="s">
        <v>596</v>
      </c>
      <c r="D3296">
        <v>146258</v>
      </c>
      <c r="E3296" t="s">
        <v>113</v>
      </c>
      <c r="F3296" t="s">
        <v>674</v>
      </c>
      <c r="G3296" t="s">
        <v>670</v>
      </c>
    </row>
    <row r="3297" spans="1:7">
      <c r="A3297" s="41">
        <v>46092</v>
      </c>
      <c r="B3297" t="s">
        <v>622</v>
      </c>
      <c r="D3297">
        <v>111463</v>
      </c>
      <c r="E3297" t="s">
        <v>30</v>
      </c>
      <c r="F3297" t="s">
        <v>623</v>
      </c>
      <c r="G3297" t="s">
        <v>670</v>
      </c>
    </row>
    <row r="3298" spans="1:7">
      <c r="A3298" s="41">
        <v>46092</v>
      </c>
      <c r="B3298" t="s">
        <v>634</v>
      </c>
      <c r="D3298">
        <v>109377</v>
      </c>
      <c r="E3298" t="s">
        <v>75</v>
      </c>
      <c r="F3298" t="s">
        <v>635</v>
      </c>
      <c r="G3298" t="s">
        <v>670</v>
      </c>
    </row>
    <row r="3299" spans="1:7">
      <c r="A3299" s="41">
        <v>46093</v>
      </c>
      <c r="B3299" t="s">
        <v>175</v>
      </c>
      <c r="C3299">
        <v>9295</v>
      </c>
      <c r="E3299" t="s">
        <v>663</v>
      </c>
    </row>
    <row r="3300" spans="1:7">
      <c r="A3300" s="41">
        <v>46093</v>
      </c>
      <c r="B3300" t="s">
        <v>549</v>
      </c>
      <c r="D3300">
        <v>15995</v>
      </c>
      <c r="E3300" t="s">
        <v>663</v>
      </c>
    </row>
    <row r="3301" spans="1:7" ht="15" customHeight="1">
      <c r="A3301" s="41">
        <v>46093</v>
      </c>
      <c r="B3301" t="s">
        <v>542</v>
      </c>
      <c r="D3301">
        <v>92189</v>
      </c>
      <c r="E3301" t="s">
        <v>663</v>
      </c>
    </row>
    <row r="3302" spans="1:7" ht="15" customHeight="1">
      <c r="A3302" s="41">
        <v>46093</v>
      </c>
      <c r="B3302" t="s">
        <v>382</v>
      </c>
      <c r="C3302">
        <v>13039</v>
      </c>
      <c r="E3302" t="s">
        <v>276</v>
      </c>
    </row>
    <row r="3303" spans="1:7" ht="15" customHeight="1">
      <c r="A3303" s="41">
        <v>46093</v>
      </c>
      <c r="B3303" t="s">
        <v>91</v>
      </c>
      <c r="C3303">
        <v>3694</v>
      </c>
    </row>
    <row r="3304" spans="1:7" ht="15" customHeight="1">
      <c r="A3304" s="41">
        <v>46093</v>
      </c>
      <c r="B3304" t="s">
        <v>121</v>
      </c>
      <c r="C3304">
        <v>2650</v>
      </c>
      <c r="D3304">
        <v>194448</v>
      </c>
      <c r="E3304" t="s">
        <v>33</v>
      </c>
      <c r="F3304" t="s">
        <v>122</v>
      </c>
      <c r="G3304" t="s">
        <v>670</v>
      </c>
    </row>
    <row r="3305" spans="1:7" ht="15" customHeight="1">
      <c r="A3305" s="41">
        <v>46093</v>
      </c>
      <c r="B3305" t="s">
        <v>175</v>
      </c>
      <c r="C3305">
        <v>9295</v>
      </c>
      <c r="E3305" t="s">
        <v>33</v>
      </c>
      <c r="F3305" t="s">
        <v>671</v>
      </c>
      <c r="G3305" t="s">
        <v>670</v>
      </c>
    </row>
    <row r="3306" spans="1:7" ht="15" customHeight="1">
      <c r="A3306" s="41">
        <v>46093</v>
      </c>
      <c r="B3306" t="s">
        <v>330</v>
      </c>
      <c r="C3306">
        <v>25997</v>
      </c>
      <c r="E3306" t="s">
        <v>33</v>
      </c>
      <c r="F3306" t="s">
        <v>332</v>
      </c>
      <c r="G3306" t="s">
        <v>670</v>
      </c>
    </row>
    <row r="3307" spans="1:7" ht="15" customHeight="1">
      <c r="A3307" s="41">
        <v>46093</v>
      </c>
      <c r="B3307" t="s">
        <v>359</v>
      </c>
      <c r="C3307">
        <v>13647</v>
      </c>
      <c r="E3307" t="s">
        <v>30</v>
      </c>
      <c r="F3307" t="s">
        <v>615</v>
      </c>
      <c r="G3307" t="s">
        <v>670</v>
      </c>
    </row>
    <row r="3308" spans="1:7" ht="15" customHeight="1">
      <c r="A3308" s="41">
        <v>46093</v>
      </c>
      <c r="B3308" t="s">
        <v>382</v>
      </c>
      <c r="C3308">
        <v>13039</v>
      </c>
      <c r="E3308" t="s">
        <v>276</v>
      </c>
      <c r="F3308" t="s">
        <v>383</v>
      </c>
      <c r="G3308" t="s">
        <v>670</v>
      </c>
    </row>
    <row r="3309" spans="1:7" ht="15" customHeight="1">
      <c r="A3309" s="41">
        <v>46093</v>
      </c>
      <c r="B3309" t="s">
        <v>458</v>
      </c>
      <c r="D3309">
        <v>96027</v>
      </c>
      <c r="E3309" t="s">
        <v>30</v>
      </c>
      <c r="F3309" t="s">
        <v>461</v>
      </c>
      <c r="G3309" t="s">
        <v>670</v>
      </c>
    </row>
    <row r="3310" spans="1:7" ht="15" customHeight="1">
      <c r="A3310" s="41">
        <v>46093</v>
      </c>
      <c r="B3310" t="s">
        <v>518</v>
      </c>
      <c r="D3310">
        <v>78045</v>
      </c>
      <c r="E3310" t="s">
        <v>30</v>
      </c>
      <c r="F3310" t="s">
        <v>679</v>
      </c>
      <c r="G3310" t="s">
        <v>670</v>
      </c>
    </row>
    <row r="3311" spans="1:7" ht="15" customHeight="1">
      <c r="A3311" s="41">
        <v>46093</v>
      </c>
      <c r="B3311" t="s">
        <v>542</v>
      </c>
      <c r="D3311">
        <v>92189</v>
      </c>
      <c r="E3311" t="s">
        <v>33</v>
      </c>
      <c r="F3311" t="s">
        <v>680</v>
      </c>
      <c r="G3311" t="s">
        <v>670</v>
      </c>
    </row>
    <row r="3312" spans="1:7" ht="15" customHeight="1">
      <c r="A3312" s="41">
        <v>46093</v>
      </c>
      <c r="B3312" t="s">
        <v>549</v>
      </c>
      <c r="D3312">
        <v>15995</v>
      </c>
      <c r="E3312" t="s">
        <v>33</v>
      </c>
      <c r="F3312" t="s">
        <v>681</v>
      </c>
      <c r="G3312" t="s">
        <v>670</v>
      </c>
    </row>
    <row r="3313" spans="1:7" ht="15" customHeight="1">
      <c r="A3313" s="41">
        <v>46093</v>
      </c>
      <c r="B3313" t="s">
        <v>596</v>
      </c>
      <c r="D3313">
        <v>146469</v>
      </c>
      <c r="E3313" t="s">
        <v>30</v>
      </c>
      <c r="F3313" t="s">
        <v>597</v>
      </c>
      <c r="G3313" t="s">
        <v>670</v>
      </c>
    </row>
    <row r="3314" spans="1:7" ht="15" customHeight="1">
      <c r="A3314" s="41">
        <v>46093</v>
      </c>
      <c r="B3314" t="s">
        <v>614</v>
      </c>
      <c r="D3314">
        <v>150441</v>
      </c>
      <c r="E3314" t="s">
        <v>30</v>
      </c>
      <c r="F3314" t="s">
        <v>615</v>
      </c>
      <c r="G3314" t="s">
        <v>670</v>
      </c>
    </row>
    <row r="3315" spans="1:7" ht="15" customHeight="1">
      <c r="A3315" s="41">
        <v>46094</v>
      </c>
      <c r="B3315" t="s">
        <v>542</v>
      </c>
      <c r="D3315">
        <v>92535</v>
      </c>
      <c r="E3315" t="s">
        <v>663</v>
      </c>
    </row>
    <row r="3316" spans="1:7" ht="15" customHeight="1">
      <c r="A3316" s="41">
        <v>46094</v>
      </c>
      <c r="B3316" t="s">
        <v>275</v>
      </c>
      <c r="C3316">
        <v>1472</v>
      </c>
      <c r="E3316" t="s">
        <v>276</v>
      </c>
    </row>
    <row r="3317" spans="1:7" ht="15" customHeight="1">
      <c r="A3317" s="41">
        <v>46094</v>
      </c>
      <c r="B3317" t="s">
        <v>510</v>
      </c>
      <c r="D3317">
        <v>45215</v>
      </c>
      <c r="E3317" t="s">
        <v>276</v>
      </c>
    </row>
    <row r="3318" spans="1:7" ht="15" customHeight="1">
      <c r="A3318" s="41">
        <v>46094</v>
      </c>
      <c r="B3318" t="s">
        <v>523</v>
      </c>
      <c r="D3318">
        <v>62903</v>
      </c>
      <c r="E3318" t="s">
        <v>276</v>
      </c>
    </row>
    <row r="3319" spans="1:7" ht="15" customHeight="1">
      <c r="A3319" s="41">
        <v>46094</v>
      </c>
      <c r="B3319" t="s">
        <v>72</v>
      </c>
      <c r="E3319" t="s">
        <v>75</v>
      </c>
      <c r="F3319" t="s">
        <v>76</v>
      </c>
      <c r="G3319" t="s">
        <v>670</v>
      </c>
    </row>
    <row r="3320" spans="1:7" ht="15" customHeight="1">
      <c r="A3320" s="41">
        <v>46094</v>
      </c>
      <c r="B3320" t="s">
        <v>173</v>
      </c>
      <c r="C3320">
        <v>8590</v>
      </c>
      <c r="D3320">
        <v>165257</v>
      </c>
      <c r="E3320" t="s">
        <v>33</v>
      </c>
      <c r="F3320" t="s">
        <v>174</v>
      </c>
      <c r="G3320" t="s">
        <v>670</v>
      </c>
    </row>
    <row r="3321" spans="1:7" ht="15" customHeight="1">
      <c r="A3321" s="41">
        <v>46094</v>
      </c>
      <c r="B3321" t="s">
        <v>275</v>
      </c>
      <c r="C3321">
        <v>1472</v>
      </c>
      <c r="E3321" t="s">
        <v>276</v>
      </c>
      <c r="F3321" t="s">
        <v>277</v>
      </c>
      <c r="G3321" t="s">
        <v>670</v>
      </c>
    </row>
    <row r="3322" spans="1:7" ht="15" customHeight="1">
      <c r="A3322" s="41">
        <v>46094</v>
      </c>
      <c r="B3322" t="s">
        <v>346</v>
      </c>
      <c r="C3322">
        <v>8627</v>
      </c>
      <c r="E3322" t="s">
        <v>75</v>
      </c>
      <c r="F3322" t="s">
        <v>349</v>
      </c>
      <c r="G3322" t="s">
        <v>670</v>
      </c>
    </row>
    <row r="3323" spans="1:7" ht="15" customHeight="1">
      <c r="A3323" s="41">
        <v>46094</v>
      </c>
      <c r="B3323" t="s">
        <v>510</v>
      </c>
      <c r="D3323">
        <v>45215</v>
      </c>
      <c r="E3323" t="s">
        <v>276</v>
      </c>
      <c r="F3323" t="s">
        <v>672</v>
      </c>
      <c r="G3323" t="s">
        <v>670</v>
      </c>
    </row>
    <row r="3324" spans="1:7" ht="15" customHeight="1">
      <c r="A3324" s="41">
        <v>46094</v>
      </c>
      <c r="B3324" t="s">
        <v>523</v>
      </c>
      <c r="D3324">
        <v>62903</v>
      </c>
      <c r="E3324" t="s">
        <v>276</v>
      </c>
      <c r="F3324" t="s">
        <v>525</v>
      </c>
      <c r="G3324" t="s">
        <v>670</v>
      </c>
    </row>
    <row r="3325" spans="1:7" ht="15" customHeight="1">
      <c r="A3325" s="41">
        <v>46094</v>
      </c>
      <c r="B3325" t="s">
        <v>533</v>
      </c>
      <c r="D3325">
        <v>75164</v>
      </c>
      <c r="E3325" t="s">
        <v>75</v>
      </c>
      <c r="F3325" t="s">
        <v>534</v>
      </c>
      <c r="G3325" t="s">
        <v>670</v>
      </c>
    </row>
    <row r="3326" spans="1:7" ht="15" customHeight="1">
      <c r="A3326" s="41">
        <v>46094</v>
      </c>
      <c r="B3326" t="s">
        <v>542</v>
      </c>
      <c r="D3326">
        <v>92535</v>
      </c>
      <c r="E3326" t="s">
        <v>33</v>
      </c>
      <c r="F3326" t="s">
        <v>682</v>
      </c>
      <c r="G3326" t="s">
        <v>670</v>
      </c>
    </row>
    <row r="3327" spans="1:7" ht="15" customHeight="1">
      <c r="A3327" s="41">
        <v>46094</v>
      </c>
      <c r="B3327" t="s">
        <v>634</v>
      </c>
      <c r="D3327">
        <v>109796</v>
      </c>
      <c r="E3327" t="s">
        <v>75</v>
      </c>
      <c r="F3327" t="s">
        <v>635</v>
      </c>
      <c r="G3327" t="s">
        <v>670</v>
      </c>
    </row>
    <row r="3328" spans="1:7" ht="15" customHeight="1">
      <c r="A3328" s="41">
        <v>46097</v>
      </c>
      <c r="B3328" t="s">
        <v>530</v>
      </c>
      <c r="D3328">
        <v>85654</v>
      </c>
      <c r="E3328" s="8" t="s">
        <v>531</v>
      </c>
      <c r="F3328" t="s">
        <v>532</v>
      </c>
      <c r="G3328" s="59"/>
    </row>
    <row r="3329" spans="1:7" ht="15" customHeight="1">
      <c r="A3329" s="41">
        <v>46097</v>
      </c>
      <c r="B3329" t="s">
        <v>301</v>
      </c>
      <c r="C3329">
        <v>14563</v>
      </c>
      <c r="E3329" t="s">
        <v>84</v>
      </c>
      <c r="F3329" t="s">
        <v>304</v>
      </c>
      <c r="G3329" t="s">
        <v>670</v>
      </c>
    </row>
    <row r="3330" spans="1:7" ht="15" customHeight="1">
      <c r="A3330" s="41">
        <v>46097</v>
      </c>
      <c r="B3330" t="s">
        <v>324</v>
      </c>
      <c r="C3330">
        <v>7060</v>
      </c>
      <c r="E3330" t="s">
        <v>33</v>
      </c>
      <c r="F3330" t="s">
        <v>325</v>
      </c>
      <c r="G3330" t="s">
        <v>670</v>
      </c>
    </row>
    <row r="3331" spans="1:7" ht="15" customHeight="1">
      <c r="A3331" s="41">
        <v>46097</v>
      </c>
      <c r="B3331" t="s">
        <v>365</v>
      </c>
      <c r="C3331">
        <v>4857</v>
      </c>
      <c r="E3331" t="s">
        <v>30</v>
      </c>
      <c r="F3331" t="s">
        <v>369</v>
      </c>
      <c r="G3331" t="s">
        <v>670</v>
      </c>
    </row>
    <row r="3332" spans="1:7" ht="15" customHeight="1">
      <c r="A3332" s="41">
        <v>46097</v>
      </c>
      <c r="B3332" t="s">
        <v>387</v>
      </c>
      <c r="C3332">
        <v>17294</v>
      </c>
      <c r="E3332" t="s">
        <v>30</v>
      </c>
      <c r="F3332" t="s">
        <v>389</v>
      </c>
      <c r="G3332" t="s">
        <v>670</v>
      </c>
    </row>
    <row r="3333" spans="1:7" ht="15" customHeight="1">
      <c r="A3333" s="41">
        <v>46097</v>
      </c>
      <c r="B3333" t="s">
        <v>396</v>
      </c>
      <c r="C3333">
        <v>8622</v>
      </c>
      <c r="E3333" t="s">
        <v>33</v>
      </c>
      <c r="F3333" t="s">
        <v>677</v>
      </c>
      <c r="G3333" t="s">
        <v>670</v>
      </c>
    </row>
    <row r="3334" spans="1:7" ht="15" customHeight="1">
      <c r="A3334" s="41">
        <v>46097</v>
      </c>
      <c r="B3334" t="s">
        <v>430</v>
      </c>
      <c r="C3334">
        <v>6494</v>
      </c>
      <c r="E3334" t="s">
        <v>30</v>
      </c>
      <c r="F3334" t="s">
        <v>683</v>
      </c>
      <c r="G3334" t="s">
        <v>670</v>
      </c>
    </row>
    <row r="3335" spans="1:7" ht="15" customHeight="1">
      <c r="A3335" s="41">
        <v>46097</v>
      </c>
      <c r="B3335" t="s">
        <v>449</v>
      </c>
      <c r="C3335">
        <v>1705</v>
      </c>
      <c r="E3335" t="s">
        <v>84</v>
      </c>
      <c r="F3335" t="s">
        <v>450</v>
      </c>
      <c r="G3335" t="s">
        <v>670</v>
      </c>
    </row>
    <row r="3336" spans="1:7" ht="15" customHeight="1">
      <c r="A3336" s="41">
        <v>46097</v>
      </c>
      <c r="B3336" t="s">
        <v>508</v>
      </c>
      <c r="D3336">
        <v>50744</v>
      </c>
      <c r="E3336" t="s">
        <v>84</v>
      </c>
      <c r="F3336" t="s">
        <v>509</v>
      </c>
      <c r="G3336" t="s">
        <v>670</v>
      </c>
    </row>
    <row r="3337" spans="1:7" ht="15" customHeight="1">
      <c r="A3337" s="41">
        <v>46097</v>
      </c>
      <c r="B3337" t="s">
        <v>512</v>
      </c>
      <c r="D3337">
        <v>53306</v>
      </c>
      <c r="E3337" t="s">
        <v>30</v>
      </c>
      <c r="F3337" t="s">
        <v>513</v>
      </c>
      <c r="G3337" t="s">
        <v>670</v>
      </c>
    </row>
    <row r="3338" spans="1:7" ht="15" customHeight="1">
      <c r="A3338" s="41">
        <v>46097</v>
      </c>
      <c r="B3338" t="s">
        <v>523</v>
      </c>
      <c r="D3338">
        <v>63337</v>
      </c>
      <c r="E3338" t="s">
        <v>276</v>
      </c>
      <c r="F3338" t="s">
        <v>525</v>
      </c>
      <c r="G3338" t="s">
        <v>670</v>
      </c>
    </row>
    <row r="3339" spans="1:7" ht="15" customHeight="1">
      <c r="A3339" s="41">
        <v>46097</v>
      </c>
      <c r="B3339" t="s">
        <v>528</v>
      </c>
      <c r="D3339">
        <v>68929</v>
      </c>
      <c r="E3339" t="s">
        <v>84</v>
      </c>
      <c r="F3339" t="s">
        <v>529</v>
      </c>
      <c r="G3339" t="s">
        <v>670</v>
      </c>
    </row>
    <row r="3340" spans="1:7" ht="15" customHeight="1">
      <c r="A3340" s="41">
        <v>46097</v>
      </c>
      <c r="B3340" t="s">
        <v>542</v>
      </c>
      <c r="D3340">
        <v>93371</v>
      </c>
      <c r="E3340" t="s">
        <v>33</v>
      </c>
      <c r="F3340" t="s">
        <v>398</v>
      </c>
      <c r="G3340" t="s">
        <v>670</v>
      </c>
    </row>
    <row r="3341" spans="1:7" ht="15" customHeight="1">
      <c r="A3341" s="41">
        <v>46097</v>
      </c>
      <c r="B3341" t="s">
        <v>549</v>
      </c>
      <c r="D3341">
        <v>16420</v>
      </c>
      <c r="E3341" t="s">
        <v>33</v>
      </c>
      <c r="F3341" t="s">
        <v>673</v>
      </c>
      <c r="G3341" t="s">
        <v>670</v>
      </c>
    </row>
    <row r="3342" spans="1:7" ht="15" customHeight="1">
      <c r="A3342" s="41">
        <v>46097</v>
      </c>
      <c r="B3342" t="s">
        <v>552</v>
      </c>
      <c r="D3342">
        <v>17360</v>
      </c>
      <c r="E3342" t="s">
        <v>84</v>
      </c>
      <c r="F3342" t="s">
        <v>684</v>
      </c>
      <c r="G3342" t="s">
        <v>670</v>
      </c>
    </row>
    <row r="3343" spans="1:7" ht="15" customHeight="1">
      <c r="A3343" s="41">
        <v>46097</v>
      </c>
      <c r="B3343" t="s">
        <v>596</v>
      </c>
      <c r="D3343">
        <v>146957</v>
      </c>
      <c r="E3343" t="s">
        <v>30</v>
      </c>
      <c r="F3343" t="s">
        <v>597</v>
      </c>
      <c r="G3343" t="s">
        <v>670</v>
      </c>
    </row>
    <row r="3344" spans="1:7" ht="15" customHeight="1">
      <c r="A3344" s="41">
        <v>46097</v>
      </c>
      <c r="B3344" t="s">
        <v>614</v>
      </c>
      <c r="D3344">
        <v>150866</v>
      </c>
      <c r="E3344" t="s">
        <v>30</v>
      </c>
      <c r="F3344" t="s">
        <v>615</v>
      </c>
      <c r="G3344" t="s">
        <v>670</v>
      </c>
    </row>
    <row r="3345" spans="1:7" ht="15" customHeight="1">
      <c r="A3345" s="41">
        <v>46097</v>
      </c>
      <c r="B3345" t="s">
        <v>622</v>
      </c>
      <c r="D3345">
        <v>111791</v>
      </c>
      <c r="E3345" t="s">
        <v>30</v>
      </c>
      <c r="F3345" t="s">
        <v>623</v>
      </c>
      <c r="G3345" t="s">
        <v>670</v>
      </c>
    </row>
    <row r="3346" spans="1:7" ht="15" customHeight="1">
      <c r="A3346" s="41">
        <v>46098</v>
      </c>
      <c r="B3346" t="s">
        <v>258</v>
      </c>
      <c r="C3346">
        <v>2799</v>
      </c>
      <c r="E3346" t="s">
        <v>39</v>
      </c>
    </row>
    <row r="3347" spans="1:7" ht="15" customHeight="1">
      <c r="A3347" s="41">
        <v>46098</v>
      </c>
      <c r="B3347" t="s">
        <v>417</v>
      </c>
      <c r="C3347">
        <v>8322</v>
      </c>
      <c r="E3347" t="s">
        <v>39</v>
      </c>
    </row>
    <row r="3348" spans="1:7" ht="15" customHeight="1">
      <c r="A3348" s="41">
        <v>46098</v>
      </c>
      <c r="B3348" t="s">
        <v>268</v>
      </c>
      <c r="C3348">
        <v>5648</v>
      </c>
      <c r="E3348" t="s">
        <v>272</v>
      </c>
      <c r="G3348" t="s">
        <v>664</v>
      </c>
    </row>
    <row r="3349" spans="1:7" ht="15" customHeight="1">
      <c r="A3349" s="41">
        <v>46098</v>
      </c>
      <c r="B3349" t="s">
        <v>130</v>
      </c>
      <c r="E3349" t="s">
        <v>84</v>
      </c>
      <c r="F3349" t="s">
        <v>134</v>
      </c>
      <c r="G3349" t="s">
        <v>670</v>
      </c>
    </row>
    <row r="3350" spans="1:7" ht="15" customHeight="1">
      <c r="A3350" s="41">
        <v>46098</v>
      </c>
      <c r="B3350" t="s">
        <v>175</v>
      </c>
      <c r="C3350">
        <v>9304</v>
      </c>
      <c r="E3350" t="s">
        <v>33</v>
      </c>
      <c r="F3350" t="s">
        <v>675</v>
      </c>
      <c r="G3350" t="s">
        <v>670</v>
      </c>
    </row>
    <row r="3351" spans="1:7" ht="15" customHeight="1">
      <c r="A3351" s="41">
        <v>46098</v>
      </c>
      <c r="B3351" t="s">
        <v>379</v>
      </c>
      <c r="C3351">
        <v>3543</v>
      </c>
      <c r="E3351" t="s">
        <v>84</v>
      </c>
      <c r="F3351" t="s">
        <v>381</v>
      </c>
      <c r="G3351" t="s">
        <v>670</v>
      </c>
    </row>
    <row r="3352" spans="1:7" ht="15" customHeight="1">
      <c r="A3352" s="41">
        <v>46098</v>
      </c>
      <c r="B3352" t="s">
        <v>393</v>
      </c>
      <c r="E3352" t="s">
        <v>30</v>
      </c>
      <c r="F3352" t="s">
        <v>623</v>
      </c>
      <c r="G3352" t="s">
        <v>670</v>
      </c>
    </row>
    <row r="3353" spans="1:7" ht="15" customHeight="1">
      <c r="A3353" s="41">
        <v>46098</v>
      </c>
      <c r="B3353" t="s">
        <v>396</v>
      </c>
      <c r="D3353">
        <v>8622</v>
      </c>
      <c r="E3353" t="s">
        <v>33</v>
      </c>
      <c r="F3353" t="s">
        <v>398</v>
      </c>
      <c r="G3353" t="s">
        <v>670</v>
      </c>
    </row>
    <row r="3354" spans="1:7" ht="15" customHeight="1">
      <c r="A3354" s="41">
        <v>46098</v>
      </c>
      <c r="B3354" t="s">
        <v>424</v>
      </c>
      <c r="C3354">
        <v>562</v>
      </c>
      <c r="E3354" t="s">
        <v>84</v>
      </c>
      <c r="F3354" t="s">
        <v>426</v>
      </c>
      <c r="G3354" t="s">
        <v>670</v>
      </c>
    </row>
    <row r="3355" spans="1:7" ht="15" customHeight="1">
      <c r="A3355" s="41">
        <v>46098</v>
      </c>
      <c r="B3355" t="s">
        <v>458</v>
      </c>
      <c r="D3355">
        <v>96469</v>
      </c>
      <c r="E3355" t="s">
        <v>75</v>
      </c>
      <c r="F3355" t="s">
        <v>461</v>
      </c>
      <c r="G3355" t="s">
        <v>670</v>
      </c>
    </row>
    <row r="3356" spans="1:7" ht="15" customHeight="1">
      <c r="A3356" s="41">
        <v>46098</v>
      </c>
      <c r="B3356" t="s">
        <v>469</v>
      </c>
      <c r="D3356">
        <v>72914</v>
      </c>
      <c r="E3356" t="s">
        <v>101</v>
      </c>
      <c r="F3356" t="s">
        <v>685</v>
      </c>
      <c r="G3356" t="s">
        <v>670</v>
      </c>
    </row>
    <row r="3357" spans="1:7" ht="15" customHeight="1">
      <c r="A3357" s="41">
        <v>46098</v>
      </c>
      <c r="B3357" t="s">
        <v>526</v>
      </c>
      <c r="E3357" t="s">
        <v>84</v>
      </c>
      <c r="F3357" t="s">
        <v>527</v>
      </c>
      <c r="G3357" t="s">
        <v>670</v>
      </c>
    </row>
    <row r="3358" spans="1:7" ht="15" customHeight="1">
      <c r="A3358" s="41">
        <v>46098</v>
      </c>
      <c r="B3358" t="s">
        <v>533</v>
      </c>
      <c r="D3358">
        <v>75766</v>
      </c>
      <c r="E3358" t="s">
        <v>75</v>
      </c>
      <c r="F3358" t="s">
        <v>534</v>
      </c>
      <c r="G3358" t="s">
        <v>670</v>
      </c>
    </row>
    <row r="3359" spans="1:7" ht="15" customHeight="1">
      <c r="A3359" s="41">
        <v>46098</v>
      </c>
      <c r="B3359" t="s">
        <v>535</v>
      </c>
      <c r="D3359">
        <v>78425</v>
      </c>
      <c r="E3359" t="s">
        <v>30</v>
      </c>
      <c r="F3359" t="s">
        <v>536</v>
      </c>
      <c r="G3359" t="s">
        <v>670</v>
      </c>
    </row>
    <row r="3360" spans="1:7" ht="15" customHeight="1">
      <c r="A3360" s="41">
        <v>46098</v>
      </c>
      <c r="B3360" t="s">
        <v>535</v>
      </c>
      <c r="D3360">
        <v>78425</v>
      </c>
      <c r="E3360" t="s">
        <v>101</v>
      </c>
      <c r="F3360" t="s">
        <v>536</v>
      </c>
      <c r="G3360" t="s">
        <v>670</v>
      </c>
    </row>
    <row r="3361" spans="1:7" ht="15" customHeight="1">
      <c r="A3361" s="41">
        <v>46098</v>
      </c>
      <c r="B3361" t="s">
        <v>552</v>
      </c>
      <c r="D3361">
        <v>17727</v>
      </c>
      <c r="E3361" t="s">
        <v>84</v>
      </c>
      <c r="F3361" t="s">
        <v>684</v>
      </c>
      <c r="G3361" t="s">
        <v>670</v>
      </c>
    </row>
    <row r="3362" spans="1:7" ht="15" customHeight="1">
      <c r="A3362" s="41">
        <v>46098</v>
      </c>
      <c r="B3362" t="s">
        <v>634</v>
      </c>
      <c r="D3362">
        <v>110245</v>
      </c>
      <c r="E3362" t="s">
        <v>75</v>
      </c>
      <c r="F3362" t="s">
        <v>635</v>
      </c>
      <c r="G3362" t="s">
        <v>670</v>
      </c>
    </row>
    <row r="3363" spans="1:7" ht="15" customHeight="1">
      <c r="A3363" s="41">
        <v>46099</v>
      </c>
      <c r="B3363" t="s">
        <v>379</v>
      </c>
      <c r="C3363">
        <v>3544</v>
      </c>
    </row>
    <row r="3364" spans="1:7" ht="15" customHeight="1">
      <c r="A3364" s="41">
        <v>46099</v>
      </c>
      <c r="B3364" t="s">
        <v>106</v>
      </c>
      <c r="D3364">
        <v>123676</v>
      </c>
      <c r="E3364" t="s">
        <v>101</v>
      </c>
      <c r="F3364" t="s">
        <v>108</v>
      </c>
      <c r="G3364" t="s">
        <v>670</v>
      </c>
    </row>
    <row r="3365" spans="1:7" ht="15" customHeight="1">
      <c r="A3365" s="41">
        <v>46099</v>
      </c>
      <c r="B3365" t="s">
        <v>175</v>
      </c>
      <c r="C3365">
        <v>9310</v>
      </c>
      <c r="E3365" t="s">
        <v>33</v>
      </c>
      <c r="F3365" t="s">
        <v>671</v>
      </c>
      <c r="G3365" t="s">
        <v>670</v>
      </c>
    </row>
    <row r="3366" spans="1:7" ht="15" customHeight="1">
      <c r="A3366" s="41">
        <v>46099</v>
      </c>
      <c r="B3366" t="s">
        <v>275</v>
      </c>
      <c r="C3366">
        <v>1474</v>
      </c>
      <c r="E3366" t="s">
        <v>276</v>
      </c>
      <c r="F3366" t="s">
        <v>277</v>
      </c>
      <c r="G3366" t="s">
        <v>670</v>
      </c>
    </row>
    <row r="3367" spans="1:7" ht="15" customHeight="1">
      <c r="A3367" s="41">
        <v>46099</v>
      </c>
      <c r="B3367" t="s">
        <v>290</v>
      </c>
      <c r="E3367" t="s">
        <v>84</v>
      </c>
      <c r="F3367" t="s">
        <v>294</v>
      </c>
      <c r="G3367" t="s">
        <v>670</v>
      </c>
    </row>
    <row r="3368" spans="1:7" ht="15" customHeight="1">
      <c r="A3368" s="41">
        <v>46099</v>
      </c>
      <c r="B3368" t="s">
        <v>301</v>
      </c>
      <c r="C3368">
        <v>14568</v>
      </c>
      <c r="E3368" t="s">
        <v>84</v>
      </c>
      <c r="F3368" t="s">
        <v>304</v>
      </c>
      <c r="G3368" t="s">
        <v>670</v>
      </c>
    </row>
    <row r="3369" spans="1:7" ht="15" customHeight="1">
      <c r="A3369" s="41">
        <v>46099</v>
      </c>
      <c r="B3369" t="s">
        <v>449</v>
      </c>
      <c r="C3369">
        <v>1766</v>
      </c>
      <c r="E3369" t="s">
        <v>84</v>
      </c>
      <c r="F3369" t="s">
        <v>450</v>
      </c>
      <c r="G3369" t="s">
        <v>670</v>
      </c>
    </row>
    <row r="3370" spans="1:7" ht="15" customHeight="1">
      <c r="A3370" s="41">
        <v>46099</v>
      </c>
      <c r="B3370" t="s">
        <v>512</v>
      </c>
      <c r="D3370">
        <v>53746</v>
      </c>
      <c r="E3370" t="s">
        <v>101</v>
      </c>
      <c r="F3370" t="s">
        <v>492</v>
      </c>
      <c r="G3370" t="s">
        <v>670</v>
      </c>
    </row>
    <row r="3371" spans="1:7" ht="15" customHeight="1">
      <c r="A3371" s="41">
        <v>46099</v>
      </c>
      <c r="B3371" t="s">
        <v>523</v>
      </c>
      <c r="D3371">
        <v>63724</v>
      </c>
      <c r="E3371" t="s">
        <v>276</v>
      </c>
      <c r="F3371" t="s">
        <v>525</v>
      </c>
      <c r="G3371" t="s">
        <v>670</v>
      </c>
    </row>
    <row r="3372" spans="1:7" ht="15" customHeight="1">
      <c r="A3372" s="41">
        <v>46099</v>
      </c>
      <c r="B3372" t="s">
        <v>539</v>
      </c>
      <c r="D3372">
        <v>42906</v>
      </c>
      <c r="E3372" t="s">
        <v>84</v>
      </c>
      <c r="F3372" t="s">
        <v>489</v>
      </c>
      <c r="G3372" t="s">
        <v>670</v>
      </c>
    </row>
    <row r="3373" spans="1:7" ht="15" customHeight="1">
      <c r="A3373" s="41">
        <v>46099</v>
      </c>
      <c r="B3373" t="s">
        <v>596</v>
      </c>
      <c r="D3373">
        <v>147089</v>
      </c>
      <c r="E3373" t="s">
        <v>30</v>
      </c>
      <c r="F3373" t="s">
        <v>597</v>
      </c>
      <c r="G3373" t="s">
        <v>670</v>
      </c>
    </row>
    <row r="3374" spans="1:7" ht="15" customHeight="1">
      <c r="A3374" s="41">
        <v>46099</v>
      </c>
      <c r="B3374" t="s">
        <v>608</v>
      </c>
      <c r="D3374">
        <v>303885</v>
      </c>
      <c r="E3374" t="s">
        <v>101</v>
      </c>
      <c r="F3374" t="s">
        <v>610</v>
      </c>
      <c r="G3374" t="s">
        <v>670</v>
      </c>
    </row>
    <row r="3375" spans="1:7" ht="15" customHeight="1">
      <c r="A3375" s="41">
        <v>46099</v>
      </c>
      <c r="B3375" t="s">
        <v>634</v>
      </c>
      <c r="E3375" t="s">
        <v>101</v>
      </c>
      <c r="F3375" t="s">
        <v>686</v>
      </c>
      <c r="G3375" t="s">
        <v>670</v>
      </c>
    </row>
    <row r="3376" spans="1:7" ht="15" customHeight="1">
      <c r="A3376" s="41">
        <v>46099</v>
      </c>
      <c r="B3376" t="s">
        <v>490</v>
      </c>
      <c r="D3376">
        <v>90000</v>
      </c>
    </row>
    <row r="3377" spans="1:7" ht="15" customHeight="1">
      <c r="A3377" s="41">
        <v>46100</v>
      </c>
      <c r="B3377" t="s">
        <v>258</v>
      </c>
      <c r="C3377">
        <v>2838</v>
      </c>
      <c r="E3377" t="s">
        <v>39</v>
      </c>
    </row>
    <row r="3378" spans="1:7" ht="15" customHeight="1">
      <c r="A3378" s="41">
        <v>46100</v>
      </c>
      <c r="B3378" t="s">
        <v>417</v>
      </c>
      <c r="C3378">
        <v>8326</v>
      </c>
      <c r="E3378" t="s">
        <v>39</v>
      </c>
    </row>
    <row r="3379" spans="1:7" ht="15" customHeight="1">
      <c r="A3379" s="41">
        <v>46100</v>
      </c>
      <c r="B3379" t="s">
        <v>665</v>
      </c>
      <c r="C3379">
        <v>15747</v>
      </c>
      <c r="E3379" t="s">
        <v>39</v>
      </c>
    </row>
    <row r="3380" spans="1:7" ht="15" customHeight="1">
      <c r="A3380" s="41">
        <v>46100</v>
      </c>
      <c r="B3380" t="s">
        <v>81</v>
      </c>
      <c r="D3380">
        <v>195600</v>
      </c>
      <c r="E3380" t="s">
        <v>39</v>
      </c>
    </row>
    <row r="3381" spans="1:7" ht="15" customHeight="1">
      <c r="A3381" s="41">
        <v>46100</v>
      </c>
      <c r="B3381" t="s">
        <v>365</v>
      </c>
      <c r="C3381">
        <v>4851</v>
      </c>
      <c r="E3381" t="s">
        <v>666</v>
      </c>
    </row>
    <row r="3382" spans="1:7" ht="15" customHeight="1">
      <c r="A3382" s="41">
        <v>46100</v>
      </c>
      <c r="B3382" t="s">
        <v>430</v>
      </c>
      <c r="C3382">
        <v>6514</v>
      </c>
      <c r="E3382" t="s">
        <v>666</v>
      </c>
    </row>
    <row r="3383" spans="1:7" ht="15" customHeight="1">
      <c r="A3383" s="41">
        <v>46100</v>
      </c>
      <c r="B3383" t="s">
        <v>393</v>
      </c>
      <c r="C3383">
        <v>51</v>
      </c>
      <c r="E3383" t="s">
        <v>666</v>
      </c>
    </row>
    <row r="3384" spans="1:7" ht="15" customHeight="1">
      <c r="A3384" s="41">
        <v>46100</v>
      </c>
      <c r="B3384" t="s">
        <v>72</v>
      </c>
      <c r="E3384" t="s">
        <v>75</v>
      </c>
      <c r="F3384" t="s">
        <v>76</v>
      </c>
      <c r="G3384" t="s">
        <v>670</v>
      </c>
    </row>
    <row r="3385" spans="1:7" ht="15" customHeight="1">
      <c r="A3385" s="41">
        <v>46100</v>
      </c>
      <c r="B3385" t="s">
        <v>97</v>
      </c>
      <c r="D3385">
        <v>79301</v>
      </c>
      <c r="E3385" t="s">
        <v>101</v>
      </c>
      <c r="F3385" t="s">
        <v>102</v>
      </c>
      <c r="G3385" t="s">
        <v>670</v>
      </c>
    </row>
    <row r="3386" spans="1:7" ht="15" customHeight="1">
      <c r="A3386" s="41">
        <v>46100</v>
      </c>
      <c r="B3386" t="s">
        <v>106</v>
      </c>
      <c r="D3386">
        <v>123978</v>
      </c>
      <c r="E3386" t="s">
        <v>101</v>
      </c>
      <c r="F3386" t="s">
        <v>108</v>
      </c>
      <c r="G3386" t="s">
        <v>670</v>
      </c>
    </row>
    <row r="3387" spans="1:7" ht="15" customHeight="1">
      <c r="A3387" s="41">
        <v>46100</v>
      </c>
      <c r="B3387" t="s">
        <v>128</v>
      </c>
      <c r="D3387">
        <v>649418</v>
      </c>
      <c r="E3387" t="s">
        <v>101</v>
      </c>
      <c r="F3387" t="s">
        <v>71</v>
      </c>
      <c r="G3387" t="s">
        <v>670</v>
      </c>
    </row>
    <row r="3388" spans="1:7" ht="15" customHeight="1">
      <c r="A3388" s="41">
        <v>46100</v>
      </c>
      <c r="B3388" t="s">
        <v>306</v>
      </c>
      <c r="C3388">
        <v>21428</v>
      </c>
      <c r="E3388" t="s">
        <v>75</v>
      </c>
      <c r="F3388" t="s">
        <v>309</v>
      </c>
      <c r="G3388" t="s">
        <v>670</v>
      </c>
    </row>
    <row r="3389" spans="1:7" ht="15" customHeight="1">
      <c r="A3389" s="41">
        <v>46100</v>
      </c>
      <c r="B3389" t="s">
        <v>359</v>
      </c>
      <c r="C3389">
        <v>13660</v>
      </c>
      <c r="E3389" t="s">
        <v>30</v>
      </c>
      <c r="F3389" t="s">
        <v>615</v>
      </c>
      <c r="G3389" t="s">
        <v>670</v>
      </c>
    </row>
    <row r="3390" spans="1:7" ht="15" customHeight="1">
      <c r="A3390" s="41">
        <v>46100</v>
      </c>
      <c r="B3390" t="s">
        <v>458</v>
      </c>
      <c r="D3390">
        <v>97147</v>
      </c>
      <c r="E3390" t="s">
        <v>75</v>
      </c>
      <c r="F3390" t="s">
        <v>461</v>
      </c>
      <c r="G3390" t="s">
        <v>670</v>
      </c>
    </row>
    <row r="3391" spans="1:7" ht="15" customHeight="1">
      <c r="A3391" s="41">
        <v>46100</v>
      </c>
      <c r="B3391" t="s">
        <v>469</v>
      </c>
      <c r="D3391">
        <v>73803</v>
      </c>
      <c r="E3391" t="s">
        <v>101</v>
      </c>
      <c r="F3391" t="s">
        <v>470</v>
      </c>
      <c r="G3391" t="s">
        <v>670</v>
      </c>
    </row>
    <row r="3392" spans="1:7" ht="15" customHeight="1">
      <c r="A3392" s="41">
        <v>46100</v>
      </c>
      <c r="B3392" t="s">
        <v>518</v>
      </c>
      <c r="E3392" t="s">
        <v>30</v>
      </c>
      <c r="F3392" t="s">
        <v>676</v>
      </c>
      <c r="G3392" t="s">
        <v>670</v>
      </c>
    </row>
    <row r="3393" spans="1:7" ht="15" customHeight="1">
      <c r="A3393" s="41">
        <v>46100</v>
      </c>
      <c r="B3393" t="s">
        <v>518</v>
      </c>
      <c r="D3393">
        <v>79322</v>
      </c>
      <c r="E3393" t="s">
        <v>101</v>
      </c>
      <c r="F3393" t="s">
        <v>676</v>
      </c>
      <c r="G3393" t="s">
        <v>670</v>
      </c>
    </row>
    <row r="3394" spans="1:7" ht="15" customHeight="1">
      <c r="A3394" s="41">
        <v>46100</v>
      </c>
      <c r="B3394" t="s">
        <v>526</v>
      </c>
      <c r="D3394">
        <v>64752</v>
      </c>
      <c r="E3394" t="s">
        <v>84</v>
      </c>
      <c r="F3394" t="s">
        <v>527</v>
      </c>
      <c r="G3394" t="s">
        <v>670</v>
      </c>
    </row>
    <row r="3395" spans="1:7" ht="15" customHeight="1">
      <c r="A3395" s="41">
        <v>46100</v>
      </c>
      <c r="B3395" t="s">
        <v>535</v>
      </c>
      <c r="D3395">
        <v>78686</v>
      </c>
      <c r="E3395" t="s">
        <v>101</v>
      </c>
      <c r="F3395" t="s">
        <v>536</v>
      </c>
      <c r="G3395" t="s">
        <v>670</v>
      </c>
    </row>
    <row r="3396" spans="1:7" ht="15" customHeight="1">
      <c r="A3396" s="41">
        <v>46100</v>
      </c>
      <c r="B3396" t="s">
        <v>614</v>
      </c>
      <c r="D3396">
        <v>151473</v>
      </c>
      <c r="E3396" t="s">
        <v>30</v>
      </c>
      <c r="F3396" t="s">
        <v>615</v>
      </c>
      <c r="G3396" t="s">
        <v>670</v>
      </c>
    </row>
    <row r="3397" spans="1:7" ht="15" customHeight="1">
      <c r="A3397" s="41">
        <v>46100</v>
      </c>
      <c r="B3397" t="s">
        <v>634</v>
      </c>
      <c r="E3397" t="s">
        <v>101</v>
      </c>
      <c r="F3397" t="s">
        <v>687</v>
      </c>
      <c r="G3397" t="s">
        <v>670</v>
      </c>
    </row>
    <row r="3398" spans="1:7" ht="15" customHeight="1">
      <c r="A3398" s="41">
        <v>46100</v>
      </c>
      <c r="B3398" t="s">
        <v>634</v>
      </c>
      <c r="D3398">
        <v>110684</v>
      </c>
      <c r="E3398" t="s">
        <v>75</v>
      </c>
      <c r="F3398" t="s">
        <v>635</v>
      </c>
      <c r="G3398" t="s">
        <v>670</v>
      </c>
    </row>
    <row r="3399" spans="1:7" ht="15" customHeight="1">
      <c r="A3399" s="41">
        <v>46101</v>
      </c>
      <c r="B3399" t="s">
        <v>190</v>
      </c>
      <c r="C3399">
        <v>2023</v>
      </c>
      <c r="D3399">
        <v>342012</v>
      </c>
    </row>
    <row r="3400" spans="1:7" ht="15" customHeight="1">
      <c r="A3400" s="41">
        <v>46101</v>
      </c>
      <c r="B3400" t="s">
        <v>548</v>
      </c>
      <c r="D3400">
        <v>23789</v>
      </c>
    </row>
    <row r="3401" spans="1:7" ht="15" customHeight="1">
      <c r="A3401" s="41">
        <v>46101</v>
      </c>
      <c r="B3401" t="s">
        <v>552</v>
      </c>
      <c r="D3401">
        <v>22653</v>
      </c>
    </row>
    <row r="3402" spans="1:7" ht="15" customHeight="1">
      <c r="A3402" s="41">
        <v>46101</v>
      </c>
      <c r="B3402" t="s">
        <v>379</v>
      </c>
      <c r="C3402">
        <v>3545</v>
      </c>
      <c r="E3402" t="s">
        <v>94</v>
      </c>
    </row>
    <row r="3403" spans="1:7" ht="15" customHeight="1">
      <c r="A3403" s="41">
        <v>46101</v>
      </c>
      <c r="B3403" t="s">
        <v>339</v>
      </c>
      <c r="E3403" t="s">
        <v>94</v>
      </c>
    </row>
    <row r="3404" spans="1:7" ht="15" customHeight="1">
      <c r="A3404" s="41">
        <v>46101</v>
      </c>
      <c r="B3404" t="s">
        <v>93</v>
      </c>
      <c r="C3404">
        <v>3720</v>
      </c>
      <c r="E3404" t="s">
        <v>94</v>
      </c>
    </row>
    <row r="3405" spans="1:7" ht="15" customHeight="1">
      <c r="A3405" s="41">
        <v>46101</v>
      </c>
      <c r="B3405" t="s">
        <v>202</v>
      </c>
      <c r="C3405">
        <v>604</v>
      </c>
      <c r="E3405" t="s">
        <v>94</v>
      </c>
    </row>
    <row r="3406" spans="1:7" ht="15" customHeight="1">
      <c r="A3406" s="41">
        <v>46101</v>
      </c>
      <c r="B3406" t="s">
        <v>526</v>
      </c>
      <c r="D3406">
        <v>64890</v>
      </c>
      <c r="E3406" t="s">
        <v>94</v>
      </c>
    </row>
    <row r="3407" spans="1:7" ht="15" customHeight="1">
      <c r="A3407" s="41">
        <v>46101</v>
      </c>
      <c r="B3407" t="s">
        <v>451</v>
      </c>
      <c r="C3407">
        <v>1947</v>
      </c>
      <c r="E3407" t="s">
        <v>94</v>
      </c>
    </row>
    <row r="3408" spans="1:7" ht="15" customHeight="1">
      <c r="A3408" s="41">
        <v>46101</v>
      </c>
      <c r="B3408" t="s">
        <v>353</v>
      </c>
      <c r="E3408" t="s">
        <v>94</v>
      </c>
    </row>
    <row r="3409" spans="1:7" ht="15" customHeight="1">
      <c r="A3409" s="41">
        <v>46101</v>
      </c>
      <c r="B3409" t="s">
        <v>424</v>
      </c>
      <c r="C3409">
        <v>567</v>
      </c>
      <c r="E3409" t="s">
        <v>94</v>
      </c>
    </row>
    <row r="3410" spans="1:7" ht="15" customHeight="1">
      <c r="A3410" s="41">
        <v>46101</v>
      </c>
      <c r="B3410" t="s">
        <v>447</v>
      </c>
      <c r="C3410">
        <v>1742</v>
      </c>
      <c r="E3410" t="s">
        <v>300</v>
      </c>
    </row>
    <row r="3411" spans="1:7" ht="15" customHeight="1">
      <c r="A3411" s="41">
        <v>46101</v>
      </c>
      <c r="B3411" t="s">
        <v>299</v>
      </c>
      <c r="C3411">
        <v>8701</v>
      </c>
      <c r="E3411" t="s">
        <v>300</v>
      </c>
    </row>
    <row r="3412" spans="1:7" ht="15" customHeight="1">
      <c r="A3412" s="41">
        <v>46101</v>
      </c>
      <c r="B3412" t="s">
        <v>496</v>
      </c>
      <c r="D3412">
        <v>116537</v>
      </c>
      <c r="E3412" t="s">
        <v>300</v>
      </c>
    </row>
    <row r="3413" spans="1:7" ht="15" customHeight="1">
      <c r="A3413" s="41">
        <v>46101</v>
      </c>
      <c r="B3413" t="s">
        <v>620</v>
      </c>
      <c r="D3413">
        <v>129410</v>
      </c>
      <c r="E3413" t="s">
        <v>300</v>
      </c>
    </row>
    <row r="3414" spans="1:7" ht="15" customHeight="1">
      <c r="A3414" s="41">
        <v>46101</v>
      </c>
      <c r="B3414" t="s">
        <v>630</v>
      </c>
      <c r="D3414">
        <v>146056</v>
      </c>
      <c r="E3414" t="s">
        <v>300</v>
      </c>
    </row>
    <row r="3415" spans="1:7" ht="15" customHeight="1">
      <c r="A3415" s="41">
        <v>46101</v>
      </c>
      <c r="B3415" t="s">
        <v>514</v>
      </c>
      <c r="D3415">
        <v>65192</v>
      </c>
      <c r="E3415" t="s">
        <v>300</v>
      </c>
    </row>
    <row r="3416" spans="1:7" ht="15" customHeight="1">
      <c r="A3416" s="41">
        <v>46101</v>
      </c>
      <c r="B3416" t="s">
        <v>517</v>
      </c>
      <c r="D3416">
        <v>42979</v>
      </c>
      <c r="E3416" t="s">
        <v>300</v>
      </c>
    </row>
    <row r="3417" spans="1:7" ht="15" customHeight="1">
      <c r="A3417" s="41">
        <v>46101</v>
      </c>
      <c r="B3417" t="s">
        <v>628</v>
      </c>
      <c r="D3417">
        <v>92994</v>
      </c>
      <c r="E3417" t="s">
        <v>33</v>
      </c>
      <c r="F3417" t="s">
        <v>629</v>
      </c>
      <c r="G3417" t="s">
        <v>669</v>
      </c>
    </row>
    <row r="3418" spans="1:7" ht="15" customHeight="1">
      <c r="A3418" s="41">
        <v>46101</v>
      </c>
      <c r="B3418" t="s">
        <v>81</v>
      </c>
      <c r="D3418">
        <v>195800</v>
      </c>
      <c r="E3418" t="s">
        <v>84</v>
      </c>
      <c r="F3418" t="s">
        <v>85</v>
      </c>
      <c r="G3418" t="s">
        <v>670</v>
      </c>
    </row>
    <row r="3419" spans="1:7" ht="15" customHeight="1">
      <c r="A3419" s="41">
        <v>46101</v>
      </c>
      <c r="B3419" t="s">
        <v>301</v>
      </c>
      <c r="C3419">
        <v>14582</v>
      </c>
      <c r="E3419" t="s">
        <v>84</v>
      </c>
      <c r="F3419" t="s">
        <v>304</v>
      </c>
      <c r="G3419" t="s">
        <v>670</v>
      </c>
    </row>
    <row r="3420" spans="1:7" ht="15" customHeight="1">
      <c r="A3420" s="41">
        <v>46101</v>
      </c>
      <c r="B3420" t="s">
        <v>387</v>
      </c>
      <c r="C3420">
        <v>17312</v>
      </c>
      <c r="E3420" t="s">
        <v>30</v>
      </c>
      <c r="F3420" t="s">
        <v>389</v>
      </c>
      <c r="G3420" t="s">
        <v>670</v>
      </c>
    </row>
    <row r="3421" spans="1:7" ht="15" customHeight="1">
      <c r="A3421" s="41">
        <v>46101</v>
      </c>
      <c r="B3421" t="s">
        <v>510</v>
      </c>
      <c r="D3421">
        <v>45856</v>
      </c>
      <c r="E3421" t="s">
        <v>276</v>
      </c>
      <c r="F3421" t="s">
        <v>511</v>
      </c>
      <c r="G3421" t="s">
        <v>670</v>
      </c>
    </row>
    <row r="3422" spans="1:7" ht="15" customHeight="1">
      <c r="A3422" s="41">
        <v>46101</v>
      </c>
      <c r="B3422" t="s">
        <v>512</v>
      </c>
      <c r="D3422">
        <v>54202</v>
      </c>
      <c r="E3422" t="s">
        <v>30</v>
      </c>
      <c r="F3422" t="s">
        <v>513</v>
      </c>
      <c r="G3422" t="s">
        <v>670</v>
      </c>
    </row>
    <row r="3423" spans="1:7" ht="15" customHeight="1">
      <c r="A3423" s="41">
        <v>46101</v>
      </c>
      <c r="B3423" t="s">
        <v>515</v>
      </c>
      <c r="D3423">
        <v>74019</v>
      </c>
      <c r="E3423" t="s">
        <v>84</v>
      </c>
      <c r="F3423" t="s">
        <v>516</v>
      </c>
      <c r="G3423" t="s">
        <v>670</v>
      </c>
    </row>
    <row r="3424" spans="1:7" ht="15" customHeight="1">
      <c r="A3424" s="41">
        <v>46101</v>
      </c>
      <c r="B3424" t="s">
        <v>523</v>
      </c>
      <c r="D3424">
        <v>64447</v>
      </c>
      <c r="E3424" t="s">
        <v>276</v>
      </c>
      <c r="F3424" t="s">
        <v>525</v>
      </c>
      <c r="G3424" t="s">
        <v>670</v>
      </c>
    </row>
    <row r="3425" spans="1:7" ht="15" customHeight="1">
      <c r="A3425" s="41">
        <v>46101</v>
      </c>
      <c r="B3425" t="s">
        <v>528</v>
      </c>
      <c r="D3425">
        <v>68607</v>
      </c>
      <c r="E3425" t="s">
        <v>84</v>
      </c>
      <c r="F3425" t="s">
        <v>529</v>
      </c>
      <c r="G3425" t="s">
        <v>670</v>
      </c>
    </row>
    <row r="3426" spans="1:7" ht="15" customHeight="1">
      <c r="A3426" s="41">
        <v>46101</v>
      </c>
      <c r="B3426" t="s">
        <v>535</v>
      </c>
      <c r="D3426">
        <v>79164</v>
      </c>
      <c r="E3426" t="s">
        <v>30</v>
      </c>
      <c r="F3426" t="s">
        <v>536</v>
      </c>
      <c r="G3426" t="s">
        <v>670</v>
      </c>
    </row>
    <row r="3427" spans="1:7" ht="15" customHeight="1">
      <c r="A3427" s="41">
        <v>46101</v>
      </c>
      <c r="B3427" t="s">
        <v>549</v>
      </c>
      <c r="D3427">
        <v>17406</v>
      </c>
      <c r="E3427" t="s">
        <v>33</v>
      </c>
      <c r="F3427" t="s">
        <v>550</v>
      </c>
      <c r="G3427" t="s">
        <v>670</v>
      </c>
    </row>
    <row r="3428" spans="1:7" ht="15" customHeight="1">
      <c r="A3428" s="41">
        <v>46101</v>
      </c>
      <c r="B3428" t="s">
        <v>552</v>
      </c>
      <c r="D3428">
        <v>18481</v>
      </c>
      <c r="E3428" t="s">
        <v>84</v>
      </c>
      <c r="F3428" t="s">
        <v>684</v>
      </c>
      <c r="G3428" t="s">
        <v>670</v>
      </c>
    </row>
    <row r="3429" spans="1:7" ht="15" customHeight="1">
      <c r="A3429" s="41">
        <v>46101</v>
      </c>
      <c r="B3429" t="s">
        <v>596</v>
      </c>
      <c r="D3429">
        <v>147162</v>
      </c>
      <c r="E3429" t="s">
        <v>30</v>
      </c>
      <c r="F3429" t="s">
        <v>597</v>
      </c>
      <c r="G3429" t="s">
        <v>670</v>
      </c>
    </row>
    <row r="3430" spans="1:7" ht="15" customHeight="1">
      <c r="A3430" s="41">
        <v>46101</v>
      </c>
      <c r="B3430" t="s">
        <v>611</v>
      </c>
      <c r="D3430">
        <v>263250</v>
      </c>
      <c r="E3430" t="s">
        <v>84</v>
      </c>
      <c r="F3430" t="s">
        <v>612</v>
      </c>
      <c r="G3430" t="s">
        <v>670</v>
      </c>
    </row>
    <row r="3431" spans="1:7" ht="15" customHeight="1">
      <c r="A3431" s="41">
        <v>46101</v>
      </c>
      <c r="B3431" t="s">
        <v>622</v>
      </c>
      <c r="D3431">
        <v>112106</v>
      </c>
      <c r="E3431" t="s">
        <v>30</v>
      </c>
      <c r="F3431" t="s">
        <v>623</v>
      </c>
      <c r="G3431" t="s">
        <v>670</v>
      </c>
    </row>
    <row r="3432" spans="1:7" ht="15" customHeight="1">
      <c r="A3432" s="41">
        <v>46104</v>
      </c>
      <c r="B3432" t="s">
        <v>306</v>
      </c>
      <c r="C3432">
        <v>21430</v>
      </c>
      <c r="E3432" t="s">
        <v>667</v>
      </c>
    </row>
    <row r="3433" spans="1:7" ht="15" customHeight="1">
      <c r="A3433" s="41">
        <v>46104</v>
      </c>
      <c r="B3433" t="s">
        <v>458</v>
      </c>
      <c r="D3433">
        <v>97507</v>
      </c>
      <c r="E3433" t="s">
        <v>75</v>
      </c>
      <c r="F3433" t="s">
        <v>461</v>
      </c>
      <c r="G3433" t="s">
        <v>670</v>
      </c>
    </row>
    <row r="3434" spans="1:7" ht="15" customHeight="1">
      <c r="A3434" s="41">
        <v>46104</v>
      </c>
      <c r="B3434" t="s">
        <v>523</v>
      </c>
      <c r="D3434">
        <v>64892</v>
      </c>
      <c r="E3434" t="s">
        <v>276</v>
      </c>
      <c r="F3434" t="s">
        <v>525</v>
      </c>
      <c r="G3434" t="s">
        <v>670</v>
      </c>
    </row>
    <row r="3435" spans="1:7" ht="15" customHeight="1">
      <c r="A3435" s="41">
        <v>46104</v>
      </c>
      <c r="B3435" t="s">
        <v>535</v>
      </c>
      <c r="D3435">
        <v>79795</v>
      </c>
      <c r="E3435" t="s">
        <v>30</v>
      </c>
      <c r="F3435" t="s">
        <v>536</v>
      </c>
      <c r="G3435" t="s">
        <v>670</v>
      </c>
    </row>
    <row r="3436" spans="1:7" ht="15" customHeight="1">
      <c r="A3436" s="41">
        <v>46104</v>
      </c>
      <c r="B3436" t="s">
        <v>542</v>
      </c>
      <c r="E3436" t="s">
        <v>33</v>
      </c>
      <c r="F3436" t="s">
        <v>543</v>
      </c>
      <c r="G3436" t="s">
        <v>670</v>
      </c>
    </row>
    <row r="3437" spans="1:7" ht="15" customHeight="1">
      <c r="A3437" s="41">
        <v>46104</v>
      </c>
      <c r="B3437" t="s">
        <v>614</v>
      </c>
      <c r="D3437">
        <v>151806</v>
      </c>
      <c r="E3437" t="s">
        <v>75</v>
      </c>
      <c r="F3437" t="s">
        <v>615</v>
      </c>
      <c r="G3437" t="s">
        <v>670</v>
      </c>
    </row>
    <row r="3438" spans="1:7" ht="15" customHeight="1">
      <c r="A3438" s="41">
        <v>46104</v>
      </c>
      <c r="B3438" t="s">
        <v>634</v>
      </c>
      <c r="D3438">
        <v>111189</v>
      </c>
      <c r="E3438" t="s">
        <v>75</v>
      </c>
      <c r="F3438" t="s">
        <v>635</v>
      </c>
      <c r="G3438" t="s">
        <v>670</v>
      </c>
    </row>
    <row r="3439" spans="1:7" ht="15" customHeight="1">
      <c r="A3439" s="41">
        <v>46105</v>
      </c>
      <c r="B3439" t="s">
        <v>530</v>
      </c>
      <c r="D3439">
        <v>86820</v>
      </c>
      <c r="E3439" t="s">
        <v>531</v>
      </c>
      <c r="F3439" t="s">
        <v>532</v>
      </c>
    </row>
    <row r="3440" spans="1:7" ht="15" customHeight="1">
      <c r="A3440" s="41">
        <v>46105</v>
      </c>
      <c r="B3440" t="s">
        <v>35</v>
      </c>
      <c r="C3440">
        <v>8345</v>
      </c>
      <c r="E3440" t="s">
        <v>36</v>
      </c>
    </row>
    <row r="3441" spans="1:7" ht="15" customHeight="1">
      <c r="A3441" s="41">
        <v>46105</v>
      </c>
      <c r="B3441" t="s">
        <v>465</v>
      </c>
      <c r="D3441">
        <v>108622</v>
      </c>
      <c r="E3441" t="s">
        <v>36</v>
      </c>
    </row>
    <row r="3442" spans="1:7" ht="15" customHeight="1">
      <c r="A3442" s="41">
        <v>46105</v>
      </c>
      <c r="B3442" t="s">
        <v>632</v>
      </c>
      <c r="D3442">
        <v>129880</v>
      </c>
      <c r="E3442" t="s">
        <v>36</v>
      </c>
    </row>
    <row r="3443" spans="1:7" ht="15" customHeight="1">
      <c r="A3443" s="41">
        <v>46105</v>
      </c>
      <c r="B3443" t="s">
        <v>518</v>
      </c>
      <c r="E3443" t="s">
        <v>30</v>
      </c>
      <c r="F3443" t="s">
        <v>519</v>
      </c>
      <c r="G3443" t="s">
        <v>670</v>
      </c>
    </row>
    <row r="3444" spans="1:7" ht="15" customHeight="1">
      <c r="A3444" s="41">
        <v>46106</v>
      </c>
      <c r="B3444" t="s">
        <v>175</v>
      </c>
      <c r="E3444" t="s">
        <v>30</v>
      </c>
      <c r="F3444" t="s">
        <v>176</v>
      </c>
      <c r="G3444" t="s">
        <v>670</v>
      </c>
    </row>
    <row r="3445" spans="1:7" ht="15" customHeight="1">
      <c r="A3445" s="41">
        <v>46106</v>
      </c>
      <c r="B3445" t="s">
        <v>306</v>
      </c>
      <c r="C3445">
        <v>21437</v>
      </c>
      <c r="E3445" t="s">
        <v>75</v>
      </c>
      <c r="F3445" t="s">
        <v>309</v>
      </c>
      <c r="G3445" t="s">
        <v>670</v>
      </c>
    </row>
    <row r="3446" spans="1:7" ht="15" customHeight="1">
      <c r="A3446" s="41">
        <v>46106</v>
      </c>
      <c r="B3446" t="s">
        <v>365</v>
      </c>
      <c r="C3446">
        <v>4856</v>
      </c>
      <c r="E3446" t="s">
        <v>30</v>
      </c>
      <c r="F3446" t="s">
        <v>369</v>
      </c>
      <c r="G3446" t="s">
        <v>670</v>
      </c>
    </row>
    <row r="3447" spans="1:7" ht="15" customHeight="1">
      <c r="A3447" s="41">
        <v>46106</v>
      </c>
      <c r="B3447" t="s">
        <v>393</v>
      </c>
      <c r="C3447">
        <v>65</v>
      </c>
      <c r="E3447" t="s">
        <v>30</v>
      </c>
      <c r="F3447" t="s">
        <v>395</v>
      </c>
      <c r="G3447" t="s">
        <v>670</v>
      </c>
    </row>
    <row r="3448" spans="1:7" ht="15" customHeight="1">
      <c r="A3448" s="41">
        <v>46106</v>
      </c>
      <c r="B3448" t="s">
        <v>430</v>
      </c>
      <c r="C3448">
        <v>6529</v>
      </c>
      <c r="E3448" t="s">
        <v>30</v>
      </c>
      <c r="F3448" t="s">
        <v>360</v>
      </c>
      <c r="G3448" t="s">
        <v>670</v>
      </c>
    </row>
    <row r="3449" spans="1:7" ht="15" customHeight="1">
      <c r="A3449" s="41">
        <v>46106</v>
      </c>
      <c r="B3449" t="s">
        <v>512</v>
      </c>
      <c r="D3449">
        <v>54831</v>
      </c>
      <c r="E3449" t="s">
        <v>30</v>
      </c>
      <c r="F3449" t="s">
        <v>513</v>
      </c>
      <c r="G3449" t="s">
        <v>670</v>
      </c>
    </row>
    <row r="3450" spans="1:7" ht="15" customHeight="1">
      <c r="A3450" s="41">
        <v>46106</v>
      </c>
      <c r="B3450" t="s">
        <v>634</v>
      </c>
      <c r="D3450">
        <v>111602</v>
      </c>
      <c r="E3450" t="s">
        <v>75</v>
      </c>
      <c r="F3450" t="s">
        <v>635</v>
      </c>
      <c r="G3450" t="s">
        <v>670</v>
      </c>
    </row>
    <row r="3451" spans="1:7" ht="15" customHeight="1">
      <c r="A3451" s="41">
        <v>46107</v>
      </c>
      <c r="B3451" t="s">
        <v>501</v>
      </c>
      <c r="D3451">
        <v>99837</v>
      </c>
      <c r="E3451" t="s">
        <v>36</v>
      </c>
      <c r="F3451" t="s">
        <v>505</v>
      </c>
    </row>
    <row r="3452" spans="1:7" ht="15" customHeight="1">
      <c r="A3452" s="41">
        <v>46107</v>
      </c>
      <c r="B3452" t="s">
        <v>169</v>
      </c>
      <c r="D3452">
        <v>199097</v>
      </c>
      <c r="E3452" t="s">
        <v>30</v>
      </c>
      <c r="F3452" t="s">
        <v>170</v>
      </c>
      <c r="G3452" t="s">
        <v>670</v>
      </c>
    </row>
    <row r="3453" spans="1:7" ht="15" customHeight="1">
      <c r="A3453" s="41">
        <v>46107</v>
      </c>
      <c r="B3453" t="s">
        <v>190</v>
      </c>
      <c r="D3453">
        <v>342347</v>
      </c>
      <c r="E3453" t="s">
        <v>30</v>
      </c>
      <c r="F3453" t="s">
        <v>192</v>
      </c>
      <c r="G3453" t="s">
        <v>670</v>
      </c>
    </row>
    <row r="3454" spans="1:7" ht="15" customHeight="1">
      <c r="A3454" s="41">
        <v>46107</v>
      </c>
      <c r="B3454" t="s">
        <v>359</v>
      </c>
      <c r="E3454" t="s">
        <v>30</v>
      </c>
      <c r="F3454" t="s">
        <v>360</v>
      </c>
      <c r="G3454" t="s">
        <v>670</v>
      </c>
    </row>
    <row r="3455" spans="1:7" ht="15" customHeight="1">
      <c r="A3455" s="41">
        <v>46107</v>
      </c>
      <c r="B3455" t="s">
        <v>365</v>
      </c>
      <c r="C3455">
        <v>4861</v>
      </c>
      <c r="E3455" t="s">
        <v>30</v>
      </c>
      <c r="F3455" t="s">
        <v>369</v>
      </c>
      <c r="G3455" t="s">
        <v>670</v>
      </c>
    </row>
    <row r="3456" spans="1:7" ht="15" customHeight="1">
      <c r="A3456" s="41">
        <v>46107</v>
      </c>
      <c r="B3456" t="s">
        <v>393</v>
      </c>
      <c r="E3456" t="s">
        <v>30</v>
      </c>
      <c r="F3456" t="s">
        <v>395</v>
      </c>
      <c r="G3456" t="s">
        <v>670</v>
      </c>
    </row>
    <row r="3457" spans="1:7" ht="15" customHeight="1">
      <c r="A3457" s="41">
        <v>46107</v>
      </c>
      <c r="B3457" t="s">
        <v>512</v>
      </c>
      <c r="D3457">
        <v>55081</v>
      </c>
      <c r="E3457" t="s">
        <v>30</v>
      </c>
      <c r="F3457" t="s">
        <v>513</v>
      </c>
      <c r="G3457" t="s">
        <v>670</v>
      </c>
    </row>
    <row r="3458" spans="1:7" ht="15" customHeight="1">
      <c r="A3458" s="41">
        <v>46107</v>
      </c>
      <c r="B3458" t="s">
        <v>518</v>
      </c>
      <c r="E3458" t="s">
        <v>30</v>
      </c>
      <c r="F3458" t="s">
        <v>519</v>
      </c>
      <c r="G3458" t="s">
        <v>670</v>
      </c>
    </row>
    <row r="3459" spans="1:7" ht="15" customHeight="1">
      <c r="A3459" s="41">
        <v>46107</v>
      </c>
      <c r="B3459" t="s">
        <v>552</v>
      </c>
      <c r="D3459">
        <v>23813</v>
      </c>
      <c r="E3459" t="s">
        <v>30</v>
      </c>
      <c r="F3459" t="s">
        <v>553</v>
      </c>
      <c r="G3459" t="s">
        <v>670</v>
      </c>
    </row>
    <row r="3460" spans="1:7" ht="15" customHeight="1">
      <c r="A3460" s="41">
        <v>46108</v>
      </c>
      <c r="B3460" t="s">
        <v>29</v>
      </c>
      <c r="E3460" t="s">
        <v>30</v>
      </c>
      <c r="F3460" t="s">
        <v>31</v>
      </c>
      <c r="G3460" t="s">
        <v>670</v>
      </c>
    </row>
    <row r="3461" spans="1:7" ht="15" customHeight="1">
      <c r="A3461" s="41">
        <v>46108</v>
      </c>
      <c r="B3461" t="s">
        <v>458</v>
      </c>
      <c r="D3461">
        <v>97630</v>
      </c>
      <c r="E3461" t="s">
        <v>75</v>
      </c>
      <c r="F3461" t="s">
        <v>461</v>
      </c>
      <c r="G3461" t="s">
        <v>670</v>
      </c>
    </row>
    <row r="3462" spans="1:7" ht="15" customHeight="1">
      <c r="A3462" s="41">
        <v>46108</v>
      </c>
      <c r="B3462" t="s">
        <v>533</v>
      </c>
      <c r="D3462">
        <v>77393</v>
      </c>
      <c r="E3462" t="s">
        <v>75</v>
      </c>
      <c r="F3462" t="s">
        <v>534</v>
      </c>
      <c r="G3462" t="s">
        <v>670</v>
      </c>
    </row>
    <row r="3463" spans="1:7" ht="15" customHeight="1">
      <c r="A3463" s="41">
        <v>46108</v>
      </c>
      <c r="B3463" t="s">
        <v>634</v>
      </c>
      <c r="D3463">
        <v>112051</v>
      </c>
      <c r="E3463" t="s">
        <v>75</v>
      </c>
      <c r="F3463" t="s">
        <v>635</v>
      </c>
      <c r="G3463" t="s">
        <v>670</v>
      </c>
    </row>
    <row r="3464" spans="1:7" ht="15" customHeight="1">
      <c r="A3464" s="41">
        <v>46111</v>
      </c>
      <c r="B3464" t="s">
        <v>620</v>
      </c>
      <c r="D3464">
        <v>131346</v>
      </c>
    </row>
    <row r="3465" spans="1:7" ht="15" customHeight="1">
      <c r="A3465" s="67">
        <v>46098</v>
      </c>
      <c r="B3465" s="60" t="s">
        <v>19</v>
      </c>
      <c r="C3465" s="61">
        <v>10352</v>
      </c>
      <c r="D3465" s="64">
        <v>262095</v>
      </c>
      <c r="E3465" s="60" t="s">
        <v>300</v>
      </c>
    </row>
    <row r="3466" spans="1:7" ht="15" customHeight="1">
      <c r="A3466" s="67">
        <v>46099</v>
      </c>
      <c r="B3466" s="60" t="s">
        <v>19</v>
      </c>
      <c r="C3466" s="61">
        <v>10361</v>
      </c>
      <c r="D3466" s="64">
        <v>262326</v>
      </c>
      <c r="E3466" s="60" t="s">
        <v>300</v>
      </c>
    </row>
    <row r="3467" spans="1:7" ht="15" customHeight="1">
      <c r="A3467" s="67">
        <v>46101</v>
      </c>
      <c r="B3467" s="60" t="s">
        <v>19</v>
      </c>
      <c r="C3467" s="61">
        <v>10368</v>
      </c>
      <c r="D3467" s="64">
        <v>262575</v>
      </c>
      <c r="E3467" s="60" t="s">
        <v>300</v>
      </c>
    </row>
    <row r="3468" spans="1:7" ht="15" customHeight="1">
      <c r="A3468" s="67">
        <v>46115</v>
      </c>
      <c r="B3468" s="60" t="s">
        <v>19</v>
      </c>
      <c r="C3468" s="61">
        <v>10378</v>
      </c>
      <c r="D3468" s="64">
        <v>260271</v>
      </c>
      <c r="E3468" s="60" t="s">
        <v>300</v>
      </c>
    </row>
    <row r="3469" spans="1:7" ht="15" customHeight="1">
      <c r="A3469" s="67">
        <v>46113</v>
      </c>
      <c r="B3469" s="60" t="s">
        <v>29</v>
      </c>
      <c r="C3469" s="61"/>
      <c r="D3469" s="64">
        <v>260933</v>
      </c>
      <c r="E3469" s="60" t="s">
        <v>30</v>
      </c>
    </row>
    <row r="3470" spans="1:7" ht="15" customHeight="1">
      <c r="A3470" s="67">
        <v>46114</v>
      </c>
      <c r="B3470" s="60" t="s">
        <v>29</v>
      </c>
      <c r="C3470" s="61"/>
      <c r="D3470" s="64">
        <v>261250</v>
      </c>
      <c r="E3470" s="60" t="s">
        <v>30</v>
      </c>
    </row>
    <row r="3471" spans="1:7" ht="15" customHeight="1">
      <c r="A3471" s="67">
        <v>46098</v>
      </c>
      <c r="B3471" s="60" t="s">
        <v>32</v>
      </c>
      <c r="C3471" s="61">
        <v>10547</v>
      </c>
      <c r="D3471" s="64">
        <v>254815</v>
      </c>
      <c r="E3471" s="60" t="s">
        <v>33</v>
      </c>
    </row>
    <row r="3472" spans="1:7" ht="15" customHeight="1">
      <c r="A3472" s="67">
        <v>46099</v>
      </c>
      <c r="B3472" s="60" t="s">
        <v>32</v>
      </c>
      <c r="C3472" s="61">
        <v>10558</v>
      </c>
      <c r="D3472" s="64">
        <v>255137</v>
      </c>
      <c r="E3472" s="60" t="s">
        <v>33</v>
      </c>
    </row>
    <row r="3473" spans="1:5" ht="15" customHeight="1">
      <c r="A3473" s="67">
        <v>46100</v>
      </c>
      <c r="B3473" s="60" t="s">
        <v>32</v>
      </c>
      <c r="C3473" s="61">
        <v>10566</v>
      </c>
      <c r="D3473" s="64">
        <v>255373</v>
      </c>
      <c r="E3473" s="60" t="s">
        <v>33</v>
      </c>
    </row>
    <row r="3474" spans="1:5" ht="15" customHeight="1">
      <c r="A3474" s="67">
        <v>46101</v>
      </c>
      <c r="B3474" s="60" t="s">
        <v>32</v>
      </c>
      <c r="C3474" s="61">
        <v>10572</v>
      </c>
      <c r="D3474" s="64">
        <v>255646</v>
      </c>
      <c r="E3474" s="60" t="s">
        <v>33</v>
      </c>
    </row>
    <row r="3475" spans="1:5" ht="15" customHeight="1">
      <c r="A3475" s="67">
        <v>46104</v>
      </c>
      <c r="B3475" s="60" t="s">
        <v>32</v>
      </c>
      <c r="C3475" s="61">
        <v>10579</v>
      </c>
      <c r="D3475" s="64">
        <v>255790</v>
      </c>
      <c r="E3475" s="60" t="s">
        <v>33</v>
      </c>
    </row>
    <row r="3476" spans="1:5" ht="15" customHeight="1">
      <c r="A3476" s="67">
        <v>46105</v>
      </c>
      <c r="B3476" s="60" t="s">
        <v>32</v>
      </c>
      <c r="C3476" s="61">
        <v>10590</v>
      </c>
      <c r="D3476" s="64">
        <v>256246</v>
      </c>
      <c r="E3476" s="60" t="s">
        <v>33</v>
      </c>
    </row>
    <row r="3477" spans="1:5" ht="15" customHeight="1">
      <c r="A3477" s="67">
        <v>46105</v>
      </c>
      <c r="B3477" s="60" t="s">
        <v>32</v>
      </c>
      <c r="C3477" s="61">
        <v>10599</v>
      </c>
      <c r="D3477" s="64">
        <v>256409</v>
      </c>
      <c r="E3477" s="60" t="s">
        <v>33</v>
      </c>
    </row>
    <row r="3478" spans="1:5" ht="15" customHeight="1">
      <c r="A3478" s="67">
        <v>46107</v>
      </c>
      <c r="B3478" s="60" t="s">
        <v>32</v>
      </c>
      <c r="C3478" s="61">
        <v>10611</v>
      </c>
      <c r="D3478" s="64">
        <v>256570</v>
      </c>
      <c r="E3478" s="60" t="s">
        <v>33</v>
      </c>
    </row>
    <row r="3479" spans="1:5" ht="15" customHeight="1">
      <c r="A3479" s="67">
        <v>46107</v>
      </c>
      <c r="B3479" s="60" t="s">
        <v>32</v>
      </c>
      <c r="C3479" s="61">
        <v>10623</v>
      </c>
      <c r="D3479" s="64">
        <v>257067</v>
      </c>
      <c r="E3479" s="60" t="s">
        <v>33</v>
      </c>
    </row>
    <row r="3480" spans="1:5" ht="15" customHeight="1">
      <c r="A3480" s="67">
        <v>46107</v>
      </c>
      <c r="B3480" s="60" t="s">
        <v>41</v>
      </c>
      <c r="C3480" s="61"/>
      <c r="D3480" s="64">
        <v>48763</v>
      </c>
      <c r="E3480" s="60" t="s">
        <v>33</v>
      </c>
    </row>
    <row r="3481" spans="1:5" ht="15" customHeight="1">
      <c r="A3481" s="67">
        <v>46098</v>
      </c>
      <c r="B3481" s="60" t="s">
        <v>44</v>
      </c>
      <c r="C3481" s="61"/>
      <c r="D3481" s="64">
        <v>190022</v>
      </c>
      <c r="E3481" s="60" t="s">
        <v>33</v>
      </c>
    </row>
    <row r="3482" spans="1:5" ht="15" customHeight="1">
      <c r="A3482" s="67">
        <v>46101</v>
      </c>
      <c r="B3482" s="60" t="s">
        <v>44</v>
      </c>
      <c r="C3482" s="61"/>
      <c r="D3482" s="64">
        <v>190215</v>
      </c>
      <c r="E3482" s="60" t="s">
        <v>33</v>
      </c>
    </row>
    <row r="3483" spans="1:5" ht="15" customHeight="1">
      <c r="A3483" s="67">
        <v>46106</v>
      </c>
      <c r="B3483" s="60" t="s">
        <v>44</v>
      </c>
      <c r="C3483" s="61"/>
      <c r="D3483" s="64">
        <v>190409</v>
      </c>
      <c r="E3483" s="60" t="s">
        <v>33</v>
      </c>
    </row>
    <row r="3484" spans="1:5" ht="15" customHeight="1">
      <c r="A3484" s="67">
        <v>46098</v>
      </c>
      <c r="B3484" s="60" t="s">
        <v>50</v>
      </c>
      <c r="C3484" s="61"/>
      <c r="D3484" s="64">
        <v>274769</v>
      </c>
      <c r="E3484" s="60" t="s">
        <v>272</v>
      </c>
    </row>
    <row r="3485" spans="1:5" ht="15" customHeight="1">
      <c r="A3485" s="67">
        <v>46101</v>
      </c>
      <c r="B3485" s="60" t="s">
        <v>50</v>
      </c>
      <c r="C3485" s="61"/>
      <c r="D3485" s="64">
        <v>275095</v>
      </c>
      <c r="E3485" s="60" t="s">
        <v>272</v>
      </c>
    </row>
    <row r="3486" spans="1:5" ht="15" customHeight="1">
      <c r="A3486" s="67">
        <v>46111</v>
      </c>
      <c r="B3486" s="60" t="s">
        <v>50</v>
      </c>
      <c r="C3486" s="61"/>
      <c r="D3486" s="64">
        <v>275886</v>
      </c>
      <c r="E3486" s="60" t="s">
        <v>272</v>
      </c>
    </row>
    <row r="3487" spans="1:5" ht="15" customHeight="1">
      <c r="A3487" s="67">
        <v>46099</v>
      </c>
      <c r="B3487" s="60" t="s">
        <v>65</v>
      </c>
      <c r="C3487" s="64">
        <v>3895</v>
      </c>
      <c r="D3487" s="64"/>
      <c r="E3487" s="60" t="s">
        <v>33</v>
      </c>
    </row>
    <row r="3488" spans="1:5" ht="15" customHeight="1">
      <c r="A3488" s="67">
        <v>46099</v>
      </c>
      <c r="B3488" s="60" t="s">
        <v>65</v>
      </c>
      <c r="C3488" s="64">
        <v>3868</v>
      </c>
      <c r="D3488" s="64"/>
      <c r="E3488" s="60" t="s">
        <v>33</v>
      </c>
    </row>
    <row r="3489" spans="1:5" ht="15" customHeight="1">
      <c r="A3489" s="67">
        <v>46106</v>
      </c>
      <c r="B3489" s="60" t="s">
        <v>65</v>
      </c>
      <c r="C3489" s="64">
        <v>3877</v>
      </c>
      <c r="D3489" s="64"/>
      <c r="E3489" s="60" t="s">
        <v>33</v>
      </c>
    </row>
    <row r="3490" spans="1:5" ht="15" customHeight="1">
      <c r="A3490" s="67">
        <v>46107</v>
      </c>
      <c r="B3490" s="60" t="s">
        <v>65</v>
      </c>
      <c r="C3490" s="64">
        <v>3887</v>
      </c>
      <c r="D3490" s="64"/>
      <c r="E3490" s="60" t="s">
        <v>33</v>
      </c>
    </row>
    <row r="3491" spans="1:5" ht="15" customHeight="1">
      <c r="A3491" s="67">
        <v>46107</v>
      </c>
      <c r="B3491" s="60" t="s">
        <v>65</v>
      </c>
      <c r="C3491" s="64">
        <v>3882</v>
      </c>
      <c r="D3491" s="64"/>
      <c r="E3491" s="60" t="s">
        <v>33</v>
      </c>
    </row>
    <row r="3492" spans="1:5" ht="15" customHeight="1">
      <c r="A3492" s="67">
        <v>46099</v>
      </c>
      <c r="B3492" s="60" t="s">
        <v>78</v>
      </c>
      <c r="C3492" s="64"/>
      <c r="D3492" s="64">
        <v>917261</v>
      </c>
      <c r="E3492" s="60" t="s">
        <v>300</v>
      </c>
    </row>
    <row r="3493" spans="1:5" ht="15" customHeight="1">
      <c r="A3493" s="67">
        <v>46098</v>
      </c>
      <c r="B3493" s="60" t="s">
        <v>81</v>
      </c>
      <c r="C3493" s="64">
        <v>4812</v>
      </c>
      <c r="D3493" s="64">
        <v>195458</v>
      </c>
      <c r="E3493" s="60" t="s">
        <v>300</v>
      </c>
    </row>
    <row r="3494" spans="1:5" ht="15" customHeight="1">
      <c r="A3494" s="67">
        <v>46099</v>
      </c>
      <c r="B3494" s="60" t="s">
        <v>81</v>
      </c>
      <c r="C3494" s="64">
        <v>2820</v>
      </c>
      <c r="D3494" s="64">
        <v>195502</v>
      </c>
      <c r="E3494" s="60" t="s">
        <v>300</v>
      </c>
    </row>
    <row r="3495" spans="1:5" ht="15" customHeight="1">
      <c r="A3495" s="67">
        <v>46100</v>
      </c>
      <c r="B3495" s="60" t="s">
        <v>81</v>
      </c>
      <c r="C3495" s="64">
        <v>8693</v>
      </c>
      <c r="D3495" s="64"/>
      <c r="E3495" s="60" t="s">
        <v>300</v>
      </c>
    </row>
    <row r="3496" spans="1:5" ht="15" customHeight="1">
      <c r="A3496" s="67">
        <v>46100</v>
      </c>
      <c r="B3496" s="60" t="s">
        <v>81</v>
      </c>
      <c r="C3496" s="64">
        <v>4235</v>
      </c>
      <c r="D3496" s="64"/>
      <c r="E3496" s="60" t="s">
        <v>300</v>
      </c>
    </row>
    <row r="3497" spans="1:5" ht="15" customHeight="1">
      <c r="A3497" s="67">
        <v>46100</v>
      </c>
      <c r="B3497" s="60" t="s">
        <v>81</v>
      </c>
      <c r="C3497" s="64"/>
      <c r="D3497" s="64"/>
      <c r="E3497" s="60" t="s">
        <v>300</v>
      </c>
    </row>
    <row r="3498" spans="1:5" ht="15" customHeight="1">
      <c r="A3498" s="67">
        <v>46100</v>
      </c>
      <c r="B3498" s="60" t="s">
        <v>81</v>
      </c>
      <c r="C3498" s="64">
        <v>5708</v>
      </c>
      <c r="D3498" s="64"/>
      <c r="E3498" s="60" t="s">
        <v>300</v>
      </c>
    </row>
    <row r="3499" spans="1:5" ht="15" customHeight="1">
      <c r="A3499" s="67">
        <v>46100</v>
      </c>
      <c r="B3499" s="60" t="s">
        <v>81</v>
      </c>
      <c r="C3499" s="64"/>
      <c r="D3499" s="64"/>
      <c r="E3499" s="60" t="s">
        <v>300</v>
      </c>
    </row>
    <row r="3500" spans="1:5" ht="15" customHeight="1">
      <c r="A3500" s="67">
        <v>46100</v>
      </c>
      <c r="B3500" s="60" t="s">
        <v>81</v>
      </c>
      <c r="C3500" s="64"/>
      <c r="D3500" s="64">
        <v>116364</v>
      </c>
      <c r="E3500" s="60" t="s">
        <v>300</v>
      </c>
    </row>
    <row r="3501" spans="1:5" ht="15" customHeight="1">
      <c r="A3501" s="67">
        <v>46100</v>
      </c>
      <c r="B3501" s="60" t="s">
        <v>81</v>
      </c>
      <c r="C3501" s="64">
        <v>1745</v>
      </c>
      <c r="D3501" s="64"/>
      <c r="E3501" s="60" t="s">
        <v>300</v>
      </c>
    </row>
    <row r="3502" spans="1:5" ht="15" customHeight="1">
      <c r="A3502" s="67">
        <v>46101</v>
      </c>
      <c r="B3502" s="60" t="s">
        <v>81</v>
      </c>
      <c r="C3502" s="64">
        <v>2832</v>
      </c>
      <c r="D3502" s="64">
        <v>195800</v>
      </c>
      <c r="E3502" s="60" t="s">
        <v>84</v>
      </c>
    </row>
    <row r="3503" spans="1:5" ht="15" customHeight="1">
      <c r="A3503" s="67">
        <v>46104</v>
      </c>
      <c r="B3503" s="60" t="s">
        <v>81</v>
      </c>
      <c r="C3503" s="64">
        <v>2841</v>
      </c>
      <c r="D3503" s="64"/>
      <c r="E3503" s="60" t="s">
        <v>84</v>
      </c>
    </row>
    <row r="3504" spans="1:5" ht="15" customHeight="1">
      <c r="A3504" s="67">
        <v>46115</v>
      </c>
      <c r="B3504" s="60" t="s">
        <v>81</v>
      </c>
      <c r="C3504" s="64"/>
      <c r="D3504" s="64">
        <v>194120</v>
      </c>
      <c r="E3504" s="60" t="s">
        <v>300</v>
      </c>
    </row>
    <row r="3505" spans="1:5" ht="15" customHeight="1">
      <c r="A3505" s="67">
        <v>46098</v>
      </c>
      <c r="B3505" s="60" t="s">
        <v>86</v>
      </c>
      <c r="C3505" s="64">
        <v>3426</v>
      </c>
      <c r="D3505" s="64">
        <v>81674</v>
      </c>
      <c r="E3505" s="60" t="s">
        <v>272</v>
      </c>
    </row>
    <row r="3506" spans="1:5" ht="15" customHeight="1">
      <c r="A3506" s="67">
        <v>46098</v>
      </c>
      <c r="B3506" s="60" t="s">
        <v>89</v>
      </c>
      <c r="C3506" s="64">
        <v>3502</v>
      </c>
      <c r="D3506" s="64">
        <v>88762</v>
      </c>
      <c r="E3506" s="60" t="s">
        <v>272</v>
      </c>
    </row>
    <row r="3507" spans="1:5" ht="15" customHeight="1">
      <c r="A3507" s="67">
        <v>46111</v>
      </c>
      <c r="B3507" s="60" t="s">
        <v>89</v>
      </c>
      <c r="C3507" s="64">
        <v>3552</v>
      </c>
      <c r="D3507" s="64">
        <v>89291</v>
      </c>
      <c r="E3507" s="60" t="s">
        <v>272</v>
      </c>
    </row>
    <row r="3508" spans="1:5" ht="15" customHeight="1">
      <c r="A3508" s="67">
        <v>46098</v>
      </c>
      <c r="B3508" s="60" t="s">
        <v>91</v>
      </c>
      <c r="C3508" s="64">
        <v>3751</v>
      </c>
      <c r="D3508" s="64">
        <v>97036</v>
      </c>
      <c r="E3508" s="60" t="s">
        <v>300</v>
      </c>
    </row>
    <row r="3509" spans="1:5" ht="15" customHeight="1">
      <c r="A3509" s="67">
        <v>46100</v>
      </c>
      <c r="B3509" s="60" t="s">
        <v>91</v>
      </c>
      <c r="C3509" s="64">
        <v>3759</v>
      </c>
      <c r="D3509" s="64">
        <v>97224</v>
      </c>
      <c r="E3509" s="60" t="s">
        <v>300</v>
      </c>
    </row>
    <row r="3510" spans="1:5" ht="15" customHeight="1">
      <c r="A3510" s="67">
        <v>46106</v>
      </c>
      <c r="B3510" s="60" t="s">
        <v>91</v>
      </c>
      <c r="C3510" s="64">
        <v>3774</v>
      </c>
      <c r="D3510" s="64">
        <v>97492</v>
      </c>
      <c r="E3510" s="60" t="s">
        <v>84</v>
      </c>
    </row>
    <row r="3511" spans="1:5" ht="15" customHeight="1">
      <c r="A3511" s="67">
        <v>46100</v>
      </c>
      <c r="B3511" s="60" t="s">
        <v>97</v>
      </c>
      <c r="C3511" s="64"/>
      <c r="D3511" s="64">
        <v>79301</v>
      </c>
      <c r="E3511" s="60" t="s">
        <v>272</v>
      </c>
    </row>
    <row r="3512" spans="1:5" ht="15" customHeight="1">
      <c r="A3512" s="67">
        <v>46099</v>
      </c>
      <c r="B3512" s="60" t="s">
        <v>106</v>
      </c>
      <c r="C3512" s="64"/>
      <c r="D3512" s="64">
        <v>123676</v>
      </c>
      <c r="E3512" s="60" t="s">
        <v>101</v>
      </c>
    </row>
    <row r="3513" spans="1:5" ht="15" customHeight="1">
      <c r="A3513" s="67">
        <v>46100</v>
      </c>
      <c r="B3513" s="60" t="s">
        <v>106</v>
      </c>
      <c r="C3513" s="64"/>
      <c r="D3513" s="64">
        <v>123978</v>
      </c>
      <c r="E3513" s="60" t="s">
        <v>101</v>
      </c>
    </row>
    <row r="3514" spans="1:5" ht="15" customHeight="1">
      <c r="A3514" s="67">
        <v>46106</v>
      </c>
      <c r="B3514" s="60" t="s">
        <v>106</v>
      </c>
      <c r="C3514" s="64"/>
      <c r="D3514" s="64">
        <v>125001</v>
      </c>
      <c r="E3514" s="60" t="s">
        <v>33</v>
      </c>
    </row>
    <row r="3515" spans="1:5" ht="15" customHeight="1">
      <c r="A3515" s="67">
        <v>46107</v>
      </c>
      <c r="B3515" s="60" t="s">
        <v>106</v>
      </c>
      <c r="C3515" s="64"/>
      <c r="D3515" s="64">
        <v>125252</v>
      </c>
      <c r="E3515" s="60" t="s">
        <v>33</v>
      </c>
    </row>
    <row r="3516" spans="1:5" ht="15" customHeight="1">
      <c r="A3516" s="67">
        <v>46114</v>
      </c>
      <c r="B3516" s="60" t="s">
        <v>106</v>
      </c>
      <c r="C3516" s="64"/>
      <c r="D3516" s="64">
        <v>126821</v>
      </c>
      <c r="E3516" s="60" t="s">
        <v>101</v>
      </c>
    </row>
    <row r="3517" spans="1:5" ht="15" customHeight="1">
      <c r="A3517" s="67">
        <v>46105</v>
      </c>
      <c r="B3517" s="60" t="s">
        <v>109</v>
      </c>
      <c r="C3517" s="64"/>
      <c r="D3517" s="64">
        <v>141791</v>
      </c>
      <c r="E3517" s="60" t="s">
        <v>33</v>
      </c>
    </row>
    <row r="3518" spans="1:5" ht="15" customHeight="1">
      <c r="A3518" s="67">
        <v>46098</v>
      </c>
      <c r="B3518" s="60" t="s">
        <v>121</v>
      </c>
      <c r="C3518" s="64">
        <v>7661</v>
      </c>
      <c r="D3518" s="64">
        <v>194733</v>
      </c>
      <c r="E3518" s="60" t="s">
        <v>33</v>
      </c>
    </row>
    <row r="3519" spans="1:5" ht="15" customHeight="1">
      <c r="A3519" s="67">
        <v>46099</v>
      </c>
      <c r="B3519" s="60" t="s">
        <v>121</v>
      </c>
      <c r="C3519" s="64">
        <v>7674</v>
      </c>
      <c r="D3519" s="64">
        <v>195002</v>
      </c>
      <c r="E3519" s="60" t="s">
        <v>33</v>
      </c>
    </row>
    <row r="3520" spans="1:5" ht="15" customHeight="1">
      <c r="A3520" s="67">
        <v>46100</v>
      </c>
      <c r="B3520" s="60" t="s">
        <v>121</v>
      </c>
      <c r="C3520" s="64">
        <v>7678</v>
      </c>
      <c r="D3520" s="64">
        <v>195090</v>
      </c>
      <c r="E3520" s="60" t="s">
        <v>33</v>
      </c>
    </row>
    <row r="3521" spans="1:5" ht="15" customHeight="1">
      <c r="A3521" s="67">
        <v>46104</v>
      </c>
      <c r="B3521" s="60" t="s">
        <v>121</v>
      </c>
      <c r="C3521" s="64">
        <v>7962</v>
      </c>
      <c r="D3521" s="64">
        <v>195464</v>
      </c>
      <c r="E3521" s="60" t="s">
        <v>33</v>
      </c>
    </row>
    <row r="3522" spans="1:5" ht="15" customHeight="1">
      <c r="A3522" s="67">
        <v>46115</v>
      </c>
      <c r="B3522" s="60" t="s">
        <v>121</v>
      </c>
      <c r="C3522" s="64">
        <v>7602</v>
      </c>
      <c r="D3522" s="64">
        <v>193220</v>
      </c>
      <c r="E3522" s="60" t="s">
        <v>300</v>
      </c>
    </row>
    <row r="3523" spans="1:5" ht="15" customHeight="1">
      <c r="A3523" s="67">
        <v>46100</v>
      </c>
      <c r="B3523" s="60" t="s">
        <v>128</v>
      </c>
      <c r="C3523" s="64"/>
      <c r="D3523" s="64">
        <v>649418</v>
      </c>
      <c r="E3523" s="60" t="s">
        <v>101</v>
      </c>
    </row>
    <row r="3524" spans="1:5" ht="15" customHeight="1">
      <c r="A3524" s="67">
        <v>46099</v>
      </c>
      <c r="B3524" s="60" t="s">
        <v>138</v>
      </c>
      <c r="C3524" s="64"/>
      <c r="D3524" s="64">
        <v>296470</v>
      </c>
      <c r="E3524" s="60" t="s">
        <v>272</v>
      </c>
    </row>
    <row r="3525" spans="1:5" ht="15" customHeight="1">
      <c r="A3525" s="67">
        <v>46108</v>
      </c>
      <c r="B3525" s="60" t="s">
        <v>138</v>
      </c>
      <c r="C3525" s="64"/>
      <c r="D3525" s="64">
        <v>297881</v>
      </c>
      <c r="E3525" s="60" t="s">
        <v>272</v>
      </c>
    </row>
    <row r="3526" spans="1:5" ht="15" customHeight="1">
      <c r="A3526" s="67">
        <v>46111</v>
      </c>
      <c r="B3526" s="60" t="s">
        <v>138</v>
      </c>
      <c r="C3526" s="64"/>
      <c r="D3526" s="64">
        <v>298159</v>
      </c>
      <c r="E3526" s="60" t="s">
        <v>33</v>
      </c>
    </row>
    <row r="3527" spans="1:5" ht="15" customHeight="1">
      <c r="A3527" s="67">
        <v>46099</v>
      </c>
      <c r="B3527" s="60" t="s">
        <v>145</v>
      </c>
      <c r="C3527" s="64"/>
      <c r="D3527" s="64">
        <v>804235</v>
      </c>
      <c r="E3527" s="60" t="s">
        <v>33</v>
      </c>
    </row>
    <row r="3528" spans="1:5" ht="15" customHeight="1">
      <c r="A3528" s="67">
        <v>46100</v>
      </c>
      <c r="B3528" s="60" t="s">
        <v>145</v>
      </c>
      <c r="C3528" s="64"/>
      <c r="D3528" s="64">
        <v>804423</v>
      </c>
      <c r="E3528" s="60" t="s">
        <v>33</v>
      </c>
    </row>
    <row r="3529" spans="1:5" ht="15" customHeight="1">
      <c r="A3529" s="67">
        <v>46104</v>
      </c>
      <c r="B3529" s="60" t="s">
        <v>145</v>
      </c>
      <c r="C3529" s="64"/>
      <c r="D3529" s="64">
        <v>804683</v>
      </c>
      <c r="E3529" s="60" t="s">
        <v>33</v>
      </c>
    </row>
    <row r="3530" spans="1:5" ht="15" customHeight="1">
      <c r="A3530" s="67">
        <v>46107</v>
      </c>
      <c r="B3530" s="60" t="s">
        <v>145</v>
      </c>
      <c r="C3530" s="64"/>
      <c r="D3530" s="64">
        <v>805073</v>
      </c>
      <c r="E3530" s="60" t="s">
        <v>33</v>
      </c>
    </row>
    <row r="3531" spans="1:5" ht="15" customHeight="1">
      <c r="A3531" s="67">
        <v>46108</v>
      </c>
      <c r="B3531" s="60" t="s">
        <v>152</v>
      </c>
      <c r="C3531" s="64">
        <v>481560</v>
      </c>
      <c r="D3531" s="64"/>
      <c r="E3531" s="60" t="s">
        <v>84</v>
      </c>
    </row>
    <row r="3532" spans="1:5" ht="15" customHeight="1">
      <c r="A3532" s="82">
        <v>44596</v>
      </c>
      <c r="B3532" s="60" t="s">
        <v>1189</v>
      </c>
      <c r="C3532" s="60">
        <v>8305</v>
      </c>
      <c r="D3532" s="60"/>
      <c r="E3532" s="60"/>
    </row>
    <row r="3533" spans="1:5" ht="15" customHeight="1">
      <c r="A3533" s="82">
        <v>44607</v>
      </c>
      <c r="B3533" s="60" t="s">
        <v>12</v>
      </c>
      <c r="C3533" s="60">
        <v>1937</v>
      </c>
      <c r="D3533" s="60"/>
      <c r="E3533" s="60"/>
    </row>
    <row r="3534" spans="1:5" ht="15" customHeight="1">
      <c r="A3534" s="67">
        <v>46104</v>
      </c>
      <c r="B3534" s="60" t="s">
        <v>159</v>
      </c>
      <c r="C3534" s="64"/>
      <c r="D3534" s="64">
        <v>140936</v>
      </c>
      <c r="E3534" s="60" t="s">
        <v>33</v>
      </c>
    </row>
    <row r="3535" spans="1:5" ht="15" customHeight="1">
      <c r="A3535" s="67">
        <v>46107</v>
      </c>
      <c r="B3535" s="60" t="s">
        <v>159</v>
      </c>
      <c r="C3535" s="64"/>
      <c r="D3535" s="64">
        <v>141119</v>
      </c>
      <c r="E3535" s="60" t="s">
        <v>33</v>
      </c>
    </row>
    <row r="3536" spans="1:5" ht="15" customHeight="1">
      <c r="A3536" s="67">
        <v>46107</v>
      </c>
      <c r="B3536" s="60" t="s">
        <v>169</v>
      </c>
      <c r="C3536" s="64"/>
      <c r="D3536" s="64">
        <v>199097</v>
      </c>
      <c r="E3536" s="60" t="s">
        <v>30</v>
      </c>
    </row>
    <row r="3537" spans="1:5" ht="15" customHeight="1">
      <c r="A3537" s="67">
        <v>46108</v>
      </c>
      <c r="B3537" s="60" t="s">
        <v>169</v>
      </c>
      <c r="C3537" s="64"/>
      <c r="D3537" s="64">
        <v>199190</v>
      </c>
      <c r="E3537" s="60" t="s">
        <v>30</v>
      </c>
    </row>
    <row r="3538" spans="1:5" ht="15" customHeight="1">
      <c r="A3538" s="67">
        <v>46098</v>
      </c>
      <c r="B3538" s="60" t="s">
        <v>171</v>
      </c>
      <c r="C3538" s="64">
        <v>2059</v>
      </c>
      <c r="D3538" s="64">
        <v>209210</v>
      </c>
      <c r="E3538" s="60" t="s">
        <v>300</v>
      </c>
    </row>
    <row r="3539" spans="1:5" ht="15" customHeight="1">
      <c r="A3539" s="67">
        <v>46099</v>
      </c>
      <c r="B3539" s="60" t="s">
        <v>171</v>
      </c>
      <c r="C3539" s="64">
        <v>2067</v>
      </c>
      <c r="D3539" s="64">
        <v>209481</v>
      </c>
      <c r="E3539" s="60" t="s">
        <v>300</v>
      </c>
    </row>
    <row r="3540" spans="1:5" ht="15" customHeight="1">
      <c r="A3540" s="67">
        <v>46100</v>
      </c>
      <c r="B3540" s="60" t="s">
        <v>171</v>
      </c>
      <c r="C3540" s="64">
        <v>2072</v>
      </c>
      <c r="D3540" s="64">
        <v>209627</v>
      </c>
      <c r="E3540" s="60" t="s">
        <v>300</v>
      </c>
    </row>
    <row r="3541" spans="1:5" ht="15" customHeight="1">
      <c r="A3541" s="67">
        <v>46112</v>
      </c>
      <c r="B3541" s="60" t="s">
        <v>171</v>
      </c>
      <c r="C3541" s="64">
        <v>2125</v>
      </c>
      <c r="D3541" s="64">
        <v>219496</v>
      </c>
      <c r="E3541" s="60" t="s">
        <v>300</v>
      </c>
    </row>
    <row r="3542" spans="1:5" ht="15" customHeight="1">
      <c r="A3542" s="67">
        <v>46115</v>
      </c>
      <c r="B3542" s="60" t="s">
        <v>171</v>
      </c>
      <c r="C3542" s="64">
        <v>1990</v>
      </c>
      <c r="D3542" s="64">
        <v>208014</v>
      </c>
      <c r="E3542" s="60" t="s">
        <v>300</v>
      </c>
    </row>
    <row r="3543" spans="1:5" ht="15" customHeight="1">
      <c r="A3543" s="67">
        <v>46099</v>
      </c>
      <c r="B3543" s="60" t="s">
        <v>173</v>
      </c>
      <c r="C3543" s="64">
        <v>8606</v>
      </c>
      <c r="D3543" s="64">
        <v>165567</v>
      </c>
      <c r="E3543" s="60" t="s">
        <v>33</v>
      </c>
    </row>
    <row r="3544" spans="1:5" ht="15" customHeight="1">
      <c r="A3544" s="67">
        <v>46100</v>
      </c>
      <c r="B3544" s="60" t="s">
        <v>173</v>
      </c>
      <c r="C3544" s="64">
        <v>8612</v>
      </c>
      <c r="D3544" s="64">
        <v>165673</v>
      </c>
      <c r="E3544" s="60" t="s">
        <v>33</v>
      </c>
    </row>
    <row r="3545" spans="1:5" ht="15" customHeight="1">
      <c r="A3545" s="67">
        <v>46106</v>
      </c>
      <c r="B3545" s="60" t="s">
        <v>173</v>
      </c>
      <c r="C3545" s="64">
        <v>8625</v>
      </c>
      <c r="D3545" s="64">
        <v>165946</v>
      </c>
      <c r="E3545" s="60" t="s">
        <v>33</v>
      </c>
    </row>
    <row r="3546" spans="1:5" ht="15" customHeight="1">
      <c r="A3546" s="67">
        <v>46107</v>
      </c>
      <c r="B3546" s="60" t="s">
        <v>173</v>
      </c>
      <c r="C3546" s="64">
        <v>8634</v>
      </c>
      <c r="D3546" s="64">
        <v>166100</v>
      </c>
      <c r="E3546" s="60" t="s">
        <v>33</v>
      </c>
    </row>
    <row r="3547" spans="1:5" ht="15" customHeight="1">
      <c r="A3547" s="67">
        <v>46098</v>
      </c>
      <c r="B3547" s="60" t="s">
        <v>175</v>
      </c>
      <c r="C3547" s="64">
        <v>9304</v>
      </c>
      <c r="D3547" s="64">
        <v>210006</v>
      </c>
      <c r="E3547" s="60" t="s">
        <v>33</v>
      </c>
    </row>
    <row r="3548" spans="1:5" ht="15" customHeight="1">
      <c r="A3548" s="67">
        <v>46099</v>
      </c>
      <c r="B3548" s="60" t="s">
        <v>175</v>
      </c>
      <c r="C3548" s="64">
        <v>7310</v>
      </c>
      <c r="D3548" s="64">
        <v>200109</v>
      </c>
      <c r="E3548" s="60" t="s">
        <v>33</v>
      </c>
    </row>
    <row r="3549" spans="1:5" ht="15" customHeight="1">
      <c r="A3549" s="67">
        <v>46106</v>
      </c>
      <c r="B3549" s="60" t="s">
        <v>175</v>
      </c>
      <c r="C3549" s="64"/>
      <c r="D3549" s="64">
        <v>210873</v>
      </c>
      <c r="E3549" s="60" t="s">
        <v>30</v>
      </c>
    </row>
    <row r="3550" spans="1:5" ht="15" customHeight="1">
      <c r="A3550" s="67">
        <v>46112</v>
      </c>
      <c r="B3550" s="60" t="s">
        <v>175</v>
      </c>
      <c r="C3550" s="64"/>
      <c r="D3550" s="64">
        <v>211790</v>
      </c>
      <c r="E3550" s="60" t="s">
        <v>30</v>
      </c>
    </row>
    <row r="3551" spans="1:5" ht="15" customHeight="1">
      <c r="A3551" s="67">
        <v>46114</v>
      </c>
      <c r="B3551" s="60" t="s">
        <v>175</v>
      </c>
      <c r="C3551" s="64"/>
      <c r="D3551" s="64">
        <v>212344</v>
      </c>
      <c r="E3551" s="60" t="s">
        <v>30</v>
      </c>
    </row>
    <row r="3552" spans="1:5" ht="15" customHeight="1">
      <c r="A3552" s="67">
        <v>46098</v>
      </c>
      <c r="B3552" s="60" t="s">
        <v>182</v>
      </c>
      <c r="C3552" s="64">
        <v>8837</v>
      </c>
      <c r="D3552" s="64">
        <v>166731</v>
      </c>
      <c r="E3552" s="60" t="s">
        <v>33</v>
      </c>
    </row>
    <row r="3553" spans="1:5" ht="15" customHeight="1">
      <c r="A3553" s="67">
        <v>46099</v>
      </c>
      <c r="B3553" s="60" t="s">
        <v>182</v>
      </c>
      <c r="C3553" s="64">
        <v>8850</v>
      </c>
      <c r="D3553" s="64">
        <v>167002</v>
      </c>
      <c r="E3553" s="60" t="s">
        <v>33</v>
      </c>
    </row>
    <row r="3554" spans="1:5" ht="15" customHeight="1">
      <c r="A3554" s="67">
        <v>46100</v>
      </c>
      <c r="B3554" s="60" t="s">
        <v>182</v>
      </c>
      <c r="C3554" s="64">
        <v>8864</v>
      </c>
      <c r="D3554" s="64">
        <v>167286</v>
      </c>
      <c r="E3554" s="60" t="s">
        <v>33</v>
      </c>
    </row>
    <row r="3555" spans="1:5" ht="15" customHeight="1">
      <c r="A3555" s="67">
        <v>46105</v>
      </c>
      <c r="B3555" s="60" t="s">
        <v>182</v>
      </c>
      <c r="C3555" s="64">
        <v>8877</v>
      </c>
      <c r="D3555" s="64">
        <v>167522</v>
      </c>
      <c r="E3555" s="60" t="s">
        <v>33</v>
      </c>
    </row>
    <row r="3556" spans="1:5" ht="15" customHeight="1">
      <c r="A3556" s="67">
        <v>46107</v>
      </c>
      <c r="B3556" s="60" t="s">
        <v>182</v>
      </c>
      <c r="C3556" s="64">
        <v>8894</v>
      </c>
      <c r="D3556" s="64">
        <v>167802</v>
      </c>
      <c r="E3556" s="60" t="s">
        <v>33</v>
      </c>
    </row>
    <row r="3557" spans="1:5" ht="15" customHeight="1">
      <c r="A3557" s="67">
        <v>46106</v>
      </c>
      <c r="B3557" s="60" t="s">
        <v>190</v>
      </c>
      <c r="C3557" s="64"/>
      <c r="D3557" s="64">
        <v>342295</v>
      </c>
      <c r="E3557" s="60" t="s">
        <v>30</v>
      </c>
    </row>
    <row r="3558" spans="1:5" ht="15" customHeight="1">
      <c r="A3558" s="67">
        <v>46107</v>
      </c>
      <c r="B3558" s="60" t="s">
        <v>190</v>
      </c>
      <c r="C3558" s="64"/>
      <c r="D3558" s="64">
        <v>342347</v>
      </c>
      <c r="E3558" s="60" t="s">
        <v>30</v>
      </c>
    </row>
    <row r="3559" spans="1:5" ht="15" customHeight="1">
      <c r="A3559" s="67">
        <v>46111</v>
      </c>
      <c r="B3559" s="60" t="s">
        <v>190</v>
      </c>
      <c r="C3559" s="64"/>
      <c r="D3559" s="64">
        <v>342589</v>
      </c>
      <c r="E3559" s="60" t="s">
        <v>30</v>
      </c>
    </row>
    <row r="3560" spans="1:5" ht="15" customHeight="1">
      <c r="A3560" s="67">
        <v>46114</v>
      </c>
      <c r="B3560" s="60" t="s">
        <v>190</v>
      </c>
      <c r="C3560" s="64"/>
      <c r="D3560" s="64">
        <v>342905</v>
      </c>
      <c r="E3560" s="60" t="s">
        <v>30</v>
      </c>
    </row>
    <row r="3561" spans="1:5" ht="15" customHeight="1">
      <c r="A3561" s="67">
        <v>46104</v>
      </c>
      <c r="B3561" s="60" t="s">
        <v>198</v>
      </c>
      <c r="C3561" s="64"/>
      <c r="D3561" s="64">
        <v>352</v>
      </c>
      <c r="E3561" s="60" t="s">
        <v>84</v>
      </c>
    </row>
    <row r="3562" spans="1:5" ht="15" customHeight="1">
      <c r="A3562" s="67">
        <v>46106</v>
      </c>
      <c r="B3562" s="60" t="s">
        <v>207</v>
      </c>
      <c r="C3562" s="64">
        <v>1537</v>
      </c>
      <c r="D3562" s="64"/>
      <c r="E3562" s="60" t="s">
        <v>33</v>
      </c>
    </row>
    <row r="3563" spans="1:5" ht="15" customHeight="1">
      <c r="A3563" s="67">
        <v>46098</v>
      </c>
      <c r="B3563" s="60" t="s">
        <v>210</v>
      </c>
      <c r="C3563" s="64">
        <v>31</v>
      </c>
      <c r="D3563" s="64"/>
      <c r="E3563" s="60" t="s">
        <v>300</v>
      </c>
    </row>
    <row r="3564" spans="1:5" ht="15" customHeight="1">
      <c r="A3564" s="67">
        <v>46104</v>
      </c>
      <c r="B3564" s="60" t="s">
        <v>210</v>
      </c>
      <c r="C3564" s="64"/>
      <c r="D3564" s="64">
        <v>2555</v>
      </c>
      <c r="E3564" s="60" t="s">
        <v>84</v>
      </c>
    </row>
    <row r="3565" spans="1:5" ht="15" customHeight="1">
      <c r="A3565" s="67">
        <v>46099</v>
      </c>
      <c r="B3565" s="60" t="s">
        <v>234</v>
      </c>
      <c r="C3565" s="64">
        <v>2018</v>
      </c>
      <c r="D3565" s="64"/>
      <c r="E3565" s="60" t="s">
        <v>33</v>
      </c>
    </row>
    <row r="3566" spans="1:5" ht="15" customHeight="1">
      <c r="A3566" s="67">
        <v>46101</v>
      </c>
      <c r="B3566" s="60" t="s">
        <v>234</v>
      </c>
      <c r="C3566" s="64">
        <v>2030</v>
      </c>
      <c r="D3566" s="64"/>
      <c r="E3566" s="60" t="s">
        <v>33</v>
      </c>
    </row>
    <row r="3567" spans="1:5" ht="15" customHeight="1">
      <c r="A3567" s="67">
        <v>46105</v>
      </c>
      <c r="B3567" s="60" t="s">
        <v>234</v>
      </c>
      <c r="C3567" s="64">
        <v>2037</v>
      </c>
      <c r="D3567" s="64"/>
      <c r="E3567" s="60" t="s">
        <v>33</v>
      </c>
    </row>
    <row r="3568" spans="1:5" ht="15" customHeight="1">
      <c r="A3568" s="67">
        <v>46107</v>
      </c>
      <c r="B3568" s="60" t="s">
        <v>234</v>
      </c>
      <c r="C3568" s="64">
        <v>2050</v>
      </c>
      <c r="D3568" s="64"/>
      <c r="E3568" s="60" t="s">
        <v>33</v>
      </c>
    </row>
    <row r="3569" spans="1:5" ht="15" customHeight="1">
      <c r="A3569" s="67">
        <v>46100</v>
      </c>
      <c r="B3569" s="60" t="s">
        <v>243</v>
      </c>
      <c r="C3569" s="64">
        <v>5170</v>
      </c>
      <c r="D3569" s="64"/>
      <c r="E3569" s="60" t="s">
        <v>300</v>
      </c>
    </row>
    <row r="3570" spans="1:5" ht="15" customHeight="1">
      <c r="A3570" s="67">
        <v>46099</v>
      </c>
      <c r="B3570" s="60" t="s">
        <v>246</v>
      </c>
      <c r="C3570" s="64">
        <v>16523</v>
      </c>
      <c r="D3570" s="64"/>
      <c r="E3570" s="60" t="s">
        <v>33</v>
      </c>
    </row>
    <row r="3571" spans="1:5" ht="15" customHeight="1">
      <c r="A3571" s="67">
        <v>46101</v>
      </c>
      <c r="B3571" s="60" t="s">
        <v>246</v>
      </c>
      <c r="C3571" s="64">
        <v>6535</v>
      </c>
      <c r="D3571" s="64"/>
      <c r="E3571" s="60" t="s">
        <v>33</v>
      </c>
    </row>
    <row r="3572" spans="1:5" ht="15" customHeight="1">
      <c r="A3572" s="67">
        <v>46105</v>
      </c>
      <c r="B3572" s="60" t="s">
        <v>246</v>
      </c>
      <c r="C3572" s="64">
        <v>6543</v>
      </c>
      <c r="D3572" s="64"/>
      <c r="E3572" s="60" t="s">
        <v>33</v>
      </c>
    </row>
    <row r="3573" spans="1:5" ht="15" customHeight="1">
      <c r="A3573" s="67">
        <v>46107</v>
      </c>
      <c r="B3573" s="60" t="s">
        <v>246</v>
      </c>
      <c r="C3573" s="64">
        <v>6556</v>
      </c>
      <c r="D3573" s="64"/>
      <c r="E3573" s="60" t="s">
        <v>33</v>
      </c>
    </row>
    <row r="3574" spans="1:5" ht="15" customHeight="1">
      <c r="A3574" s="67">
        <v>46099</v>
      </c>
      <c r="B3574" s="60" t="s">
        <v>249</v>
      </c>
      <c r="C3574" s="64">
        <v>4884</v>
      </c>
      <c r="D3574" s="64"/>
      <c r="E3574" s="60" t="s">
        <v>33</v>
      </c>
    </row>
    <row r="3575" spans="1:5" ht="15" customHeight="1">
      <c r="A3575" s="67">
        <v>46101</v>
      </c>
      <c r="B3575" s="60" t="s">
        <v>249</v>
      </c>
      <c r="C3575" s="64">
        <v>4896</v>
      </c>
      <c r="D3575" s="64"/>
      <c r="E3575" s="60" t="s">
        <v>33</v>
      </c>
    </row>
    <row r="3576" spans="1:5" ht="15" customHeight="1">
      <c r="A3576" s="67">
        <v>46105</v>
      </c>
      <c r="B3576" s="60" t="s">
        <v>249</v>
      </c>
      <c r="C3576" s="64">
        <v>4903</v>
      </c>
      <c r="D3576" s="64"/>
      <c r="E3576" s="60" t="s">
        <v>33</v>
      </c>
    </row>
    <row r="3577" spans="1:5" ht="15" customHeight="1">
      <c r="A3577" s="67">
        <v>46107</v>
      </c>
      <c r="B3577" s="60" t="s">
        <v>249</v>
      </c>
      <c r="C3577" s="64">
        <v>4916</v>
      </c>
      <c r="D3577" s="64"/>
      <c r="E3577" s="60" t="s">
        <v>33</v>
      </c>
    </row>
    <row r="3578" spans="1:5" ht="15" customHeight="1">
      <c r="A3578" s="67">
        <v>46098</v>
      </c>
      <c r="B3578" s="60" t="s">
        <v>254</v>
      </c>
      <c r="C3578" s="64">
        <v>15737</v>
      </c>
      <c r="D3578" s="64"/>
      <c r="E3578" s="60" t="s">
        <v>300</v>
      </c>
    </row>
    <row r="3579" spans="1:5" ht="15" customHeight="1">
      <c r="A3579" s="67">
        <v>46099</v>
      </c>
      <c r="B3579" s="60" t="s">
        <v>254</v>
      </c>
      <c r="C3579" s="64">
        <v>15747</v>
      </c>
      <c r="D3579" s="64"/>
      <c r="E3579" s="60" t="s">
        <v>300</v>
      </c>
    </row>
    <row r="3580" spans="1:5" ht="15" customHeight="1">
      <c r="A3580" s="67">
        <v>46112</v>
      </c>
      <c r="B3580" s="60" t="s">
        <v>254</v>
      </c>
      <c r="C3580" s="64">
        <v>15801</v>
      </c>
      <c r="D3580" s="64"/>
      <c r="E3580" s="60" t="s">
        <v>300</v>
      </c>
    </row>
    <row r="3581" spans="1:5" ht="15" customHeight="1">
      <c r="A3581" s="67">
        <v>46115</v>
      </c>
      <c r="B3581" s="60" t="s">
        <v>254</v>
      </c>
      <c r="C3581" s="64">
        <v>15686</v>
      </c>
      <c r="D3581" s="64"/>
      <c r="E3581" s="60" t="s">
        <v>300</v>
      </c>
    </row>
    <row r="3582" spans="1:5" ht="15" customHeight="1">
      <c r="A3582" s="67">
        <v>46098</v>
      </c>
      <c r="B3582" s="60" t="s">
        <v>258</v>
      </c>
      <c r="C3582" s="64">
        <v>2809</v>
      </c>
      <c r="D3582" s="64"/>
      <c r="E3582" s="60" t="s">
        <v>300</v>
      </c>
    </row>
    <row r="3583" spans="1:5" ht="15" customHeight="1">
      <c r="A3583" s="67">
        <v>46099</v>
      </c>
      <c r="B3583" s="60" t="s">
        <v>258</v>
      </c>
      <c r="C3583" s="64">
        <v>2826</v>
      </c>
      <c r="D3583" s="64"/>
      <c r="E3583" s="60" t="s">
        <v>300</v>
      </c>
    </row>
    <row r="3584" spans="1:5" ht="15" customHeight="1">
      <c r="A3584" s="67">
        <v>46101</v>
      </c>
      <c r="B3584" s="60" t="s">
        <v>258</v>
      </c>
      <c r="C3584" s="64">
        <v>2830</v>
      </c>
      <c r="D3584" s="64"/>
      <c r="E3584" s="60" t="s">
        <v>300</v>
      </c>
    </row>
    <row r="3585" spans="1:5" ht="15" customHeight="1">
      <c r="A3585" s="67">
        <v>46115</v>
      </c>
      <c r="B3585" s="60" t="s">
        <v>258</v>
      </c>
      <c r="C3585" s="64">
        <v>2727</v>
      </c>
      <c r="D3585" s="64"/>
      <c r="E3585" s="60" t="s">
        <v>300</v>
      </c>
    </row>
    <row r="3586" spans="1:5" ht="15" customHeight="1">
      <c r="A3586" s="67">
        <v>46099</v>
      </c>
      <c r="B3586" s="60" t="s">
        <v>263</v>
      </c>
      <c r="C3586" s="64">
        <v>10025</v>
      </c>
      <c r="D3586" s="64"/>
      <c r="E3586" s="60" t="s">
        <v>33</v>
      </c>
    </row>
    <row r="3587" spans="1:5" ht="15" customHeight="1">
      <c r="A3587" s="67">
        <v>46101</v>
      </c>
      <c r="B3587" s="60" t="s">
        <v>263</v>
      </c>
      <c r="C3587" s="64">
        <v>10034</v>
      </c>
      <c r="D3587" s="64"/>
      <c r="E3587" s="60" t="s">
        <v>33</v>
      </c>
    </row>
    <row r="3588" spans="1:5" ht="15" customHeight="1">
      <c r="A3588" s="67">
        <v>46105</v>
      </c>
      <c r="B3588" s="60" t="s">
        <v>263</v>
      </c>
      <c r="C3588" s="64">
        <v>10045</v>
      </c>
      <c r="D3588" s="64"/>
      <c r="E3588" s="60" t="s">
        <v>33</v>
      </c>
    </row>
    <row r="3589" spans="1:5" ht="15" customHeight="1">
      <c r="A3589" s="67">
        <v>46107</v>
      </c>
      <c r="B3589" s="60" t="s">
        <v>263</v>
      </c>
      <c r="C3589" s="64">
        <v>10057</v>
      </c>
      <c r="D3589" s="64"/>
      <c r="E3589" s="60" t="s">
        <v>33</v>
      </c>
    </row>
    <row r="3590" spans="1:5" ht="15" customHeight="1">
      <c r="A3590" s="67">
        <v>46099</v>
      </c>
      <c r="B3590" s="60" t="s">
        <v>268</v>
      </c>
      <c r="C3590" s="64">
        <v>5651</v>
      </c>
      <c r="D3590" s="64"/>
      <c r="E3590" s="60" t="s">
        <v>272</v>
      </c>
    </row>
    <row r="3591" spans="1:5" ht="15" customHeight="1">
      <c r="A3591" s="67">
        <v>46101</v>
      </c>
      <c r="B3591" s="60" t="s">
        <v>268</v>
      </c>
      <c r="C3591" s="64">
        <v>5658</v>
      </c>
      <c r="D3591" s="64"/>
      <c r="E3591" s="60" t="s">
        <v>272</v>
      </c>
    </row>
    <row r="3592" spans="1:5" ht="15" customHeight="1">
      <c r="A3592" s="67">
        <v>46108</v>
      </c>
      <c r="B3592" s="60" t="s">
        <v>268</v>
      </c>
      <c r="C3592" s="64">
        <v>5686</v>
      </c>
      <c r="D3592" s="64"/>
      <c r="E3592" s="60" t="s">
        <v>272</v>
      </c>
    </row>
    <row r="3593" spans="1:5" ht="15" customHeight="1">
      <c r="A3593" s="67">
        <v>46111</v>
      </c>
      <c r="B3593" s="60" t="s">
        <v>268</v>
      </c>
      <c r="C3593" s="64">
        <v>5690</v>
      </c>
      <c r="D3593" s="64"/>
      <c r="E3593" s="60" t="s">
        <v>272</v>
      </c>
    </row>
    <row r="3594" spans="1:5" ht="15" customHeight="1">
      <c r="A3594" s="67">
        <v>46098</v>
      </c>
      <c r="B3594" s="60" t="s">
        <v>273</v>
      </c>
      <c r="C3594" s="64"/>
      <c r="D3594" s="64">
        <v>4226</v>
      </c>
      <c r="E3594" s="60" t="s">
        <v>300</v>
      </c>
    </row>
    <row r="3595" spans="1:5" ht="15" customHeight="1">
      <c r="A3595" s="67">
        <v>46099</v>
      </c>
      <c r="B3595" s="60" t="s">
        <v>275</v>
      </c>
      <c r="C3595" s="64">
        <v>1474</v>
      </c>
      <c r="D3595" s="64"/>
      <c r="E3595" s="60" t="s">
        <v>276</v>
      </c>
    </row>
    <row r="3596" spans="1:5" ht="15" customHeight="1">
      <c r="A3596" s="67">
        <v>46098</v>
      </c>
      <c r="B3596" s="60" t="s">
        <v>288</v>
      </c>
      <c r="C3596" s="64">
        <v>1538</v>
      </c>
      <c r="D3596" s="64"/>
      <c r="E3596" s="60" t="s">
        <v>300</v>
      </c>
    </row>
    <row r="3597" spans="1:5" ht="15" customHeight="1">
      <c r="A3597" s="67">
        <v>46099</v>
      </c>
      <c r="B3597" s="60" t="s">
        <v>288</v>
      </c>
      <c r="C3597" s="64">
        <v>1549</v>
      </c>
      <c r="D3597" s="64"/>
      <c r="E3597" s="60" t="s">
        <v>300</v>
      </c>
    </row>
    <row r="3598" spans="1:5" ht="15" customHeight="1">
      <c r="A3598" s="67">
        <v>46100</v>
      </c>
      <c r="B3598" s="60" t="s">
        <v>288</v>
      </c>
      <c r="C3598" s="64">
        <v>1559</v>
      </c>
      <c r="D3598" s="64"/>
      <c r="E3598" s="60" t="s">
        <v>300</v>
      </c>
    </row>
    <row r="3599" spans="1:5" ht="15" customHeight="1">
      <c r="A3599" s="67">
        <v>46106</v>
      </c>
      <c r="B3599" s="60" t="s">
        <v>288</v>
      </c>
      <c r="C3599" s="64">
        <v>1592</v>
      </c>
      <c r="D3599" s="64"/>
      <c r="E3599" s="60" t="s">
        <v>84</v>
      </c>
    </row>
    <row r="3600" spans="1:5" ht="15" customHeight="1">
      <c r="A3600" s="67">
        <v>46112</v>
      </c>
      <c r="B3600" s="60" t="s">
        <v>288</v>
      </c>
      <c r="C3600" s="64">
        <v>1637</v>
      </c>
      <c r="D3600" s="64"/>
      <c r="E3600" s="60" t="s">
        <v>300</v>
      </c>
    </row>
    <row r="3601" spans="1:5" ht="15" customHeight="1">
      <c r="A3601" s="67">
        <v>46115</v>
      </c>
      <c r="B3601" s="60" t="s">
        <v>288</v>
      </c>
      <c r="C3601" s="64">
        <v>1457</v>
      </c>
      <c r="D3601" s="64"/>
      <c r="E3601" s="60" t="s">
        <v>300</v>
      </c>
    </row>
    <row r="3602" spans="1:5" ht="15" customHeight="1">
      <c r="A3602" s="67">
        <v>46098</v>
      </c>
      <c r="B3602" s="60" t="s">
        <v>290</v>
      </c>
      <c r="C3602" s="64">
        <v>1896</v>
      </c>
      <c r="D3602" s="64"/>
      <c r="E3602" s="60" t="s">
        <v>300</v>
      </c>
    </row>
    <row r="3603" spans="1:5" ht="15" customHeight="1">
      <c r="A3603" s="67">
        <v>46099</v>
      </c>
      <c r="B3603" s="60" t="s">
        <v>290</v>
      </c>
      <c r="C3603" s="64">
        <v>5326</v>
      </c>
      <c r="D3603" s="64"/>
      <c r="E3603" s="60" t="s">
        <v>84</v>
      </c>
    </row>
    <row r="3604" spans="1:5" ht="15" customHeight="1">
      <c r="A3604" s="67">
        <v>46101</v>
      </c>
      <c r="B3604" s="60" t="s">
        <v>295</v>
      </c>
      <c r="C3604" s="64">
        <v>13375</v>
      </c>
      <c r="D3604" s="64"/>
      <c r="E3604" s="60" t="s">
        <v>33</v>
      </c>
    </row>
    <row r="3605" spans="1:5" ht="15" customHeight="1">
      <c r="A3605" s="67">
        <v>46105</v>
      </c>
      <c r="B3605" s="60" t="s">
        <v>295</v>
      </c>
      <c r="C3605" s="64">
        <v>13383</v>
      </c>
      <c r="D3605" s="64"/>
      <c r="E3605" s="60" t="s">
        <v>33</v>
      </c>
    </row>
    <row r="3606" spans="1:5" ht="15" customHeight="1">
      <c r="A3606" s="67">
        <v>46098</v>
      </c>
      <c r="B3606" s="60" t="s">
        <v>299</v>
      </c>
      <c r="C3606" s="64">
        <v>8683</v>
      </c>
      <c r="D3606" s="64"/>
      <c r="E3606" s="60" t="s">
        <v>300</v>
      </c>
    </row>
    <row r="3607" spans="1:5" ht="15" customHeight="1">
      <c r="A3607" s="67">
        <v>46099</v>
      </c>
      <c r="B3607" s="60" t="s">
        <v>301</v>
      </c>
      <c r="C3607" s="64">
        <v>14568</v>
      </c>
      <c r="D3607" s="64"/>
      <c r="E3607" s="60" t="s">
        <v>84</v>
      </c>
    </row>
    <row r="3608" spans="1:5" ht="15" customHeight="1">
      <c r="A3608" s="67">
        <v>46101</v>
      </c>
      <c r="B3608" s="60" t="s">
        <v>301</v>
      </c>
      <c r="C3608" s="64">
        <v>14582</v>
      </c>
      <c r="D3608" s="64"/>
      <c r="E3608" s="60" t="s">
        <v>84</v>
      </c>
    </row>
    <row r="3609" spans="1:5" ht="15" customHeight="1">
      <c r="A3609" s="67">
        <v>46104</v>
      </c>
      <c r="B3609" s="60" t="s">
        <v>301</v>
      </c>
      <c r="C3609" s="64">
        <v>14925</v>
      </c>
      <c r="D3609" s="64"/>
      <c r="E3609" s="60" t="s">
        <v>84</v>
      </c>
    </row>
    <row r="3610" spans="1:5" ht="15" customHeight="1">
      <c r="A3610" s="67">
        <v>46106</v>
      </c>
      <c r="B3610" s="60" t="s">
        <v>301</v>
      </c>
      <c r="C3610" s="64">
        <v>14530</v>
      </c>
      <c r="D3610" s="64"/>
      <c r="E3610" s="60" t="s">
        <v>84</v>
      </c>
    </row>
    <row r="3611" spans="1:5" ht="15" customHeight="1">
      <c r="A3611" s="67">
        <v>46108</v>
      </c>
      <c r="B3611" s="60" t="s">
        <v>301</v>
      </c>
      <c r="C3611" s="64">
        <v>14614</v>
      </c>
      <c r="D3611" s="64"/>
      <c r="E3611" s="60" t="s">
        <v>84</v>
      </c>
    </row>
    <row r="3612" spans="1:5" ht="15" customHeight="1">
      <c r="A3612" s="67">
        <v>46112</v>
      </c>
      <c r="B3612" s="60" t="s">
        <v>301</v>
      </c>
      <c r="C3612" s="64">
        <v>11631</v>
      </c>
      <c r="D3612" s="64"/>
      <c r="E3612" s="60" t="s">
        <v>84</v>
      </c>
    </row>
    <row r="3613" spans="1:5" ht="15" customHeight="1">
      <c r="A3613" s="67">
        <v>46098</v>
      </c>
      <c r="B3613" s="60" t="s">
        <v>305</v>
      </c>
      <c r="C3613" s="64">
        <v>16977</v>
      </c>
      <c r="D3613" s="64"/>
      <c r="E3613" s="60" t="s">
        <v>272</v>
      </c>
    </row>
    <row r="3614" spans="1:5" ht="15" customHeight="1">
      <c r="A3614" s="67">
        <v>46099</v>
      </c>
      <c r="B3614" s="60" t="s">
        <v>305</v>
      </c>
      <c r="C3614" s="64">
        <v>16984</v>
      </c>
      <c r="D3614" s="64"/>
      <c r="E3614" s="60" t="s">
        <v>272</v>
      </c>
    </row>
    <row r="3615" spans="1:5" ht="15" customHeight="1">
      <c r="A3615" s="67">
        <v>46111</v>
      </c>
      <c r="B3615" s="60" t="s">
        <v>305</v>
      </c>
      <c r="C3615" s="64">
        <v>17019</v>
      </c>
      <c r="D3615" s="64"/>
      <c r="E3615" s="60" t="s">
        <v>272</v>
      </c>
    </row>
    <row r="3616" spans="1:5" ht="15" customHeight="1">
      <c r="A3616" s="67">
        <v>46107</v>
      </c>
      <c r="B3616" s="60" t="s">
        <v>324</v>
      </c>
      <c r="C3616" s="64">
        <v>7073</v>
      </c>
      <c r="D3616" s="64"/>
      <c r="E3616" s="60" t="s">
        <v>33</v>
      </c>
    </row>
    <row r="3617" spans="1:5" ht="15" customHeight="1">
      <c r="A3617" s="67">
        <v>46099</v>
      </c>
      <c r="B3617" s="60" t="s">
        <v>330</v>
      </c>
      <c r="C3617" s="64">
        <v>26017</v>
      </c>
      <c r="D3617" s="64"/>
      <c r="E3617" s="60" t="s">
        <v>33</v>
      </c>
    </row>
    <row r="3618" spans="1:5" ht="15" customHeight="1">
      <c r="A3618" s="67">
        <v>46100</v>
      </c>
      <c r="B3618" s="60" t="s">
        <v>330</v>
      </c>
      <c r="C3618" s="64">
        <v>26023</v>
      </c>
      <c r="D3618" s="64"/>
      <c r="E3618" s="60" t="s">
        <v>33</v>
      </c>
    </row>
    <row r="3619" spans="1:5" ht="15" customHeight="1">
      <c r="A3619" s="67">
        <v>46101</v>
      </c>
      <c r="B3619" s="60" t="s">
        <v>330</v>
      </c>
      <c r="C3619" s="64">
        <v>26032</v>
      </c>
      <c r="D3619" s="64"/>
      <c r="E3619" s="60" t="s">
        <v>33</v>
      </c>
    </row>
    <row r="3620" spans="1:5" ht="15" customHeight="1">
      <c r="A3620" s="67">
        <v>46104</v>
      </c>
      <c r="B3620" s="60" t="s">
        <v>330</v>
      </c>
      <c r="C3620" s="64">
        <v>26036</v>
      </c>
      <c r="D3620" s="64"/>
      <c r="E3620" s="60" t="s">
        <v>33</v>
      </c>
    </row>
    <row r="3621" spans="1:5" ht="15" customHeight="1">
      <c r="A3621" s="67">
        <v>46105</v>
      </c>
      <c r="B3621" s="60" t="s">
        <v>330</v>
      </c>
      <c r="C3621" s="64">
        <v>26043</v>
      </c>
      <c r="D3621" s="64"/>
      <c r="E3621" s="60" t="s">
        <v>33</v>
      </c>
    </row>
    <row r="3622" spans="1:5" ht="15" customHeight="1">
      <c r="A3622" s="67">
        <v>46106</v>
      </c>
      <c r="B3622" s="60" t="s">
        <v>330</v>
      </c>
      <c r="C3622" s="64">
        <v>26049</v>
      </c>
      <c r="D3622" s="64"/>
      <c r="E3622" s="60" t="s">
        <v>33</v>
      </c>
    </row>
    <row r="3623" spans="1:5" ht="15" customHeight="1">
      <c r="A3623" s="67">
        <v>46107</v>
      </c>
      <c r="B3623" s="60" t="s">
        <v>330</v>
      </c>
      <c r="C3623" s="64">
        <v>26059</v>
      </c>
      <c r="D3623" s="64"/>
      <c r="E3623" s="60" t="s">
        <v>33</v>
      </c>
    </row>
    <row r="3624" spans="1:5" ht="15" customHeight="1">
      <c r="A3624" s="67">
        <v>46104</v>
      </c>
      <c r="B3624" s="60" t="s">
        <v>339</v>
      </c>
      <c r="C3624" s="64">
        <v>1965</v>
      </c>
      <c r="D3624" s="64"/>
      <c r="E3624" s="60" t="s">
        <v>84</v>
      </c>
    </row>
    <row r="3625" spans="1:5" ht="15" customHeight="1">
      <c r="A3625" s="67">
        <v>46101</v>
      </c>
      <c r="B3625" s="60" t="s">
        <v>354</v>
      </c>
      <c r="C3625" s="64">
        <v>7046</v>
      </c>
      <c r="D3625" s="64"/>
      <c r="E3625" s="60" t="s">
        <v>33</v>
      </c>
    </row>
    <row r="3626" spans="1:5" ht="15" customHeight="1">
      <c r="A3626" s="67">
        <v>46104</v>
      </c>
      <c r="B3626" s="60" t="s">
        <v>354</v>
      </c>
      <c r="C3626" s="64">
        <v>8293</v>
      </c>
      <c r="D3626" s="64"/>
      <c r="E3626" s="60" t="s">
        <v>84</v>
      </c>
    </row>
    <row r="3627" spans="1:5" ht="15" customHeight="1">
      <c r="A3627" s="67">
        <v>46105</v>
      </c>
      <c r="B3627" s="60" t="s">
        <v>354</v>
      </c>
      <c r="C3627" s="64">
        <v>7054</v>
      </c>
      <c r="D3627" s="64"/>
      <c r="E3627" s="60" t="s">
        <v>33</v>
      </c>
    </row>
    <row r="3628" spans="1:5" ht="15" customHeight="1">
      <c r="A3628" s="67">
        <v>46099</v>
      </c>
      <c r="B3628" s="60" t="s">
        <v>356</v>
      </c>
      <c r="C3628" s="64">
        <v>15634</v>
      </c>
      <c r="D3628" s="64"/>
      <c r="E3628" s="60" t="s">
        <v>33</v>
      </c>
    </row>
    <row r="3629" spans="1:5" ht="15" customHeight="1">
      <c r="A3629" s="67">
        <v>46101</v>
      </c>
      <c r="B3629" s="60" t="s">
        <v>356</v>
      </c>
      <c r="C3629" s="64">
        <v>15644</v>
      </c>
      <c r="D3629" s="64"/>
      <c r="E3629" s="60" t="s">
        <v>33</v>
      </c>
    </row>
    <row r="3630" spans="1:5" ht="15" customHeight="1">
      <c r="A3630" s="67">
        <v>46105</v>
      </c>
      <c r="B3630" s="60" t="s">
        <v>356</v>
      </c>
      <c r="C3630" s="64">
        <v>15652</v>
      </c>
      <c r="D3630" s="64"/>
      <c r="E3630" s="60" t="s">
        <v>33</v>
      </c>
    </row>
    <row r="3631" spans="1:5" ht="15" customHeight="1">
      <c r="A3631" s="67">
        <v>46107</v>
      </c>
      <c r="B3631" s="60" t="s">
        <v>356</v>
      </c>
      <c r="C3631" s="64">
        <v>15666</v>
      </c>
      <c r="D3631" s="64"/>
      <c r="E3631" s="60" t="s">
        <v>33</v>
      </c>
    </row>
    <row r="3632" spans="1:5" ht="15" customHeight="1">
      <c r="A3632" s="67">
        <v>46100</v>
      </c>
      <c r="B3632" s="60" t="s">
        <v>359</v>
      </c>
      <c r="C3632" s="64">
        <v>13660</v>
      </c>
      <c r="D3632" s="64"/>
      <c r="E3632" s="60" t="s">
        <v>30</v>
      </c>
    </row>
    <row r="3633" spans="1:5" ht="15" customHeight="1">
      <c r="A3633" s="67">
        <v>46107</v>
      </c>
      <c r="B3633" s="60" t="s">
        <v>359</v>
      </c>
      <c r="C3633" s="64">
        <v>6537</v>
      </c>
      <c r="D3633" s="64"/>
      <c r="E3633" s="60" t="s">
        <v>30</v>
      </c>
    </row>
    <row r="3634" spans="1:5" ht="15" customHeight="1">
      <c r="A3634" s="67">
        <v>46099</v>
      </c>
      <c r="B3634" s="60" t="s">
        <v>364</v>
      </c>
      <c r="C3634" s="64">
        <v>16871</v>
      </c>
      <c r="D3634" s="64"/>
      <c r="E3634" s="60" t="s">
        <v>33</v>
      </c>
    </row>
    <row r="3635" spans="1:5" ht="15" customHeight="1">
      <c r="A3635" s="67">
        <v>46107</v>
      </c>
      <c r="B3635" s="60" t="s">
        <v>364</v>
      </c>
      <c r="C3635" s="64">
        <v>16889</v>
      </c>
      <c r="E3635" s="60" t="s">
        <v>33</v>
      </c>
    </row>
    <row r="3636" spans="1:5" ht="15" customHeight="1">
      <c r="A3636" s="67">
        <v>46100</v>
      </c>
      <c r="B3636" s="60" t="s">
        <v>365</v>
      </c>
      <c r="C3636" s="64">
        <v>48472</v>
      </c>
      <c r="D3636" s="64"/>
      <c r="E3636" s="60" t="s">
        <v>30</v>
      </c>
    </row>
    <row r="3637" spans="1:5" ht="15" customHeight="1">
      <c r="A3637" s="67">
        <v>46104</v>
      </c>
      <c r="B3637" s="60" t="s">
        <v>365</v>
      </c>
      <c r="C3637" s="64">
        <v>4854</v>
      </c>
      <c r="D3637" s="64"/>
      <c r="E3637" s="60" t="s">
        <v>30</v>
      </c>
    </row>
    <row r="3638" spans="1:5" ht="15" customHeight="1">
      <c r="A3638" s="67">
        <v>46106</v>
      </c>
      <c r="B3638" s="60" t="s">
        <v>365</v>
      </c>
      <c r="C3638" s="64">
        <v>48566</v>
      </c>
      <c r="D3638" s="64"/>
      <c r="E3638" s="60" t="s">
        <v>30</v>
      </c>
    </row>
    <row r="3639" spans="1:5" ht="15" customHeight="1">
      <c r="A3639" s="67">
        <v>46107</v>
      </c>
      <c r="B3639" s="60" t="s">
        <v>365</v>
      </c>
      <c r="C3639" s="64">
        <v>48615</v>
      </c>
      <c r="D3639" s="64"/>
      <c r="E3639" s="60" t="s">
        <v>30</v>
      </c>
    </row>
    <row r="3640" spans="1:5" ht="15" customHeight="1">
      <c r="A3640" s="67">
        <v>46111</v>
      </c>
      <c r="B3640" s="60" t="s">
        <v>365</v>
      </c>
      <c r="C3640" s="64">
        <v>48716</v>
      </c>
      <c r="D3640" s="64"/>
      <c r="E3640" s="60" t="s">
        <v>30</v>
      </c>
    </row>
    <row r="3641" spans="1:5" ht="15" customHeight="1">
      <c r="A3641" s="67">
        <v>46113</v>
      </c>
      <c r="B3641" s="60" t="s">
        <v>365</v>
      </c>
      <c r="C3641" s="64">
        <v>48</v>
      </c>
      <c r="D3641" s="64"/>
      <c r="E3641" s="60" t="s">
        <v>30</v>
      </c>
    </row>
    <row r="3642" spans="1:5" ht="15" customHeight="1">
      <c r="A3642" s="67">
        <v>46099</v>
      </c>
      <c r="B3642" s="60" t="s">
        <v>378</v>
      </c>
      <c r="C3642" s="64">
        <v>3745</v>
      </c>
      <c r="D3642" s="64"/>
      <c r="E3642" s="60" t="s">
        <v>33</v>
      </c>
    </row>
    <row r="3643" spans="1:5" ht="15" customHeight="1">
      <c r="A3643" s="67">
        <v>46105</v>
      </c>
      <c r="B3643" s="60" t="s">
        <v>378</v>
      </c>
      <c r="C3643" s="64">
        <v>3763</v>
      </c>
      <c r="D3643" s="64"/>
      <c r="E3643" s="60" t="s">
        <v>33</v>
      </c>
    </row>
    <row r="3644" spans="1:5" ht="15" customHeight="1">
      <c r="A3644" s="67">
        <v>46107</v>
      </c>
      <c r="B3644" s="60" t="s">
        <v>378</v>
      </c>
      <c r="C3644" s="64">
        <v>3774</v>
      </c>
      <c r="D3644" s="64"/>
      <c r="E3644" s="60" t="s">
        <v>33</v>
      </c>
    </row>
    <row r="3645" spans="1:5" ht="15" customHeight="1">
      <c r="A3645" s="67">
        <v>46098</v>
      </c>
      <c r="B3645" s="60" t="s">
        <v>379</v>
      </c>
      <c r="C3645" s="64">
        <v>3543</v>
      </c>
      <c r="D3645" s="64"/>
      <c r="E3645" s="60" t="s">
        <v>84</v>
      </c>
    </row>
    <row r="3646" spans="1:5" ht="15" customHeight="1">
      <c r="A3646" s="67">
        <v>46112</v>
      </c>
      <c r="B3646" s="60" t="s">
        <v>379</v>
      </c>
      <c r="C3646" s="64">
        <v>3558</v>
      </c>
      <c r="D3646" s="64"/>
      <c r="E3646" s="60" t="s">
        <v>84</v>
      </c>
    </row>
    <row r="3647" spans="1:5" ht="15" customHeight="1">
      <c r="A3647" s="67">
        <v>46101</v>
      </c>
      <c r="B3647" s="60" t="s">
        <v>387</v>
      </c>
      <c r="C3647" s="64">
        <v>17312</v>
      </c>
      <c r="D3647" s="64"/>
      <c r="E3647" s="60" t="s">
        <v>30</v>
      </c>
    </row>
    <row r="3648" spans="1:5" ht="15" customHeight="1">
      <c r="A3648" s="67">
        <v>46105</v>
      </c>
      <c r="B3648" s="60" t="s">
        <v>387</v>
      </c>
      <c r="C3648" s="64">
        <v>17322</v>
      </c>
      <c r="D3648" s="64"/>
      <c r="E3648" s="60" t="s">
        <v>30</v>
      </c>
    </row>
    <row r="3649" spans="1:5" ht="15" customHeight="1">
      <c r="A3649" s="67">
        <v>46108</v>
      </c>
      <c r="B3649" s="60" t="s">
        <v>387</v>
      </c>
      <c r="C3649" s="64">
        <v>17337</v>
      </c>
      <c r="D3649" s="64"/>
      <c r="E3649" s="60" t="s">
        <v>30</v>
      </c>
    </row>
    <row r="3650" spans="1:5" ht="15" customHeight="1">
      <c r="A3650" s="67">
        <v>46114</v>
      </c>
      <c r="B3650" s="60" t="s">
        <v>387</v>
      </c>
      <c r="C3650" s="64">
        <v>17345</v>
      </c>
      <c r="D3650" s="64"/>
      <c r="E3650" s="60" t="s">
        <v>30</v>
      </c>
    </row>
    <row r="3651" spans="1:5" ht="15" customHeight="1">
      <c r="A3651" s="67">
        <v>46098</v>
      </c>
      <c r="B3651" s="60" t="s">
        <v>393</v>
      </c>
      <c r="C3651" s="64">
        <v>7678</v>
      </c>
      <c r="D3651" s="64"/>
      <c r="E3651" s="60" t="s">
        <v>30</v>
      </c>
    </row>
    <row r="3652" spans="1:5" ht="15" customHeight="1">
      <c r="A3652" s="67">
        <v>46104</v>
      </c>
      <c r="B3652" s="60" t="s">
        <v>393</v>
      </c>
      <c r="C3652" s="64">
        <v>52</v>
      </c>
      <c r="D3652" s="64"/>
      <c r="E3652" s="60" t="s">
        <v>30</v>
      </c>
    </row>
    <row r="3653" spans="1:5" ht="15" customHeight="1">
      <c r="A3653" s="67">
        <v>46106</v>
      </c>
      <c r="B3653" s="60" t="s">
        <v>393</v>
      </c>
      <c r="C3653" s="64">
        <v>65</v>
      </c>
      <c r="D3653" s="64"/>
      <c r="E3653" s="60" t="s">
        <v>30</v>
      </c>
    </row>
    <row r="3654" spans="1:5" ht="15" customHeight="1">
      <c r="A3654" s="67">
        <v>46111</v>
      </c>
      <c r="B3654" s="60" t="s">
        <v>393</v>
      </c>
      <c r="C3654" s="64">
        <v>75</v>
      </c>
      <c r="D3654" s="64"/>
      <c r="E3654" s="60" t="s">
        <v>30</v>
      </c>
    </row>
    <row r="3655" spans="1:5" ht="15" customHeight="1">
      <c r="A3655" s="67">
        <v>46113</v>
      </c>
      <c r="B3655" s="60" t="s">
        <v>393</v>
      </c>
      <c r="C3655" s="64">
        <v>91</v>
      </c>
      <c r="D3655" s="64"/>
      <c r="E3655" s="60" t="s">
        <v>30</v>
      </c>
    </row>
    <row r="3656" spans="1:5" ht="15" customHeight="1">
      <c r="A3656" s="67">
        <v>46098</v>
      </c>
      <c r="B3656" s="60" t="s">
        <v>396</v>
      </c>
      <c r="C3656" s="64"/>
      <c r="D3656" s="64">
        <v>8622</v>
      </c>
      <c r="E3656" s="60" t="s">
        <v>33</v>
      </c>
    </row>
    <row r="3657" spans="1:5" ht="15" customHeight="1">
      <c r="A3657" s="67">
        <v>46100</v>
      </c>
      <c r="B3657" s="60" t="s">
        <v>396</v>
      </c>
      <c r="C3657" s="64">
        <v>8632</v>
      </c>
      <c r="D3657" s="64"/>
      <c r="E3657" s="60" t="s">
        <v>33</v>
      </c>
    </row>
    <row r="3658" spans="1:5" ht="15" customHeight="1">
      <c r="A3658" s="67">
        <v>46104</v>
      </c>
      <c r="B3658" s="60" t="s">
        <v>396</v>
      </c>
      <c r="C3658" s="64">
        <v>8642</v>
      </c>
      <c r="D3658" s="64"/>
      <c r="E3658" s="60" t="s">
        <v>33</v>
      </c>
    </row>
    <row r="3659" spans="1:5" ht="15" customHeight="1">
      <c r="A3659" s="67">
        <v>46105</v>
      </c>
      <c r="B3659" s="60" t="s">
        <v>396</v>
      </c>
      <c r="C3659" s="64">
        <v>8647</v>
      </c>
      <c r="D3659" s="64"/>
      <c r="E3659" s="60" t="s">
        <v>33</v>
      </c>
    </row>
    <row r="3660" spans="1:5" ht="15" customHeight="1">
      <c r="A3660" s="67">
        <v>46107</v>
      </c>
      <c r="B3660" s="60" t="s">
        <v>396</v>
      </c>
      <c r="C3660" s="64">
        <v>8660</v>
      </c>
      <c r="D3660" s="64"/>
      <c r="E3660" s="60" t="s">
        <v>33</v>
      </c>
    </row>
    <row r="3661" spans="1:5" ht="15" customHeight="1">
      <c r="A3661" s="67">
        <v>46098</v>
      </c>
      <c r="B3661" s="60" t="s">
        <v>405</v>
      </c>
      <c r="C3661" s="64">
        <v>12756</v>
      </c>
      <c r="D3661" s="64"/>
      <c r="E3661" s="60" t="s">
        <v>272</v>
      </c>
    </row>
    <row r="3662" spans="1:5" ht="15" customHeight="1">
      <c r="A3662" s="67">
        <v>46099</v>
      </c>
      <c r="B3662" s="60" t="s">
        <v>405</v>
      </c>
      <c r="C3662" s="64">
        <v>12760</v>
      </c>
      <c r="D3662" s="64"/>
      <c r="E3662" s="60" t="s">
        <v>272</v>
      </c>
    </row>
    <row r="3663" spans="1:5" ht="15" customHeight="1">
      <c r="A3663" s="67">
        <v>46108</v>
      </c>
      <c r="B3663" s="60" t="s">
        <v>405</v>
      </c>
      <c r="C3663" s="64">
        <v>12798</v>
      </c>
      <c r="D3663" s="64"/>
      <c r="E3663" s="60" t="s">
        <v>272</v>
      </c>
    </row>
    <row r="3664" spans="1:5" ht="15" customHeight="1">
      <c r="A3664" s="67">
        <v>46111</v>
      </c>
      <c r="B3664" s="60" t="s">
        <v>405</v>
      </c>
      <c r="C3664" s="64">
        <v>12802</v>
      </c>
      <c r="D3664" s="64"/>
      <c r="E3664" s="60" t="s">
        <v>272</v>
      </c>
    </row>
    <row r="3665" spans="1:5" ht="15" customHeight="1">
      <c r="A3665" s="67">
        <v>46099</v>
      </c>
      <c r="B3665" s="60" t="s">
        <v>408</v>
      </c>
      <c r="C3665" s="64">
        <v>4441</v>
      </c>
      <c r="D3665" s="64"/>
      <c r="E3665" s="60" t="s">
        <v>33</v>
      </c>
    </row>
    <row r="3666" spans="1:5" ht="15" customHeight="1">
      <c r="A3666" s="67">
        <v>46101</v>
      </c>
      <c r="B3666" s="60" t="s">
        <v>408</v>
      </c>
      <c r="C3666" s="64">
        <v>4450</v>
      </c>
      <c r="D3666" s="64"/>
      <c r="E3666" s="60" t="s">
        <v>33</v>
      </c>
    </row>
    <row r="3667" spans="1:5" ht="15" customHeight="1">
      <c r="A3667" s="67">
        <v>46105</v>
      </c>
      <c r="B3667" s="60" t="s">
        <v>408</v>
      </c>
      <c r="C3667" s="64">
        <v>4459</v>
      </c>
      <c r="D3667" s="64"/>
      <c r="E3667" s="60" t="s">
        <v>33</v>
      </c>
    </row>
    <row r="3668" spans="1:5" ht="15" customHeight="1">
      <c r="A3668" s="67">
        <v>46107</v>
      </c>
      <c r="B3668" s="60" t="s">
        <v>408</v>
      </c>
      <c r="C3668" s="64">
        <v>4470</v>
      </c>
      <c r="D3668" s="64"/>
      <c r="E3668" s="60" t="s">
        <v>33</v>
      </c>
    </row>
    <row r="3669" spans="1:5" ht="15" customHeight="1">
      <c r="A3669" s="67">
        <v>46099</v>
      </c>
      <c r="B3669" s="60" t="s">
        <v>414</v>
      </c>
      <c r="C3669" s="64">
        <v>10326</v>
      </c>
      <c r="D3669" s="64"/>
      <c r="E3669" s="60" t="s">
        <v>33</v>
      </c>
    </row>
    <row r="3670" spans="1:5" ht="15" customHeight="1">
      <c r="A3670" s="67">
        <v>46100</v>
      </c>
      <c r="B3670" s="60" t="s">
        <v>414</v>
      </c>
      <c r="C3670" s="64">
        <v>10335</v>
      </c>
      <c r="D3670" s="64"/>
      <c r="E3670" s="60" t="s">
        <v>33</v>
      </c>
    </row>
    <row r="3671" spans="1:5" ht="15" customHeight="1">
      <c r="A3671" s="67">
        <v>46101</v>
      </c>
      <c r="B3671" s="60" t="s">
        <v>414</v>
      </c>
      <c r="C3671" s="64">
        <v>10339</v>
      </c>
      <c r="D3671" s="64"/>
      <c r="E3671" s="60" t="s">
        <v>33</v>
      </c>
    </row>
    <row r="3672" spans="1:5" ht="15" customHeight="1">
      <c r="A3672" s="67">
        <v>46104</v>
      </c>
      <c r="B3672" s="60" t="s">
        <v>414</v>
      </c>
      <c r="C3672" s="64">
        <v>10342</v>
      </c>
      <c r="D3672" s="64"/>
      <c r="E3672" s="60" t="s">
        <v>33</v>
      </c>
    </row>
    <row r="3673" spans="1:5" ht="15" customHeight="1">
      <c r="A3673" s="67">
        <v>46105</v>
      </c>
      <c r="B3673" s="60" t="s">
        <v>414</v>
      </c>
      <c r="C3673" s="64">
        <v>10350</v>
      </c>
      <c r="D3673" s="64"/>
      <c r="E3673" s="60" t="s">
        <v>33</v>
      </c>
    </row>
    <row r="3674" spans="1:5" ht="15" customHeight="1">
      <c r="A3674" s="67">
        <v>46106</v>
      </c>
      <c r="B3674" s="60" t="s">
        <v>414</v>
      </c>
      <c r="C3674" s="64">
        <v>10358</v>
      </c>
      <c r="D3674" s="64"/>
      <c r="E3674" s="60" t="s">
        <v>33</v>
      </c>
    </row>
    <row r="3675" spans="1:5" ht="15" customHeight="1">
      <c r="A3675" s="67">
        <v>46112</v>
      </c>
      <c r="B3675" s="60" t="s">
        <v>417</v>
      </c>
      <c r="C3675" s="64">
        <v>8376</v>
      </c>
      <c r="D3675" s="64"/>
      <c r="E3675" s="60" t="s">
        <v>300</v>
      </c>
    </row>
    <row r="3676" spans="1:5" ht="15" customHeight="1">
      <c r="A3676" s="67">
        <v>46115</v>
      </c>
      <c r="B3676" s="60" t="s">
        <v>417</v>
      </c>
      <c r="C3676" s="64">
        <v>8264</v>
      </c>
      <c r="D3676" s="64"/>
      <c r="E3676" s="60" t="s">
        <v>300</v>
      </c>
    </row>
    <row r="3677" spans="1:5" ht="15" customHeight="1">
      <c r="A3677" s="67">
        <v>46098</v>
      </c>
      <c r="B3677" s="60" t="s">
        <v>420</v>
      </c>
      <c r="C3677" s="64">
        <v>5695</v>
      </c>
      <c r="D3677" s="64"/>
      <c r="E3677" s="60" t="s">
        <v>300</v>
      </c>
    </row>
    <row r="3678" spans="1:5" ht="15" customHeight="1">
      <c r="A3678" s="67">
        <v>46098</v>
      </c>
      <c r="B3678" s="60" t="s">
        <v>424</v>
      </c>
      <c r="C3678" s="64">
        <v>562</v>
      </c>
      <c r="D3678" s="64"/>
      <c r="E3678" s="60" t="s">
        <v>84</v>
      </c>
    </row>
    <row r="3679" spans="1:5" ht="15" customHeight="1">
      <c r="A3679" s="67">
        <v>46106</v>
      </c>
      <c r="B3679" s="60" t="s">
        <v>424</v>
      </c>
      <c r="C3679" s="64">
        <v>568</v>
      </c>
      <c r="D3679" s="64"/>
      <c r="E3679" s="60" t="s">
        <v>84</v>
      </c>
    </row>
    <row r="3680" spans="1:5" ht="15" customHeight="1">
      <c r="A3680" s="67">
        <v>46112</v>
      </c>
      <c r="B3680" s="60" t="s">
        <v>424</v>
      </c>
      <c r="C3680" s="64">
        <v>580</v>
      </c>
      <c r="D3680" s="64"/>
      <c r="E3680" s="60" t="s">
        <v>84</v>
      </c>
    </row>
    <row r="3681" spans="1:5" ht="15" customHeight="1">
      <c r="A3681" s="67">
        <v>46100</v>
      </c>
      <c r="B3681" s="60" t="s">
        <v>430</v>
      </c>
      <c r="C3681" s="64">
        <v>6510</v>
      </c>
      <c r="D3681" s="64"/>
      <c r="E3681" s="60" t="s">
        <v>30</v>
      </c>
    </row>
    <row r="3682" spans="1:5" ht="15" customHeight="1">
      <c r="A3682" s="67">
        <v>46104</v>
      </c>
      <c r="B3682" s="60" t="s">
        <v>430</v>
      </c>
      <c r="C3682" s="64">
        <v>6530</v>
      </c>
      <c r="D3682" s="64"/>
      <c r="E3682" s="60" t="s">
        <v>30</v>
      </c>
    </row>
    <row r="3683" spans="1:5" ht="15" customHeight="1">
      <c r="A3683" s="67">
        <v>46106</v>
      </c>
      <c r="B3683" s="60" t="s">
        <v>430</v>
      </c>
      <c r="C3683" s="64">
        <v>6529</v>
      </c>
      <c r="D3683" s="64"/>
      <c r="E3683" s="60" t="s">
        <v>30</v>
      </c>
    </row>
    <row r="3684" spans="1:5" ht="15" customHeight="1">
      <c r="A3684" s="67">
        <v>46113</v>
      </c>
      <c r="B3684" s="60" t="s">
        <v>430</v>
      </c>
      <c r="C3684" s="64">
        <v>6553</v>
      </c>
      <c r="D3684" s="64"/>
      <c r="E3684" s="60" t="s">
        <v>30</v>
      </c>
    </row>
    <row r="3685" spans="1:5" ht="15" customHeight="1">
      <c r="A3685" s="67">
        <v>46098</v>
      </c>
      <c r="B3685" s="60" t="s">
        <v>431</v>
      </c>
      <c r="C3685" s="64">
        <v>10101</v>
      </c>
      <c r="D3685" s="64"/>
      <c r="E3685" s="60" t="s">
        <v>300</v>
      </c>
    </row>
    <row r="3686" spans="1:5" ht="15" customHeight="1">
      <c r="A3686" s="67">
        <v>46099</v>
      </c>
      <c r="B3686" s="60" t="s">
        <v>440</v>
      </c>
      <c r="C3686" s="64">
        <v>2028</v>
      </c>
      <c r="D3686" s="64"/>
      <c r="E3686" s="60" t="s">
        <v>33</v>
      </c>
    </row>
    <row r="3687" spans="1:5" ht="15" customHeight="1">
      <c r="A3687" s="67">
        <v>46101</v>
      </c>
      <c r="B3687" s="60" t="s">
        <v>440</v>
      </c>
      <c r="C3687" s="64">
        <v>2037</v>
      </c>
      <c r="D3687" s="64"/>
      <c r="E3687" s="60" t="s">
        <v>33</v>
      </c>
    </row>
    <row r="3688" spans="1:5" ht="15" customHeight="1">
      <c r="A3688" s="67">
        <v>46105</v>
      </c>
      <c r="B3688" s="60" t="s">
        <v>440</v>
      </c>
      <c r="C3688" s="64">
        <v>2044</v>
      </c>
      <c r="D3688" s="64"/>
      <c r="E3688" s="60" t="s">
        <v>33</v>
      </c>
    </row>
    <row r="3689" spans="1:5" ht="15" customHeight="1">
      <c r="A3689" s="67">
        <v>46107</v>
      </c>
      <c r="B3689" s="60" t="s">
        <v>440</v>
      </c>
      <c r="C3689" s="64">
        <v>2054</v>
      </c>
      <c r="D3689" s="64"/>
      <c r="E3689" s="60" t="s">
        <v>33</v>
      </c>
    </row>
    <row r="3690" spans="1:5" ht="15" customHeight="1">
      <c r="A3690" s="67">
        <v>46099</v>
      </c>
      <c r="B3690" s="60" t="s">
        <v>443</v>
      </c>
      <c r="C3690" s="64">
        <v>2354</v>
      </c>
      <c r="D3690" s="64"/>
      <c r="E3690" s="60" t="s">
        <v>272</v>
      </c>
    </row>
    <row r="3691" spans="1:5" ht="15" customHeight="1">
      <c r="A3691" s="67">
        <v>46101</v>
      </c>
      <c r="B3691" s="60" t="s">
        <v>443</v>
      </c>
      <c r="C3691" s="64">
        <v>2363</v>
      </c>
      <c r="D3691" s="64"/>
      <c r="E3691" s="60" t="s">
        <v>272</v>
      </c>
    </row>
    <row r="3692" spans="1:5" ht="15" customHeight="1">
      <c r="A3692" s="67">
        <v>46111</v>
      </c>
      <c r="B3692" s="60" t="s">
        <v>443</v>
      </c>
      <c r="C3692" s="64">
        <v>2396</v>
      </c>
      <c r="D3692" s="64"/>
      <c r="E3692" s="60" t="s">
        <v>272</v>
      </c>
    </row>
    <row r="3693" spans="1:5" ht="15" customHeight="1">
      <c r="A3693" s="67">
        <v>46098</v>
      </c>
      <c r="B3693" s="60" t="s">
        <v>447</v>
      </c>
      <c r="C3693" s="64">
        <v>1735</v>
      </c>
      <c r="D3693" s="64"/>
      <c r="E3693" s="60" t="s">
        <v>300</v>
      </c>
    </row>
    <row r="3694" spans="1:5" ht="15" customHeight="1">
      <c r="A3694" s="67">
        <v>46099</v>
      </c>
      <c r="B3694" s="60" t="s">
        <v>449</v>
      </c>
      <c r="C3694" s="64">
        <v>1766</v>
      </c>
      <c r="D3694" s="64"/>
      <c r="E3694" s="60" t="s">
        <v>84</v>
      </c>
    </row>
    <row r="3695" spans="1:5" ht="15" customHeight="1">
      <c r="A3695" s="67">
        <v>46104</v>
      </c>
      <c r="B3695" s="60" t="s">
        <v>449</v>
      </c>
      <c r="C3695" s="64">
        <v>1775</v>
      </c>
      <c r="D3695" s="64"/>
      <c r="E3695" s="60" t="s">
        <v>84</v>
      </c>
    </row>
    <row r="3696" spans="1:5" ht="15" customHeight="1">
      <c r="A3696" s="67">
        <v>46106</v>
      </c>
      <c r="B3696" s="60" t="s">
        <v>449</v>
      </c>
      <c r="C3696" s="64">
        <v>1781</v>
      </c>
      <c r="D3696" s="64"/>
      <c r="E3696" s="60" t="s">
        <v>84</v>
      </c>
    </row>
    <row r="3697" spans="1:5" ht="15" customHeight="1">
      <c r="A3697" s="67">
        <v>46108</v>
      </c>
      <c r="B3697" s="60" t="s">
        <v>449</v>
      </c>
      <c r="C3697" s="64">
        <v>1794</v>
      </c>
      <c r="D3697" s="64"/>
      <c r="E3697" s="60" t="s">
        <v>84</v>
      </c>
    </row>
    <row r="3698" spans="1:5" ht="15" customHeight="1">
      <c r="A3698" s="67">
        <v>46112</v>
      </c>
      <c r="B3698" s="60" t="s">
        <v>449</v>
      </c>
      <c r="C3698" s="64">
        <v>1804</v>
      </c>
      <c r="D3698" s="64"/>
      <c r="E3698" s="60" t="s">
        <v>84</v>
      </c>
    </row>
    <row r="3699" spans="1:5" ht="15" customHeight="1">
      <c r="A3699" s="67">
        <v>46104</v>
      </c>
      <c r="B3699" s="60" t="s">
        <v>451</v>
      </c>
      <c r="C3699" s="64">
        <v>1950</v>
      </c>
      <c r="D3699" s="64"/>
      <c r="E3699" s="60" t="s">
        <v>84</v>
      </c>
    </row>
    <row r="3700" spans="1:5" ht="15" customHeight="1">
      <c r="A3700" s="67">
        <v>46099</v>
      </c>
      <c r="B3700" s="60" t="s">
        <v>456</v>
      </c>
      <c r="C3700" s="64">
        <v>2441</v>
      </c>
      <c r="D3700" s="64"/>
      <c r="E3700" s="60" t="s">
        <v>33</v>
      </c>
    </row>
    <row r="3701" spans="1:5" ht="15" customHeight="1">
      <c r="A3701" s="67">
        <v>46100</v>
      </c>
      <c r="B3701" s="60" t="s">
        <v>456</v>
      </c>
      <c r="C3701" s="64">
        <v>2246</v>
      </c>
      <c r="D3701" s="64"/>
      <c r="E3701" s="60" t="s">
        <v>33</v>
      </c>
    </row>
    <row r="3702" spans="1:5" ht="15" customHeight="1">
      <c r="A3702" s="67">
        <v>46101</v>
      </c>
      <c r="B3702" s="60" t="s">
        <v>456</v>
      </c>
      <c r="C3702" s="64">
        <v>2255</v>
      </c>
      <c r="D3702" s="64"/>
      <c r="E3702" s="60" t="s">
        <v>33</v>
      </c>
    </row>
    <row r="3703" spans="1:5" ht="15" customHeight="1">
      <c r="A3703" s="67">
        <v>46104</v>
      </c>
      <c r="B3703" s="60" t="s">
        <v>456</v>
      </c>
      <c r="C3703" s="64">
        <v>2259</v>
      </c>
      <c r="D3703" s="64"/>
      <c r="E3703" s="60" t="s">
        <v>33</v>
      </c>
    </row>
    <row r="3704" spans="1:5" ht="15" customHeight="1">
      <c r="A3704" s="67">
        <v>46105</v>
      </c>
      <c r="B3704" s="60" t="s">
        <v>456</v>
      </c>
      <c r="C3704" s="64">
        <v>2267</v>
      </c>
      <c r="D3704" s="64"/>
      <c r="E3704" s="60" t="s">
        <v>33</v>
      </c>
    </row>
    <row r="3705" spans="1:5" ht="15" customHeight="1">
      <c r="A3705" s="67">
        <v>46106</v>
      </c>
      <c r="B3705" s="60" t="s">
        <v>456</v>
      </c>
      <c r="C3705" s="64">
        <v>2274</v>
      </c>
      <c r="D3705" s="64"/>
      <c r="E3705" s="60" t="s">
        <v>33</v>
      </c>
    </row>
    <row r="3706" spans="1:5" ht="15" customHeight="1">
      <c r="A3706" s="67">
        <v>46107</v>
      </c>
      <c r="B3706" s="60" t="s">
        <v>456</v>
      </c>
      <c r="C3706" s="64">
        <v>2285</v>
      </c>
      <c r="D3706" s="64"/>
      <c r="E3706" s="60" t="s">
        <v>33</v>
      </c>
    </row>
    <row r="3707" spans="1:5" ht="15" customHeight="1">
      <c r="A3707" s="67">
        <v>46099</v>
      </c>
      <c r="B3707" s="60" t="s">
        <v>458</v>
      </c>
      <c r="C3707" s="64"/>
      <c r="D3707" s="64">
        <v>96863</v>
      </c>
      <c r="E3707" s="60" t="s">
        <v>300</v>
      </c>
    </row>
    <row r="3708" spans="1:5" ht="15" customHeight="1">
      <c r="A3708" s="67">
        <v>46098</v>
      </c>
      <c r="B3708" s="60" t="s">
        <v>469</v>
      </c>
      <c r="C3708" s="64"/>
      <c r="D3708" s="64">
        <v>72914</v>
      </c>
      <c r="E3708" s="60" t="s">
        <v>101</v>
      </c>
    </row>
    <row r="3709" spans="1:5" ht="15" customHeight="1">
      <c r="A3709" s="67">
        <v>46099</v>
      </c>
      <c r="B3709" s="60" t="s">
        <v>469</v>
      </c>
      <c r="C3709" s="64"/>
      <c r="D3709" s="64">
        <v>73362</v>
      </c>
      <c r="E3709" s="60" t="s">
        <v>33</v>
      </c>
    </row>
    <row r="3710" spans="1:5" ht="15" customHeight="1">
      <c r="A3710" s="67">
        <v>46100</v>
      </c>
      <c r="B3710" s="60" t="s">
        <v>469</v>
      </c>
      <c r="C3710" s="64"/>
      <c r="D3710" s="64">
        <v>73803</v>
      </c>
      <c r="E3710" s="60" t="s">
        <v>101</v>
      </c>
    </row>
    <row r="3711" spans="1:5" ht="15" customHeight="1">
      <c r="A3711" s="67">
        <v>46105</v>
      </c>
      <c r="B3711" s="60" t="s">
        <v>481</v>
      </c>
      <c r="C3711" s="64"/>
      <c r="D3711" s="64">
        <v>78946</v>
      </c>
      <c r="E3711" s="60" t="s">
        <v>101</v>
      </c>
    </row>
    <row r="3712" spans="1:5" ht="15" customHeight="1">
      <c r="A3712" s="67">
        <v>46098</v>
      </c>
      <c r="B3712" s="60" t="s">
        <v>485</v>
      </c>
      <c r="C3712" s="64"/>
      <c r="D3712" s="64">
        <v>84571</v>
      </c>
      <c r="E3712" s="60" t="s">
        <v>33</v>
      </c>
    </row>
    <row r="3713" spans="1:5" ht="15" customHeight="1">
      <c r="A3713" s="67">
        <v>46108</v>
      </c>
      <c r="B3713" s="60" t="s">
        <v>485</v>
      </c>
      <c r="C3713" s="64"/>
      <c r="D3713" s="64">
        <v>86162</v>
      </c>
      <c r="E3713" s="60" t="s">
        <v>101</v>
      </c>
    </row>
    <row r="3714" spans="1:5" ht="15" customHeight="1">
      <c r="A3714" s="67">
        <v>46114</v>
      </c>
      <c r="B3714" s="60" t="s">
        <v>485</v>
      </c>
      <c r="C3714" s="64"/>
      <c r="D3714" s="64">
        <v>88308</v>
      </c>
      <c r="E3714" s="60" t="s">
        <v>101</v>
      </c>
    </row>
    <row r="3715" spans="1:5" ht="15" customHeight="1">
      <c r="A3715" s="67">
        <v>46098</v>
      </c>
      <c r="B3715" s="60" t="s">
        <v>490</v>
      </c>
      <c r="C3715" s="64"/>
      <c r="D3715" s="64">
        <v>41423</v>
      </c>
      <c r="E3715" s="60" t="s">
        <v>300</v>
      </c>
    </row>
    <row r="3716" spans="1:5" ht="15" customHeight="1">
      <c r="A3716" s="67">
        <v>46099</v>
      </c>
      <c r="B3716" s="60" t="s">
        <v>490</v>
      </c>
      <c r="C3716" s="64"/>
      <c r="D3716" s="64">
        <v>91712</v>
      </c>
      <c r="E3716" s="60" t="s">
        <v>300</v>
      </c>
    </row>
    <row r="3717" spans="1:5" ht="15" customHeight="1">
      <c r="A3717" s="67">
        <v>46100</v>
      </c>
      <c r="B3717" s="60" t="s">
        <v>490</v>
      </c>
      <c r="C3717" s="64"/>
      <c r="D3717" s="64">
        <v>92249</v>
      </c>
      <c r="E3717" s="60" t="s">
        <v>300</v>
      </c>
    </row>
    <row r="3718" spans="1:5" ht="15" customHeight="1">
      <c r="A3718" s="67">
        <v>46108</v>
      </c>
      <c r="B3718" s="60" t="s">
        <v>490</v>
      </c>
      <c r="C3718" s="64"/>
      <c r="D3718" s="64">
        <v>94201</v>
      </c>
      <c r="E3718" s="60" t="s">
        <v>272</v>
      </c>
    </row>
    <row r="3719" spans="1:5" ht="15" customHeight="1">
      <c r="A3719" s="67">
        <v>46112</v>
      </c>
      <c r="B3719" s="60" t="s">
        <v>490</v>
      </c>
      <c r="C3719" s="64"/>
      <c r="D3719" s="64">
        <v>95135</v>
      </c>
      <c r="E3719" s="60" t="s">
        <v>300</v>
      </c>
    </row>
    <row r="3720" spans="1:5" ht="15" customHeight="1">
      <c r="A3720" s="67">
        <v>46115</v>
      </c>
      <c r="B3720" s="60" t="s">
        <v>490</v>
      </c>
      <c r="C3720" s="64"/>
      <c r="D3720" s="64">
        <v>88567</v>
      </c>
      <c r="E3720" s="60" t="s">
        <v>300</v>
      </c>
    </row>
    <row r="3721" spans="1:5" ht="15" customHeight="1">
      <c r="A3721" s="67">
        <v>46101</v>
      </c>
      <c r="B3721" s="60" t="s">
        <v>499</v>
      </c>
      <c r="C3721" s="64"/>
      <c r="D3721" s="64">
        <v>66205</v>
      </c>
      <c r="E3721" s="60" t="s">
        <v>33</v>
      </c>
    </row>
    <row r="3722" spans="1:5" ht="15" customHeight="1">
      <c r="A3722" s="67">
        <v>46105</v>
      </c>
      <c r="B3722" s="60" t="s">
        <v>499</v>
      </c>
      <c r="C3722" s="64"/>
      <c r="D3722" s="64">
        <v>67095</v>
      </c>
      <c r="E3722" s="60" t="s">
        <v>33</v>
      </c>
    </row>
    <row r="3723" spans="1:5" ht="15" customHeight="1">
      <c r="A3723" s="67">
        <v>46099</v>
      </c>
      <c r="B3723" s="60" t="s">
        <v>506</v>
      </c>
      <c r="C3723" s="64"/>
      <c r="D3723" s="64">
        <v>66415</v>
      </c>
      <c r="E3723" s="60" t="s">
        <v>33</v>
      </c>
    </row>
    <row r="3724" spans="1:5" ht="15" customHeight="1">
      <c r="A3724" s="67">
        <v>46107</v>
      </c>
      <c r="B3724" s="60" t="s">
        <v>506</v>
      </c>
      <c r="C3724" s="64"/>
      <c r="D3724" s="64">
        <v>67530</v>
      </c>
      <c r="E3724" s="60" t="s">
        <v>33</v>
      </c>
    </row>
    <row r="3725" spans="1:5" ht="15" customHeight="1">
      <c r="A3725" s="67">
        <v>46106</v>
      </c>
      <c r="B3725" s="60" t="s">
        <v>508</v>
      </c>
      <c r="C3725" s="64"/>
      <c r="D3725" s="64">
        <v>51643</v>
      </c>
      <c r="E3725" s="60" t="s">
        <v>84</v>
      </c>
    </row>
    <row r="3726" spans="1:5" ht="15" customHeight="1">
      <c r="A3726" s="67">
        <v>46108</v>
      </c>
      <c r="B3726" s="60" t="s">
        <v>508</v>
      </c>
      <c r="C3726" s="64"/>
      <c r="D3726" s="64">
        <v>52054</v>
      </c>
      <c r="E3726" s="60" t="s">
        <v>84</v>
      </c>
    </row>
    <row r="3727" spans="1:5" ht="15" customHeight="1">
      <c r="A3727" s="67">
        <v>46112</v>
      </c>
      <c r="B3727" s="60" t="s">
        <v>508</v>
      </c>
      <c r="C3727" s="64"/>
      <c r="D3727" s="64">
        <v>52367</v>
      </c>
      <c r="E3727" s="60" t="s">
        <v>84</v>
      </c>
    </row>
    <row r="3728" spans="1:5" ht="15" customHeight="1">
      <c r="A3728" s="67">
        <v>46101</v>
      </c>
      <c r="B3728" s="60" t="s">
        <v>510</v>
      </c>
      <c r="C3728" s="64"/>
      <c r="D3728" s="64">
        <v>45856</v>
      </c>
      <c r="E3728" s="60" t="s">
        <v>276</v>
      </c>
    </row>
    <row r="3729" spans="1:5" ht="15" customHeight="1">
      <c r="A3729" s="67">
        <v>46107</v>
      </c>
      <c r="B3729" s="60" t="s">
        <v>510</v>
      </c>
      <c r="C3729" s="64"/>
      <c r="D3729" s="64">
        <v>46500</v>
      </c>
      <c r="E3729" s="60" t="s">
        <v>276</v>
      </c>
    </row>
    <row r="3730" spans="1:5" ht="15" customHeight="1">
      <c r="A3730" s="67">
        <v>46111</v>
      </c>
      <c r="B3730" s="60" t="s">
        <v>510</v>
      </c>
      <c r="C3730" s="64"/>
      <c r="D3730" s="64">
        <v>46849</v>
      </c>
      <c r="E3730" s="60" t="s">
        <v>276</v>
      </c>
    </row>
    <row r="3731" spans="1:5" ht="15" customHeight="1">
      <c r="A3731" s="67">
        <v>46120</v>
      </c>
      <c r="B3731" s="60" t="s">
        <v>510</v>
      </c>
      <c r="C3731" s="64"/>
      <c r="D3731" s="64">
        <v>47499</v>
      </c>
      <c r="E3731" s="60" t="s">
        <v>276</v>
      </c>
    </row>
    <row r="3732" spans="1:5" ht="15" customHeight="1">
      <c r="A3732" s="67">
        <v>46099</v>
      </c>
      <c r="B3732" s="60" t="s">
        <v>512</v>
      </c>
      <c r="C3732" s="64"/>
      <c r="D3732" s="64">
        <v>53746</v>
      </c>
      <c r="E3732" s="60" t="s">
        <v>101</v>
      </c>
    </row>
    <row r="3733" spans="1:5" ht="15" customHeight="1">
      <c r="A3733" s="67">
        <v>46101</v>
      </c>
      <c r="B3733" s="60" t="s">
        <v>512</v>
      </c>
      <c r="C3733" s="64"/>
      <c r="D3733" s="64">
        <v>54202</v>
      </c>
      <c r="E3733" s="60" t="s">
        <v>30</v>
      </c>
    </row>
    <row r="3734" spans="1:5" ht="15" customHeight="1">
      <c r="A3734" s="67">
        <v>46104</v>
      </c>
      <c r="B3734" s="60" t="s">
        <v>512</v>
      </c>
      <c r="C3734" s="64"/>
      <c r="D3734" s="64">
        <v>54335</v>
      </c>
      <c r="E3734" s="60" t="s">
        <v>30</v>
      </c>
    </row>
    <row r="3735" spans="1:5" ht="15" customHeight="1">
      <c r="A3735" s="67">
        <v>46105</v>
      </c>
      <c r="B3735" s="60" t="s">
        <v>512</v>
      </c>
      <c r="C3735" s="64"/>
      <c r="D3735" s="64">
        <v>54639</v>
      </c>
      <c r="E3735" s="60" t="s">
        <v>30</v>
      </c>
    </row>
    <row r="3736" spans="1:5" ht="15" customHeight="1">
      <c r="A3736" s="67">
        <v>46106</v>
      </c>
      <c r="B3736" s="60" t="s">
        <v>512</v>
      </c>
      <c r="C3736" s="64"/>
      <c r="D3736" s="64">
        <v>54831</v>
      </c>
      <c r="E3736" s="60" t="s">
        <v>30</v>
      </c>
    </row>
    <row r="3737" spans="1:5" ht="15" customHeight="1">
      <c r="A3737" s="67">
        <v>46107</v>
      </c>
      <c r="B3737" s="60" t="s">
        <v>512</v>
      </c>
      <c r="C3737" s="64"/>
      <c r="D3737" s="64">
        <v>55081</v>
      </c>
      <c r="E3737" s="60" t="s">
        <v>30</v>
      </c>
    </row>
    <row r="3738" spans="1:5" ht="15" customHeight="1">
      <c r="A3738" s="67">
        <v>46111</v>
      </c>
      <c r="B3738" s="60" t="s">
        <v>512</v>
      </c>
      <c r="C3738" s="64"/>
      <c r="D3738" s="64">
        <v>55483</v>
      </c>
      <c r="E3738" s="60" t="s">
        <v>30</v>
      </c>
    </row>
    <row r="3739" spans="1:5" ht="15" customHeight="1">
      <c r="A3739" s="67">
        <v>46113</v>
      </c>
      <c r="B3739" s="60" t="s">
        <v>512</v>
      </c>
      <c r="C3739" s="64"/>
      <c r="D3739" s="64">
        <v>56097</v>
      </c>
      <c r="E3739" s="60" t="s">
        <v>30</v>
      </c>
    </row>
    <row r="3740" spans="1:5" ht="15" customHeight="1">
      <c r="A3740" s="67">
        <v>46098</v>
      </c>
      <c r="B3740" s="60" t="s">
        <v>514</v>
      </c>
      <c r="C3740" s="64"/>
      <c r="D3740" s="64">
        <v>64966</v>
      </c>
      <c r="E3740" s="60" t="s">
        <v>300</v>
      </c>
    </row>
    <row r="3741" spans="1:5" ht="15" customHeight="1">
      <c r="A3741" s="67">
        <v>46111</v>
      </c>
      <c r="B3741" s="60" t="s">
        <v>514</v>
      </c>
      <c r="C3741" s="64"/>
      <c r="D3741" s="64">
        <v>66650</v>
      </c>
      <c r="E3741" s="60" t="s">
        <v>101</v>
      </c>
    </row>
    <row r="3742" spans="1:5" ht="15" customHeight="1">
      <c r="A3742" s="67">
        <v>46101</v>
      </c>
      <c r="B3742" s="60" t="s">
        <v>515</v>
      </c>
      <c r="C3742" s="64"/>
      <c r="D3742" s="64">
        <v>74019</v>
      </c>
      <c r="E3742" s="60" t="s">
        <v>84</v>
      </c>
    </row>
    <row r="3743" spans="1:5" ht="15" customHeight="1">
      <c r="A3743" s="67">
        <v>46106</v>
      </c>
      <c r="B3743" s="60" t="s">
        <v>515</v>
      </c>
      <c r="C3743" s="64"/>
      <c r="D3743" s="64">
        <v>175279</v>
      </c>
      <c r="E3743" s="60" t="s">
        <v>84</v>
      </c>
    </row>
    <row r="3744" spans="1:5" ht="15" customHeight="1">
      <c r="A3744" s="67">
        <v>46108</v>
      </c>
      <c r="B3744" s="60" t="s">
        <v>515</v>
      </c>
      <c r="C3744" s="64"/>
      <c r="D3744" s="64">
        <v>75418</v>
      </c>
      <c r="E3744" s="60" t="s">
        <v>84</v>
      </c>
    </row>
    <row r="3745" spans="1:5" ht="15" customHeight="1">
      <c r="A3745" s="67">
        <v>46112</v>
      </c>
      <c r="B3745" s="60" t="s">
        <v>515</v>
      </c>
      <c r="C3745" s="64"/>
      <c r="D3745" s="64">
        <v>76555</v>
      </c>
      <c r="E3745" s="60" t="s">
        <v>84</v>
      </c>
    </row>
    <row r="3746" spans="1:5" ht="15" customHeight="1">
      <c r="A3746" s="67">
        <v>46098</v>
      </c>
      <c r="B3746" s="60" t="s">
        <v>517</v>
      </c>
      <c r="C3746" s="64"/>
      <c r="D3746" s="64">
        <v>42560</v>
      </c>
      <c r="E3746" s="60" t="s">
        <v>300</v>
      </c>
    </row>
    <row r="3747" spans="1:5" ht="15" customHeight="1">
      <c r="A3747" s="67">
        <v>46100</v>
      </c>
      <c r="B3747" s="60" t="s">
        <v>518</v>
      </c>
      <c r="C3747" s="64"/>
      <c r="D3747" s="64">
        <v>79322</v>
      </c>
      <c r="E3747" s="60" t="s">
        <v>101</v>
      </c>
    </row>
    <row r="3748" spans="1:5" ht="15" customHeight="1">
      <c r="A3748" s="67">
        <v>46111</v>
      </c>
      <c r="B3748" s="60" t="s">
        <v>518</v>
      </c>
      <c r="C3748" s="64"/>
      <c r="D3748" s="64">
        <v>812781</v>
      </c>
      <c r="E3748" s="60" t="s">
        <v>30</v>
      </c>
    </row>
    <row r="3749" spans="1:5" ht="15" customHeight="1">
      <c r="A3749" s="67">
        <v>46099</v>
      </c>
      <c r="B3749" s="60" t="s">
        <v>520</v>
      </c>
      <c r="C3749" s="64"/>
      <c r="D3749" s="64">
        <v>54233</v>
      </c>
      <c r="E3749" s="60" t="s">
        <v>272</v>
      </c>
    </row>
    <row r="3750" spans="1:5" ht="15" customHeight="1">
      <c r="A3750" s="67">
        <v>46101</v>
      </c>
      <c r="B3750" s="60" t="s">
        <v>520</v>
      </c>
      <c r="C3750" s="64"/>
      <c r="D3750" s="64">
        <v>54468</v>
      </c>
      <c r="E3750" s="60" t="s">
        <v>272</v>
      </c>
    </row>
    <row r="3751" spans="1:5" ht="15" customHeight="1">
      <c r="A3751" s="67">
        <v>46108</v>
      </c>
      <c r="B3751" s="60" t="s">
        <v>520</v>
      </c>
      <c r="C3751" s="64"/>
      <c r="D3751" s="64">
        <v>55477</v>
      </c>
      <c r="E3751" s="60" t="s">
        <v>272</v>
      </c>
    </row>
    <row r="3752" spans="1:5" ht="15" customHeight="1">
      <c r="A3752" s="67">
        <v>46099</v>
      </c>
      <c r="B3752" s="60" t="s">
        <v>523</v>
      </c>
      <c r="C3752" s="64"/>
      <c r="D3752" s="64">
        <v>63724</v>
      </c>
      <c r="E3752" s="60" t="s">
        <v>276</v>
      </c>
    </row>
    <row r="3753" spans="1:5" ht="15" customHeight="1">
      <c r="A3753" s="67">
        <v>46101</v>
      </c>
      <c r="B3753" s="60" t="s">
        <v>523</v>
      </c>
      <c r="C3753" s="64"/>
      <c r="D3753" s="64">
        <v>64447</v>
      </c>
      <c r="E3753" s="60" t="s">
        <v>276</v>
      </c>
    </row>
    <row r="3754" spans="1:5" ht="15" customHeight="1">
      <c r="A3754" s="67">
        <v>46104</v>
      </c>
      <c r="B3754" s="60" t="s">
        <v>523</v>
      </c>
      <c r="C3754" s="64"/>
      <c r="D3754" s="64">
        <v>64892</v>
      </c>
      <c r="E3754" s="60" t="s">
        <v>276</v>
      </c>
    </row>
    <row r="3755" spans="1:5" ht="15" customHeight="1">
      <c r="A3755" s="67">
        <v>46107</v>
      </c>
      <c r="B3755" s="60" t="s">
        <v>523</v>
      </c>
      <c r="C3755" s="64"/>
      <c r="D3755" s="64">
        <v>95301</v>
      </c>
      <c r="E3755" s="60" t="s">
        <v>33</v>
      </c>
    </row>
    <row r="3756" spans="1:5" ht="15" customHeight="1">
      <c r="A3756" s="67">
        <v>46107</v>
      </c>
      <c r="B3756" s="60" t="s">
        <v>523</v>
      </c>
      <c r="C3756" s="64"/>
      <c r="D3756" s="64">
        <v>65420</v>
      </c>
      <c r="E3756" s="60" t="s">
        <v>276</v>
      </c>
    </row>
    <row r="3757" spans="1:5" ht="15" customHeight="1">
      <c r="A3757" s="67">
        <v>46111</v>
      </c>
      <c r="B3757" s="60" t="s">
        <v>523</v>
      </c>
      <c r="C3757" s="64"/>
      <c r="D3757" s="64">
        <v>65840</v>
      </c>
      <c r="E3757" s="60" t="s">
        <v>276</v>
      </c>
    </row>
    <row r="3758" spans="1:5" ht="15" customHeight="1">
      <c r="A3758" s="67">
        <v>46113</v>
      </c>
      <c r="B3758" s="60" t="s">
        <v>523</v>
      </c>
      <c r="C3758" s="64"/>
      <c r="D3758" s="64">
        <v>66381</v>
      </c>
      <c r="E3758" s="60" t="s">
        <v>276</v>
      </c>
    </row>
    <row r="3759" spans="1:5" ht="15" customHeight="1">
      <c r="A3759" s="67">
        <v>46118</v>
      </c>
      <c r="B3759" s="60" t="s">
        <v>523</v>
      </c>
      <c r="C3759" s="64"/>
      <c r="D3759" s="64">
        <v>67020</v>
      </c>
      <c r="E3759" s="60" t="s">
        <v>276</v>
      </c>
    </row>
    <row r="3760" spans="1:5" ht="15" customHeight="1">
      <c r="A3760" s="67">
        <v>46120</v>
      </c>
      <c r="B3760" s="60" t="s">
        <v>523</v>
      </c>
      <c r="C3760" s="64"/>
      <c r="D3760" s="64">
        <v>67281</v>
      </c>
      <c r="E3760" s="60" t="s">
        <v>276</v>
      </c>
    </row>
    <row r="3761" spans="1:5" ht="15" customHeight="1">
      <c r="A3761" s="67">
        <v>46098</v>
      </c>
      <c r="B3761" s="60" t="s">
        <v>526</v>
      </c>
      <c r="C3761" s="64"/>
      <c r="D3761" s="64">
        <v>14445</v>
      </c>
      <c r="E3761" s="60" t="s">
        <v>84</v>
      </c>
    </row>
    <row r="3762" spans="1:5" ht="15" customHeight="1">
      <c r="A3762" s="67">
        <v>46100</v>
      </c>
      <c r="B3762" s="60" t="s">
        <v>526</v>
      </c>
      <c r="C3762" s="64"/>
      <c r="D3762" s="64">
        <v>64752</v>
      </c>
      <c r="E3762" s="60" t="s">
        <v>84</v>
      </c>
    </row>
    <row r="3763" spans="1:5" ht="15" customHeight="1">
      <c r="A3763" s="67">
        <v>46104</v>
      </c>
      <c r="B3763" s="60" t="s">
        <v>526</v>
      </c>
      <c r="C3763" s="64"/>
      <c r="D3763" s="64">
        <v>65434</v>
      </c>
      <c r="E3763" s="60" t="s">
        <v>84</v>
      </c>
    </row>
    <row r="3764" spans="1:5" ht="15" customHeight="1">
      <c r="A3764" s="67">
        <v>46106</v>
      </c>
      <c r="B3764" s="60" t="s">
        <v>526</v>
      </c>
      <c r="C3764" s="64"/>
      <c r="D3764" s="64">
        <v>65604</v>
      </c>
      <c r="E3764" s="60" t="s">
        <v>84</v>
      </c>
    </row>
    <row r="3765" spans="1:5" ht="15" customHeight="1">
      <c r="A3765" s="67">
        <v>46101</v>
      </c>
      <c r="B3765" s="60" t="s">
        <v>528</v>
      </c>
      <c r="C3765" s="64"/>
      <c r="D3765" s="64">
        <v>68607</v>
      </c>
      <c r="E3765" s="60" t="s">
        <v>84</v>
      </c>
    </row>
    <row r="3766" spans="1:5" ht="15" customHeight="1">
      <c r="A3766" s="67">
        <v>46104</v>
      </c>
      <c r="B3766" s="60" t="s">
        <v>528</v>
      </c>
      <c r="C3766" s="64"/>
      <c r="D3766" s="64">
        <v>70026</v>
      </c>
      <c r="E3766" s="60" t="s">
        <v>84</v>
      </c>
    </row>
    <row r="3767" spans="1:5" ht="15" customHeight="1">
      <c r="A3767" s="67">
        <v>46106</v>
      </c>
      <c r="B3767" s="60" t="s">
        <v>528</v>
      </c>
      <c r="C3767" s="64"/>
      <c r="D3767" s="64">
        <v>70615</v>
      </c>
      <c r="E3767" s="60" t="s">
        <v>84</v>
      </c>
    </row>
    <row r="3768" spans="1:5" ht="15" customHeight="1">
      <c r="A3768" s="67">
        <v>46108</v>
      </c>
      <c r="B3768" s="60" t="s">
        <v>528</v>
      </c>
      <c r="C3768" s="64"/>
      <c r="D3768" s="64">
        <v>70810</v>
      </c>
      <c r="E3768" s="60" t="s">
        <v>84</v>
      </c>
    </row>
    <row r="3769" spans="1:5" ht="15" customHeight="1">
      <c r="A3769" s="67">
        <v>46112</v>
      </c>
      <c r="B3769" s="60" t="s">
        <v>528</v>
      </c>
      <c r="C3769" s="64"/>
      <c r="D3769" s="64">
        <v>71317</v>
      </c>
      <c r="E3769" s="60" t="s">
        <v>84</v>
      </c>
    </row>
    <row r="3770" spans="1:5" ht="15" customHeight="1">
      <c r="A3770" s="67">
        <v>46098</v>
      </c>
      <c r="B3770" s="60" t="s">
        <v>535</v>
      </c>
      <c r="C3770" s="64"/>
      <c r="D3770" s="64">
        <v>78425</v>
      </c>
      <c r="E3770" s="60" t="s">
        <v>101</v>
      </c>
    </row>
    <row r="3771" spans="1:5" ht="15" customHeight="1">
      <c r="A3771" s="67">
        <v>46098</v>
      </c>
      <c r="B3771" s="60" t="s">
        <v>535</v>
      </c>
      <c r="C3771" s="64"/>
      <c r="D3771" s="64">
        <v>78425</v>
      </c>
      <c r="E3771" s="60" t="s">
        <v>30</v>
      </c>
    </row>
    <row r="3772" spans="1:5" ht="15" customHeight="1">
      <c r="A3772" s="67">
        <v>46100</v>
      </c>
      <c r="B3772" s="60" t="s">
        <v>535</v>
      </c>
      <c r="C3772" s="64"/>
      <c r="D3772" s="64">
        <v>78686</v>
      </c>
      <c r="E3772" s="60" t="s">
        <v>101</v>
      </c>
    </row>
    <row r="3773" spans="1:5" ht="15" customHeight="1">
      <c r="A3773" s="67">
        <v>46101</v>
      </c>
      <c r="B3773" s="60" t="s">
        <v>535</v>
      </c>
      <c r="C3773" s="64"/>
      <c r="D3773" s="64">
        <v>79164</v>
      </c>
      <c r="E3773" s="60" t="s">
        <v>30</v>
      </c>
    </row>
    <row r="3774" spans="1:5" ht="15" customHeight="1">
      <c r="A3774" s="67">
        <v>46104</v>
      </c>
      <c r="B3774" s="60" t="s">
        <v>535</v>
      </c>
      <c r="C3774" s="64"/>
      <c r="D3774" s="64">
        <v>79795</v>
      </c>
      <c r="E3774" s="60" t="s">
        <v>30</v>
      </c>
    </row>
    <row r="3775" spans="1:5" ht="15" customHeight="1">
      <c r="A3775" s="67">
        <v>46108</v>
      </c>
      <c r="B3775" s="60" t="s">
        <v>535</v>
      </c>
      <c r="C3775" s="64"/>
      <c r="D3775" s="64">
        <v>81544</v>
      </c>
      <c r="E3775" s="60" t="s">
        <v>30</v>
      </c>
    </row>
    <row r="3776" spans="1:5" ht="15" customHeight="1">
      <c r="A3776" s="67">
        <v>46111</v>
      </c>
      <c r="B3776" s="60" t="s">
        <v>535</v>
      </c>
      <c r="C3776" s="64"/>
      <c r="D3776" s="64">
        <v>82087</v>
      </c>
      <c r="E3776" s="60" t="s">
        <v>101</v>
      </c>
    </row>
    <row r="3777" spans="1:5" ht="15" customHeight="1">
      <c r="A3777" s="67">
        <v>46111</v>
      </c>
      <c r="B3777" s="60" t="s">
        <v>535</v>
      </c>
      <c r="C3777" s="64"/>
      <c r="D3777" s="64">
        <v>820891</v>
      </c>
      <c r="E3777" s="60" t="s">
        <v>30</v>
      </c>
    </row>
    <row r="3778" spans="1:5" ht="15" customHeight="1">
      <c r="A3778" s="67">
        <v>46113</v>
      </c>
      <c r="B3778" s="60" t="s">
        <v>535</v>
      </c>
      <c r="C3778" s="64"/>
      <c r="D3778" s="64">
        <v>82742</v>
      </c>
      <c r="E3778" s="60" t="s">
        <v>30</v>
      </c>
    </row>
    <row r="3779" spans="1:5" ht="15" customHeight="1">
      <c r="A3779" s="67">
        <v>46114</v>
      </c>
      <c r="B3779" s="60" t="s">
        <v>535</v>
      </c>
      <c r="C3779" s="64"/>
      <c r="D3779" s="64">
        <v>83133</v>
      </c>
      <c r="E3779" s="60" t="s">
        <v>30</v>
      </c>
    </row>
    <row r="3780" spans="1:5" ht="15" customHeight="1">
      <c r="A3780" s="67">
        <v>46099</v>
      </c>
      <c r="B3780" s="60" t="s">
        <v>539</v>
      </c>
      <c r="C3780" s="64"/>
      <c r="D3780" s="64">
        <v>42906</v>
      </c>
      <c r="E3780" s="60" t="s">
        <v>84</v>
      </c>
    </row>
    <row r="3781" spans="1:5" ht="15" customHeight="1">
      <c r="A3781" s="67">
        <v>46104</v>
      </c>
      <c r="B3781" s="60" t="s">
        <v>539</v>
      </c>
      <c r="C3781" s="64"/>
      <c r="D3781" s="64">
        <v>43874</v>
      </c>
      <c r="E3781" s="60" t="s">
        <v>84</v>
      </c>
    </row>
    <row r="3782" spans="1:5" ht="15" customHeight="1">
      <c r="A3782" s="67">
        <v>46106</v>
      </c>
      <c r="B3782" s="60" t="s">
        <v>547</v>
      </c>
      <c r="C3782" s="64"/>
      <c r="D3782" s="64">
        <v>19065</v>
      </c>
      <c r="E3782" s="60" t="s">
        <v>84</v>
      </c>
    </row>
    <row r="3783" spans="1:5" ht="15" customHeight="1">
      <c r="A3783" s="67">
        <v>46108</v>
      </c>
      <c r="B3783" s="60" t="s">
        <v>547</v>
      </c>
      <c r="C3783" s="64"/>
      <c r="D3783" s="64">
        <v>19236</v>
      </c>
      <c r="E3783" s="60" t="s">
        <v>84</v>
      </c>
    </row>
    <row r="3784" spans="1:5" ht="15" customHeight="1">
      <c r="A3784" s="67">
        <v>46112</v>
      </c>
      <c r="B3784" s="60" t="s">
        <v>547</v>
      </c>
      <c r="C3784" s="64"/>
      <c r="D3784" s="64">
        <v>19788</v>
      </c>
      <c r="E3784" s="60" t="s">
        <v>84</v>
      </c>
    </row>
    <row r="3785" spans="1:5" ht="15" customHeight="1">
      <c r="A3785" s="67">
        <v>46101</v>
      </c>
      <c r="B3785" s="60" t="s">
        <v>549</v>
      </c>
      <c r="C3785" s="64"/>
      <c r="D3785" s="64">
        <v>17406</v>
      </c>
      <c r="E3785" s="60" t="s">
        <v>33</v>
      </c>
    </row>
    <row r="3786" spans="1:5" ht="15" customHeight="1">
      <c r="A3786" s="67">
        <v>46107</v>
      </c>
      <c r="B3786" s="60" t="s">
        <v>549</v>
      </c>
      <c r="C3786" s="64"/>
      <c r="D3786" s="64">
        <v>18053</v>
      </c>
      <c r="E3786" s="60" t="s">
        <v>33</v>
      </c>
    </row>
    <row r="3787" spans="1:5" ht="15" customHeight="1">
      <c r="A3787" s="67">
        <v>46098</v>
      </c>
      <c r="B3787" s="60" t="s">
        <v>552</v>
      </c>
      <c r="C3787" s="64"/>
      <c r="D3787" s="64">
        <v>17727</v>
      </c>
      <c r="E3787" s="60" t="s">
        <v>84</v>
      </c>
    </row>
    <row r="3788" spans="1:5" ht="15" customHeight="1">
      <c r="A3788" s="67">
        <v>46101</v>
      </c>
      <c r="B3788" s="60" t="s">
        <v>552</v>
      </c>
      <c r="C3788" s="64"/>
      <c r="D3788" s="64">
        <v>18481</v>
      </c>
      <c r="E3788" s="60" t="s">
        <v>84</v>
      </c>
    </row>
    <row r="3789" spans="1:5" ht="15" customHeight="1">
      <c r="A3789" s="67">
        <v>46107</v>
      </c>
      <c r="B3789" s="60" t="s">
        <v>552</v>
      </c>
      <c r="C3789" s="64"/>
      <c r="D3789" s="64">
        <v>23813</v>
      </c>
      <c r="E3789" s="60" t="s">
        <v>30</v>
      </c>
    </row>
    <row r="3790" spans="1:5" ht="15" customHeight="1">
      <c r="A3790" s="67">
        <v>46114</v>
      </c>
      <c r="B3790" s="60" t="s">
        <v>552</v>
      </c>
      <c r="C3790" s="64"/>
      <c r="D3790" s="64">
        <v>25212</v>
      </c>
      <c r="E3790" s="60" t="s">
        <v>30</v>
      </c>
    </row>
    <row r="3791" spans="1:5" ht="15" customHeight="1">
      <c r="A3791" s="67">
        <v>46101</v>
      </c>
      <c r="B3791" s="60" t="s">
        <v>568</v>
      </c>
      <c r="C3791" s="64"/>
      <c r="D3791" s="64">
        <v>161723</v>
      </c>
      <c r="E3791" s="60" t="s">
        <v>33</v>
      </c>
    </row>
    <row r="3792" spans="1:5" ht="15" customHeight="1">
      <c r="A3792" s="67">
        <v>46105</v>
      </c>
      <c r="B3792" s="60" t="s">
        <v>568</v>
      </c>
      <c r="C3792" s="64"/>
      <c r="D3792" s="64">
        <v>172378</v>
      </c>
      <c r="E3792" s="60" t="s">
        <v>33</v>
      </c>
    </row>
    <row r="3793" spans="1:5" ht="15" customHeight="1">
      <c r="A3793" s="67">
        <v>46101</v>
      </c>
      <c r="B3793" s="60" t="s">
        <v>572</v>
      </c>
      <c r="C3793" s="64"/>
      <c r="D3793" s="64">
        <v>152842</v>
      </c>
      <c r="E3793" s="60" t="s">
        <v>33</v>
      </c>
    </row>
    <row r="3794" spans="1:5" ht="15" customHeight="1">
      <c r="A3794" s="67">
        <v>46104</v>
      </c>
      <c r="B3794" s="60" t="s">
        <v>572</v>
      </c>
      <c r="C3794" s="64"/>
      <c r="D3794" s="64">
        <v>153871</v>
      </c>
      <c r="E3794" s="60" t="s">
        <v>33</v>
      </c>
    </row>
    <row r="3795" spans="1:5" ht="15" customHeight="1">
      <c r="A3795" s="67">
        <v>46104</v>
      </c>
      <c r="B3795" s="60" t="s">
        <v>574</v>
      </c>
      <c r="C3795" s="64"/>
      <c r="D3795" s="64">
        <v>227000</v>
      </c>
      <c r="E3795" s="60" t="s">
        <v>84</v>
      </c>
    </row>
    <row r="3796" spans="1:5" ht="15" customHeight="1">
      <c r="A3796" s="67">
        <v>46100</v>
      </c>
      <c r="B3796" s="60" t="s">
        <v>575</v>
      </c>
      <c r="C3796" s="64">
        <v>240293</v>
      </c>
      <c r="D3796" s="64"/>
      <c r="E3796" s="60" t="s">
        <v>300</v>
      </c>
    </row>
    <row r="3797" spans="1:5" ht="15" customHeight="1">
      <c r="A3797" s="67">
        <v>46098</v>
      </c>
      <c r="B3797" s="60" t="s">
        <v>577</v>
      </c>
      <c r="C3797" s="61"/>
      <c r="D3797" s="64">
        <v>227541</v>
      </c>
      <c r="E3797" s="60" t="s">
        <v>300</v>
      </c>
    </row>
    <row r="3798" spans="1:5" ht="15" customHeight="1">
      <c r="A3798" s="67">
        <v>46111</v>
      </c>
      <c r="B3798" s="60" t="s">
        <v>593</v>
      </c>
      <c r="C3798" s="61"/>
      <c r="D3798" s="64">
        <v>167753</v>
      </c>
      <c r="E3798" s="60" t="s">
        <v>30</v>
      </c>
    </row>
    <row r="3799" spans="1:5" ht="15" customHeight="1">
      <c r="A3799" s="67">
        <v>46113</v>
      </c>
      <c r="B3799" s="60" t="s">
        <v>593</v>
      </c>
      <c r="C3799" s="61"/>
      <c r="D3799" s="64">
        <v>168135</v>
      </c>
      <c r="E3799" s="60" t="s">
        <v>30</v>
      </c>
    </row>
    <row r="3800" spans="1:5" ht="15" customHeight="1">
      <c r="A3800" s="67">
        <v>46106</v>
      </c>
      <c r="B3800" s="60" t="s">
        <v>594</v>
      </c>
      <c r="C3800" s="61"/>
      <c r="D3800" s="64">
        <v>143843</v>
      </c>
      <c r="E3800" s="60" t="s">
        <v>84</v>
      </c>
    </row>
    <row r="3801" spans="1:5" ht="15" customHeight="1">
      <c r="A3801" s="67">
        <v>46112</v>
      </c>
      <c r="B3801" s="60" t="s">
        <v>594</v>
      </c>
      <c r="C3801" s="61"/>
      <c r="D3801" s="64">
        <v>144264</v>
      </c>
      <c r="E3801" s="60" t="s">
        <v>84</v>
      </c>
    </row>
    <row r="3802" spans="1:5" ht="15" customHeight="1">
      <c r="A3802" s="67">
        <v>46099</v>
      </c>
      <c r="B3802" s="60" t="s">
        <v>596</v>
      </c>
      <c r="C3802" s="61"/>
      <c r="D3802" s="64">
        <v>147089</v>
      </c>
      <c r="E3802" s="60" t="s">
        <v>30</v>
      </c>
    </row>
    <row r="3803" spans="1:5" ht="15" customHeight="1">
      <c r="A3803" s="67">
        <v>46101</v>
      </c>
      <c r="B3803" s="60" t="s">
        <v>596</v>
      </c>
      <c r="C3803" s="61"/>
      <c r="D3803" s="64">
        <v>147162</v>
      </c>
      <c r="E3803" s="60" t="s">
        <v>30</v>
      </c>
    </row>
    <row r="3804" spans="1:5" ht="15" customHeight="1">
      <c r="A3804" s="67">
        <v>46105</v>
      </c>
      <c r="B3804" s="60" t="s">
        <v>596</v>
      </c>
      <c r="C3804" s="61"/>
      <c r="D3804" s="64">
        <v>147633</v>
      </c>
      <c r="E3804" s="60" t="s">
        <v>30</v>
      </c>
    </row>
    <row r="3805" spans="1:5" ht="15" customHeight="1">
      <c r="A3805" s="67">
        <v>46108</v>
      </c>
      <c r="B3805" s="60" t="s">
        <v>596</v>
      </c>
      <c r="C3805" s="61"/>
      <c r="D3805" s="64">
        <v>147793</v>
      </c>
      <c r="E3805" s="60" t="s">
        <v>30</v>
      </c>
    </row>
    <row r="3806" spans="1:5" ht="15" customHeight="1">
      <c r="A3806" s="67">
        <v>46111</v>
      </c>
      <c r="B3806" s="60" t="s">
        <v>596</v>
      </c>
      <c r="C3806" s="61"/>
      <c r="D3806" s="64">
        <v>149192</v>
      </c>
      <c r="E3806" s="60" t="s">
        <v>30</v>
      </c>
    </row>
    <row r="3807" spans="1:5" ht="15" customHeight="1">
      <c r="A3807" s="67">
        <v>46113</v>
      </c>
      <c r="B3807" s="60" t="s">
        <v>596</v>
      </c>
      <c r="C3807" s="61"/>
      <c r="D3807" s="64">
        <v>148559</v>
      </c>
      <c r="E3807" s="60" t="s">
        <v>30</v>
      </c>
    </row>
    <row r="3808" spans="1:5" ht="15" customHeight="1">
      <c r="A3808" s="67">
        <v>46101</v>
      </c>
      <c r="B3808" s="60" t="s">
        <v>598</v>
      </c>
      <c r="C3808" s="61"/>
      <c r="D3808" s="64">
        <v>142418</v>
      </c>
      <c r="E3808" s="60" t="s">
        <v>33</v>
      </c>
    </row>
    <row r="3809" spans="1:5" ht="15" customHeight="1">
      <c r="A3809" s="67">
        <v>46104</v>
      </c>
      <c r="B3809" s="60" t="s">
        <v>598</v>
      </c>
      <c r="C3809" s="61"/>
      <c r="D3809" s="64">
        <v>142813</v>
      </c>
      <c r="E3809" s="60" t="s">
        <v>33</v>
      </c>
    </row>
    <row r="3810" spans="1:5" ht="15" customHeight="1">
      <c r="A3810" s="67">
        <v>46107</v>
      </c>
      <c r="B3810" s="60" t="s">
        <v>598</v>
      </c>
      <c r="C3810" s="61"/>
      <c r="D3810" s="64">
        <v>143354</v>
      </c>
      <c r="E3810" s="60" t="s">
        <v>33</v>
      </c>
    </row>
    <row r="3811" spans="1:5" ht="15" customHeight="1">
      <c r="A3811" s="67">
        <v>46099</v>
      </c>
      <c r="B3811" s="60" t="s">
        <v>608</v>
      </c>
      <c r="C3811" s="61"/>
      <c r="D3811" s="64">
        <v>303885</v>
      </c>
      <c r="E3811" s="60" t="s">
        <v>101</v>
      </c>
    </row>
    <row r="3812" spans="1:5" ht="15" customHeight="1">
      <c r="A3812" s="67">
        <v>46114</v>
      </c>
      <c r="B3812" s="60" t="s">
        <v>608</v>
      </c>
      <c r="C3812" s="61"/>
      <c r="D3812" s="64">
        <v>306341</v>
      </c>
      <c r="E3812" s="60" t="s">
        <v>101</v>
      </c>
    </row>
    <row r="3813" spans="1:5" ht="15" customHeight="1">
      <c r="A3813" s="67">
        <v>46098</v>
      </c>
      <c r="B3813" s="60" t="s">
        <v>611</v>
      </c>
      <c r="C3813" s="61"/>
      <c r="D3813" s="64">
        <v>262765</v>
      </c>
      <c r="E3813" s="60" t="s">
        <v>300</v>
      </c>
    </row>
    <row r="3814" spans="1:5" ht="15" customHeight="1">
      <c r="A3814" s="67">
        <v>46101</v>
      </c>
      <c r="B3814" s="60" t="s">
        <v>611</v>
      </c>
      <c r="C3814" s="61"/>
      <c r="D3814" s="64">
        <v>263250</v>
      </c>
      <c r="E3814" s="60" t="s">
        <v>84</v>
      </c>
    </row>
    <row r="3815" spans="1:5" ht="15" customHeight="1">
      <c r="A3815" s="67">
        <v>46112</v>
      </c>
      <c r="B3815" s="60" t="s">
        <v>611</v>
      </c>
      <c r="C3815" s="61"/>
      <c r="D3815" s="64">
        <v>264620</v>
      </c>
      <c r="E3815" s="60" t="s">
        <v>84</v>
      </c>
    </row>
    <row r="3816" spans="1:5" ht="15" customHeight="1">
      <c r="A3816" s="67">
        <v>46104</v>
      </c>
      <c r="B3816" s="60" t="s">
        <v>613</v>
      </c>
      <c r="C3816" s="61"/>
      <c r="D3816" s="64">
        <v>263620</v>
      </c>
      <c r="E3816" s="60" t="s">
        <v>84</v>
      </c>
    </row>
    <row r="3817" spans="1:5" ht="15" customHeight="1">
      <c r="A3817" s="67">
        <v>46100</v>
      </c>
      <c r="B3817" s="60" t="s">
        <v>614</v>
      </c>
      <c r="C3817" s="61"/>
      <c r="D3817" s="64">
        <v>151473</v>
      </c>
      <c r="E3817" s="60" t="s">
        <v>30</v>
      </c>
    </row>
    <row r="3818" spans="1:5" ht="15" customHeight="1">
      <c r="A3818" s="67">
        <v>46105</v>
      </c>
      <c r="B3818" s="60" t="s">
        <v>614</v>
      </c>
      <c r="C3818" s="61"/>
      <c r="D3818" s="64">
        <v>152100</v>
      </c>
      <c r="E3818" s="60" t="s">
        <v>30</v>
      </c>
    </row>
    <row r="3819" spans="1:5" ht="15" customHeight="1">
      <c r="A3819" s="67">
        <v>46108</v>
      </c>
      <c r="B3819" s="60" t="s">
        <v>614</v>
      </c>
      <c r="C3819" s="61"/>
      <c r="D3819" s="64">
        <v>152564</v>
      </c>
      <c r="E3819" s="60" t="s">
        <v>30</v>
      </c>
    </row>
    <row r="3820" spans="1:5" ht="15" customHeight="1">
      <c r="A3820" s="67">
        <v>46111</v>
      </c>
      <c r="B3820" s="60" t="s">
        <v>614</v>
      </c>
      <c r="C3820" s="61"/>
      <c r="D3820" s="64">
        <v>152955</v>
      </c>
      <c r="E3820" s="60" t="s">
        <v>30</v>
      </c>
    </row>
    <row r="3821" spans="1:5" ht="15" customHeight="1">
      <c r="A3821" s="67">
        <v>46099</v>
      </c>
      <c r="B3821" s="60" t="s">
        <v>616</v>
      </c>
      <c r="C3821" s="61"/>
      <c r="D3821" s="64">
        <v>124330</v>
      </c>
      <c r="E3821" s="60" t="s">
        <v>33</v>
      </c>
    </row>
    <row r="3822" spans="1:5" ht="15" customHeight="1">
      <c r="A3822" s="67">
        <v>46101</v>
      </c>
      <c r="B3822" s="60" t="s">
        <v>616</v>
      </c>
      <c r="C3822" s="61"/>
      <c r="D3822" s="64">
        <v>124575</v>
      </c>
      <c r="E3822" s="60" t="s">
        <v>33</v>
      </c>
    </row>
    <row r="3823" spans="1:5" ht="15" customHeight="1">
      <c r="A3823" s="67">
        <v>46104</v>
      </c>
      <c r="B3823" s="60" t="s">
        <v>616</v>
      </c>
      <c r="C3823" s="61"/>
      <c r="D3823" s="64">
        <v>125496</v>
      </c>
      <c r="E3823" s="60" t="s">
        <v>33</v>
      </c>
    </row>
    <row r="3824" spans="1:5" ht="15" customHeight="1">
      <c r="A3824" s="67">
        <v>46101</v>
      </c>
      <c r="B3824" s="60" t="s">
        <v>622</v>
      </c>
      <c r="C3824" s="61"/>
      <c r="D3824" s="64">
        <v>112106</v>
      </c>
      <c r="E3824" s="60" t="s">
        <v>30</v>
      </c>
    </row>
    <row r="3825" spans="1:7" ht="15" customHeight="1">
      <c r="A3825" s="67">
        <v>46105</v>
      </c>
      <c r="B3825" s="60" t="s">
        <v>622</v>
      </c>
      <c r="C3825" s="61"/>
      <c r="D3825" s="64">
        <v>112506</v>
      </c>
      <c r="E3825" s="60" t="s">
        <v>30</v>
      </c>
    </row>
    <row r="3826" spans="1:7" ht="15" customHeight="1">
      <c r="A3826" s="67">
        <v>46108</v>
      </c>
      <c r="B3826" s="60" t="s">
        <v>622</v>
      </c>
      <c r="C3826" s="61"/>
      <c r="D3826" s="64">
        <v>112676</v>
      </c>
      <c r="E3826" s="60" t="s">
        <v>30</v>
      </c>
    </row>
    <row r="3827" spans="1:7" ht="15" customHeight="1">
      <c r="A3827" s="67">
        <v>46111</v>
      </c>
      <c r="B3827" s="60" t="s">
        <v>622</v>
      </c>
      <c r="C3827" s="61"/>
      <c r="D3827" s="64">
        <v>112901</v>
      </c>
      <c r="E3827" s="60" t="s">
        <v>30</v>
      </c>
    </row>
    <row r="3828" spans="1:7" ht="15" customHeight="1">
      <c r="A3828" s="67">
        <v>46114</v>
      </c>
      <c r="B3828" s="60" t="s">
        <v>622</v>
      </c>
      <c r="C3828" s="61"/>
      <c r="D3828" s="64">
        <v>113324</v>
      </c>
      <c r="E3828" s="60" t="s">
        <v>30</v>
      </c>
    </row>
    <row r="3829" spans="1:7" ht="15" customHeight="1">
      <c r="A3829" s="67">
        <v>46101</v>
      </c>
      <c r="B3829" s="60" t="s">
        <v>624</v>
      </c>
      <c r="C3829" s="61"/>
      <c r="D3829" s="64">
        <v>98091</v>
      </c>
      <c r="E3829" s="60" t="s">
        <v>272</v>
      </c>
    </row>
    <row r="3830" spans="1:7" ht="15" customHeight="1">
      <c r="A3830" s="67">
        <v>46108</v>
      </c>
      <c r="B3830" s="60" t="s">
        <v>624</v>
      </c>
      <c r="C3830" s="61"/>
      <c r="D3830" s="64">
        <v>953095</v>
      </c>
      <c r="E3830" s="60" t="s">
        <v>272</v>
      </c>
    </row>
    <row r="3831" spans="1:7" ht="15" customHeight="1">
      <c r="A3831" s="67">
        <v>46111</v>
      </c>
      <c r="B3831" s="60" t="s">
        <v>624</v>
      </c>
      <c r="C3831" s="61"/>
      <c r="D3831" s="64">
        <v>95862</v>
      </c>
      <c r="E3831" s="60" t="s">
        <v>272</v>
      </c>
    </row>
    <row r="3832" spans="1:7" ht="15" customHeight="1">
      <c r="A3832" s="67">
        <v>46101</v>
      </c>
      <c r="B3832" s="60" t="s">
        <v>626</v>
      </c>
      <c r="C3832" s="61"/>
      <c r="D3832" s="64">
        <v>109773</v>
      </c>
      <c r="E3832" s="60" t="s">
        <v>33</v>
      </c>
    </row>
    <row r="3833" spans="1:7" ht="15" customHeight="1">
      <c r="A3833" s="67">
        <v>46107</v>
      </c>
      <c r="B3833" s="60" t="s">
        <v>626</v>
      </c>
      <c r="C3833" s="61"/>
      <c r="D3833" s="64">
        <v>110977</v>
      </c>
      <c r="E3833" s="60" t="s">
        <v>33</v>
      </c>
    </row>
    <row r="3834" spans="1:7" ht="15" customHeight="1">
      <c r="A3834" s="67">
        <v>46098</v>
      </c>
      <c r="B3834" s="60" t="s">
        <v>628</v>
      </c>
      <c r="C3834" s="61"/>
      <c r="D3834" s="64">
        <v>92723</v>
      </c>
      <c r="E3834" s="60" t="s">
        <v>33</v>
      </c>
    </row>
    <row r="3835" spans="1:7" ht="15" customHeight="1">
      <c r="A3835" s="67">
        <v>46101</v>
      </c>
      <c r="B3835" s="60" t="s">
        <v>628</v>
      </c>
      <c r="C3835" s="61"/>
      <c r="D3835" s="64">
        <v>93231</v>
      </c>
      <c r="E3835" s="60" t="s">
        <v>33</v>
      </c>
    </row>
    <row r="3836" spans="1:7" ht="15" customHeight="1">
      <c r="A3836" s="67">
        <v>46104</v>
      </c>
      <c r="B3836" s="60" t="s">
        <v>628</v>
      </c>
      <c r="C3836" s="61"/>
      <c r="D3836" s="64">
        <v>93964</v>
      </c>
      <c r="E3836" s="60" t="s">
        <v>33</v>
      </c>
    </row>
    <row r="3837" spans="1:7" ht="15" customHeight="1">
      <c r="A3837" s="67">
        <v>46098</v>
      </c>
      <c r="B3837" s="60" t="s">
        <v>630</v>
      </c>
      <c r="C3837" s="61"/>
      <c r="D3837" s="64">
        <v>145462</v>
      </c>
      <c r="E3837" s="60" t="s">
        <v>300</v>
      </c>
    </row>
    <row r="3838" spans="1:7" ht="15" customHeight="1">
      <c r="A3838" s="67">
        <v>46104</v>
      </c>
      <c r="B3838" s="60" t="s">
        <v>632</v>
      </c>
      <c r="C3838" s="61"/>
      <c r="D3838" s="64">
        <v>123029</v>
      </c>
      <c r="E3838" s="60" t="s">
        <v>84</v>
      </c>
    </row>
    <row r="3839" spans="1:7" ht="15" customHeight="1">
      <c r="A3839" s="68">
        <v>46100</v>
      </c>
      <c r="B3839" s="62" t="s">
        <v>634</v>
      </c>
      <c r="C3839" s="63"/>
      <c r="D3839" s="65">
        <v>78279</v>
      </c>
      <c r="E3839" s="62" t="s">
        <v>101</v>
      </c>
      <c r="F3839" s="62"/>
      <c r="G3839" s="62"/>
    </row>
    <row r="3840" spans="1:7" ht="15" customHeight="1">
      <c r="A3840" s="41">
        <v>46094</v>
      </c>
      <c r="B3840" t="s">
        <v>382</v>
      </c>
      <c r="C3840">
        <v>13040</v>
      </c>
      <c r="E3840" t="s">
        <v>276</v>
      </c>
    </row>
    <row r="3841" spans="1:5" ht="15" customHeight="1">
      <c r="A3841" s="41">
        <v>46133</v>
      </c>
      <c r="B3841" t="s">
        <v>559</v>
      </c>
      <c r="D3841">
        <v>1</v>
      </c>
      <c r="E3841" t="s">
        <v>23</v>
      </c>
    </row>
    <row r="3842" spans="1:5" ht="15" customHeight="1">
      <c r="A3842" s="41">
        <v>46133</v>
      </c>
      <c r="B3842" t="s">
        <v>1181</v>
      </c>
      <c r="D3842">
        <v>307623</v>
      </c>
    </row>
    <row r="3843" spans="1:5" ht="15" customHeight="1">
      <c r="A3843" s="41">
        <v>46133</v>
      </c>
      <c r="B3843" t="s">
        <v>611</v>
      </c>
      <c r="D3843">
        <v>266420</v>
      </c>
      <c r="E3843" t="s">
        <v>26</v>
      </c>
    </row>
    <row r="3844" spans="1:5" ht="15" customHeight="1">
      <c r="A3844" s="41">
        <v>46133</v>
      </c>
      <c r="B3844" t="s">
        <v>171</v>
      </c>
      <c r="D3844">
        <v>212042</v>
      </c>
      <c r="E3844" t="s">
        <v>36</v>
      </c>
    </row>
    <row r="3845" spans="1:5" ht="15" customHeight="1">
      <c r="A3845" s="41">
        <v>46133</v>
      </c>
      <c r="B3845" t="s">
        <v>574</v>
      </c>
      <c r="D3845">
        <v>188442</v>
      </c>
      <c r="E3845" t="s">
        <v>26</v>
      </c>
    </row>
    <row r="3846" spans="1:5" ht="15" customHeight="1">
      <c r="A3846" s="41">
        <v>46133</v>
      </c>
      <c r="B3846" t="s">
        <v>575</v>
      </c>
      <c r="D3846">
        <v>242494</v>
      </c>
      <c r="E3846" t="s">
        <v>26</v>
      </c>
    </row>
    <row r="3847" spans="1:5" ht="15" customHeight="1">
      <c r="A3847" s="41">
        <v>46133</v>
      </c>
      <c r="B3847" t="s">
        <v>596</v>
      </c>
      <c r="D3847">
        <v>150214</v>
      </c>
      <c r="E3847" t="s">
        <v>153</v>
      </c>
    </row>
    <row r="3848" spans="1:5" ht="15" customHeight="1">
      <c r="A3848" s="41">
        <v>46133</v>
      </c>
      <c r="B3848" t="s">
        <v>594</v>
      </c>
      <c r="D3848">
        <v>148370</v>
      </c>
      <c r="E3848" t="s">
        <v>445</v>
      </c>
    </row>
    <row r="3849" spans="1:5" ht="15" customHeight="1">
      <c r="A3849" s="41">
        <v>46133</v>
      </c>
      <c r="B3849" t="s">
        <v>593</v>
      </c>
      <c r="D3849">
        <v>170476</v>
      </c>
      <c r="E3849" t="s">
        <v>26</v>
      </c>
    </row>
    <row r="3850" spans="1:5" ht="15" customHeight="1">
      <c r="A3850" s="41">
        <v>46133</v>
      </c>
      <c r="B3850" t="s">
        <v>614</v>
      </c>
      <c r="D3850">
        <v>155441</v>
      </c>
      <c r="E3850" t="s">
        <v>334</v>
      </c>
    </row>
    <row r="3851" spans="1:5" ht="15" customHeight="1">
      <c r="A3851" s="41">
        <v>46133</v>
      </c>
      <c r="B3851" t="s">
        <v>622</v>
      </c>
      <c r="D3851">
        <v>114573</v>
      </c>
      <c r="E3851" t="s">
        <v>26</v>
      </c>
    </row>
    <row r="3852" spans="1:5" ht="15" customHeight="1">
      <c r="A3852" s="41">
        <v>46133</v>
      </c>
      <c r="B3852" t="s">
        <v>630</v>
      </c>
      <c r="D3852">
        <v>150765</v>
      </c>
      <c r="E3852" t="s">
        <v>521</v>
      </c>
    </row>
    <row r="3853" spans="1:5" ht="15" customHeight="1">
      <c r="A3853" s="41">
        <v>46133</v>
      </c>
      <c r="B3853" t="s">
        <v>632</v>
      </c>
      <c r="D3853">
        <v>133636</v>
      </c>
      <c r="E3853" t="s">
        <v>445</v>
      </c>
    </row>
    <row r="3854" spans="1:5" ht="15" customHeight="1">
      <c r="A3854" s="41">
        <v>46133</v>
      </c>
      <c r="B3854" t="s">
        <v>620</v>
      </c>
      <c r="D3854">
        <v>134800</v>
      </c>
      <c r="E3854" t="s">
        <v>23</v>
      </c>
    </row>
    <row r="3855" spans="1:5" ht="15" customHeight="1">
      <c r="A3855" s="41">
        <v>46133</v>
      </c>
      <c r="B3855" t="s">
        <v>458</v>
      </c>
      <c r="D3855">
        <v>99063</v>
      </c>
      <c r="E3855" t="s">
        <v>26</v>
      </c>
    </row>
    <row r="3856" spans="1:5" ht="15" customHeight="1">
      <c r="A3856" s="41">
        <v>46133</v>
      </c>
      <c r="B3856" t="s">
        <v>469</v>
      </c>
      <c r="D3856">
        <v>77882</v>
      </c>
      <c r="E3856" t="s">
        <v>26</v>
      </c>
    </row>
    <row r="3857" spans="1:5" ht="15" customHeight="1">
      <c r="A3857" s="41">
        <v>46133</v>
      </c>
      <c r="B3857" t="s">
        <v>481</v>
      </c>
      <c r="D3857">
        <v>82711</v>
      </c>
      <c r="E3857" t="s">
        <v>153</v>
      </c>
    </row>
    <row r="3858" spans="1:5" ht="15" customHeight="1">
      <c r="A3858" s="41">
        <v>46133</v>
      </c>
      <c r="B3858" t="s">
        <v>488</v>
      </c>
      <c r="D3858">
        <v>110641</v>
      </c>
      <c r="E3858" t="s">
        <v>486</v>
      </c>
    </row>
    <row r="3859" spans="1:5" ht="15" customHeight="1">
      <c r="A3859" s="41">
        <v>46133</v>
      </c>
      <c r="B3859" t="s">
        <v>490</v>
      </c>
      <c r="D3859">
        <v>98245</v>
      </c>
      <c r="E3859" t="s">
        <v>23</v>
      </c>
    </row>
    <row r="3860" spans="1:5" ht="15" customHeight="1">
      <c r="A3860" s="41">
        <v>46133</v>
      </c>
      <c r="B3860" t="s">
        <v>496</v>
      </c>
      <c r="D3860">
        <v>122354</v>
      </c>
      <c r="E3860" t="s">
        <v>15</v>
      </c>
    </row>
    <row r="3861" spans="1:5" ht="15" customHeight="1">
      <c r="A3861" s="41">
        <v>46133</v>
      </c>
      <c r="B3861" t="s">
        <v>501</v>
      </c>
      <c r="D3861">
        <v>105494</v>
      </c>
      <c r="E3861" t="s">
        <v>26</v>
      </c>
    </row>
    <row r="3862" spans="1:5" ht="15" customHeight="1">
      <c r="A3862" s="41">
        <v>46133</v>
      </c>
      <c r="B3862" t="s">
        <v>512</v>
      </c>
      <c r="D3862">
        <v>58685</v>
      </c>
      <c r="E3862" t="s">
        <v>26</v>
      </c>
    </row>
    <row r="3863" spans="1:5" ht="15" customHeight="1">
      <c r="A3863" s="41">
        <v>46133</v>
      </c>
      <c r="B3863" t="s">
        <v>514</v>
      </c>
      <c r="D3863">
        <v>69717</v>
      </c>
      <c r="E3863" t="s">
        <v>26</v>
      </c>
    </row>
    <row r="3864" spans="1:5" ht="15" customHeight="1">
      <c r="A3864" s="41">
        <v>46133</v>
      </c>
      <c r="B3864" t="s">
        <v>515</v>
      </c>
      <c r="D3864">
        <v>80272</v>
      </c>
      <c r="E3864" t="s">
        <v>26</v>
      </c>
    </row>
    <row r="3865" spans="1:5" ht="15" customHeight="1">
      <c r="A3865" s="41">
        <v>46133</v>
      </c>
      <c r="B3865" t="s">
        <v>518</v>
      </c>
      <c r="D3865">
        <v>84545</v>
      </c>
      <c r="E3865" t="s">
        <v>521</v>
      </c>
    </row>
    <row r="3866" spans="1:5" ht="15" customHeight="1">
      <c r="A3866" s="41">
        <v>46133</v>
      </c>
      <c r="B3866" t="s">
        <v>508</v>
      </c>
      <c r="D3866">
        <v>54674</v>
      </c>
      <c r="E3866" t="s">
        <v>26</v>
      </c>
    </row>
    <row r="3867" spans="1:5" ht="15" customHeight="1">
      <c r="A3867" s="41">
        <v>46133</v>
      </c>
      <c r="B3867" t="s">
        <v>535</v>
      </c>
      <c r="D3867">
        <v>87236</v>
      </c>
      <c r="E3867" t="s">
        <v>26</v>
      </c>
    </row>
    <row r="3868" spans="1:5" ht="15" customHeight="1">
      <c r="A3868" s="41">
        <v>46133</v>
      </c>
      <c r="B3868" t="s">
        <v>537</v>
      </c>
      <c r="D3868">
        <v>99814</v>
      </c>
      <c r="E3868" t="s">
        <v>486</v>
      </c>
    </row>
    <row r="3869" spans="1:5" ht="15" customHeight="1">
      <c r="A3869" s="41">
        <v>46133</v>
      </c>
      <c r="B3869" t="s">
        <v>539</v>
      </c>
      <c r="D3869">
        <v>48159</v>
      </c>
      <c r="E3869" t="s">
        <v>486</v>
      </c>
    </row>
    <row r="3870" spans="1:5" ht="15" customHeight="1">
      <c r="A3870" s="41">
        <v>46133</v>
      </c>
      <c r="B3870" t="s">
        <v>526</v>
      </c>
      <c r="D3870">
        <v>69314</v>
      </c>
      <c r="E3870" t="s">
        <v>15</v>
      </c>
    </row>
    <row r="3871" spans="1:5" ht="15" customHeight="1">
      <c r="A3871" s="41">
        <v>46133</v>
      </c>
      <c r="B3871" t="s">
        <v>528</v>
      </c>
      <c r="D3871">
        <v>74126</v>
      </c>
      <c r="E3871" t="s">
        <v>445</v>
      </c>
    </row>
    <row r="3872" spans="1:5" ht="15" customHeight="1">
      <c r="A3872" s="41">
        <v>46133</v>
      </c>
      <c r="B3872" t="s">
        <v>547</v>
      </c>
      <c r="D3872">
        <v>22731</v>
      </c>
    </row>
    <row r="3873" spans="1:5" ht="15" customHeight="1">
      <c r="A3873" s="41">
        <v>46133</v>
      </c>
      <c r="B3873" t="s">
        <v>551</v>
      </c>
      <c r="D3873">
        <v>24785</v>
      </c>
    </row>
    <row r="3874" spans="1:5" ht="15" customHeight="1">
      <c r="A3874" s="41">
        <v>46133</v>
      </c>
      <c r="B3874" t="s">
        <v>552</v>
      </c>
      <c r="D3874">
        <v>28123</v>
      </c>
    </row>
    <row r="3875" spans="1:5" ht="15" customHeight="1">
      <c r="A3875" s="81">
        <v>44643</v>
      </c>
      <c r="B3875" t="s">
        <v>584</v>
      </c>
      <c r="D3875">
        <v>118036</v>
      </c>
    </row>
    <row r="3876" spans="1:5" ht="15" customHeight="1">
      <c r="A3876" s="81">
        <v>44679</v>
      </c>
      <c r="B3876" t="s">
        <v>19</v>
      </c>
      <c r="C3876">
        <v>5370</v>
      </c>
      <c r="D3876">
        <v>108620</v>
      </c>
    </row>
    <row r="3877" spans="1:5" ht="15" customHeight="1">
      <c r="A3877" s="81">
        <v>44686</v>
      </c>
      <c r="B3877" t="s">
        <v>202</v>
      </c>
      <c r="C3877">
        <v>1015</v>
      </c>
    </row>
    <row r="3878" spans="1:5" ht="15" customHeight="1">
      <c r="A3878" s="81">
        <v>44691</v>
      </c>
      <c r="B3878" t="s">
        <v>38</v>
      </c>
      <c r="C3878">
        <v>5065</v>
      </c>
      <c r="D3878">
        <v>80735</v>
      </c>
    </row>
    <row r="3879" spans="1:5" ht="15" customHeight="1">
      <c r="A3879" s="81">
        <v>44691</v>
      </c>
      <c r="B3879" t="s">
        <v>572</v>
      </c>
      <c r="D3879">
        <v>479779</v>
      </c>
    </row>
    <row r="3880" spans="1:5" ht="15" customHeight="1">
      <c r="A3880" s="81">
        <v>44692</v>
      </c>
      <c r="B3880" t="s">
        <v>177</v>
      </c>
      <c r="C3880">
        <v>4372</v>
      </c>
      <c r="D3880">
        <v>89821</v>
      </c>
    </row>
    <row r="3881" spans="1:5" ht="15" customHeight="1">
      <c r="A3881" s="81">
        <v>44776</v>
      </c>
      <c r="B3881" t="s">
        <v>359</v>
      </c>
      <c r="C3881">
        <v>10610</v>
      </c>
    </row>
    <row r="3882" spans="1:5" ht="15" customHeight="1">
      <c r="A3882" s="81">
        <v>44851</v>
      </c>
      <c r="B3882" t="s">
        <v>584</v>
      </c>
      <c r="D3882" t="s">
        <v>1199</v>
      </c>
    </row>
    <row r="3883" spans="1:5" ht="15" customHeight="1">
      <c r="A3883" s="81">
        <v>44874</v>
      </c>
      <c r="B3883" t="s">
        <v>155</v>
      </c>
      <c r="C3883">
        <v>6918</v>
      </c>
      <c r="D3883">
        <v>231336</v>
      </c>
    </row>
    <row r="3884" spans="1:5" ht="15" customHeight="1">
      <c r="A3884" s="81">
        <v>44875</v>
      </c>
      <c r="B3884" t="s">
        <v>177</v>
      </c>
      <c r="C3884">
        <v>5036</v>
      </c>
      <c r="D3884">
        <v>107563</v>
      </c>
    </row>
    <row r="3885" spans="1:5" ht="15" customHeight="1">
      <c r="A3885" s="81">
        <v>44875</v>
      </c>
      <c r="B3885" t="s">
        <v>169</v>
      </c>
      <c r="C3885">
        <v>4787</v>
      </c>
      <c r="D3885">
        <v>91638</v>
      </c>
    </row>
    <row r="3886" spans="1:5" ht="15" customHeight="1">
      <c r="A3886" s="81">
        <v>44881</v>
      </c>
      <c r="B3886" t="s">
        <v>50</v>
      </c>
      <c r="D3886">
        <v>193328</v>
      </c>
    </row>
    <row r="3887" spans="1:5" ht="15" customHeight="1">
      <c r="A3887" s="81">
        <v>44925</v>
      </c>
      <c r="B3887" t="s">
        <v>68</v>
      </c>
      <c r="D3887">
        <v>235198</v>
      </c>
      <c r="E3887" t="s">
        <v>36</v>
      </c>
    </row>
    <row r="3888" spans="1:5" ht="15" customHeight="1">
      <c r="A3888" s="81">
        <v>44963</v>
      </c>
      <c r="B3888" t="s">
        <v>559</v>
      </c>
      <c r="D3888">
        <v>449524</v>
      </c>
    </row>
    <row r="3889" spans="1:4" ht="15" customHeight="1">
      <c r="A3889" s="81">
        <v>44965</v>
      </c>
      <c r="B3889" t="s">
        <v>378</v>
      </c>
      <c r="C3889">
        <v>1786</v>
      </c>
    </row>
    <row r="3890" spans="1:4" ht="15" customHeight="1">
      <c r="A3890" s="81">
        <v>44966</v>
      </c>
      <c r="B3890" t="s">
        <v>356</v>
      </c>
      <c r="C3890">
        <v>12230</v>
      </c>
    </row>
    <row r="3891" spans="1:4" ht="15" customHeight="1">
      <c r="A3891" s="81">
        <v>44967</v>
      </c>
      <c r="B3891" t="s">
        <v>333</v>
      </c>
      <c r="C3891">
        <v>7421</v>
      </c>
    </row>
    <row r="3892" spans="1:4" ht="15" customHeight="1">
      <c r="A3892" s="81">
        <v>44974</v>
      </c>
      <c r="B3892" t="s">
        <v>359</v>
      </c>
      <c r="C3892">
        <v>11273</v>
      </c>
    </row>
    <row r="3893" spans="1:4" ht="15" customHeight="1">
      <c r="A3893" s="81">
        <v>44984</v>
      </c>
      <c r="B3893" t="s">
        <v>393</v>
      </c>
      <c r="C3893">
        <v>5590</v>
      </c>
    </row>
    <row r="3894" spans="1:4" ht="15" customHeight="1">
      <c r="A3894" s="81">
        <v>44991</v>
      </c>
      <c r="B3894" t="s">
        <v>164</v>
      </c>
      <c r="C3894">
        <v>10625</v>
      </c>
      <c r="D3894">
        <v>237000</v>
      </c>
    </row>
    <row r="3895" spans="1:4" ht="15" customHeight="1">
      <c r="A3895" s="81">
        <v>44994</v>
      </c>
      <c r="B3895" t="s">
        <v>202</v>
      </c>
      <c r="C3895">
        <v>1225</v>
      </c>
    </row>
    <row r="3896" spans="1:4" ht="15" customHeight="1">
      <c r="A3896" s="81">
        <v>44995</v>
      </c>
      <c r="B3896" t="s">
        <v>346</v>
      </c>
      <c r="C3896">
        <v>8368</v>
      </c>
    </row>
    <row r="3897" spans="1:4" ht="15" customHeight="1">
      <c r="A3897" s="81">
        <v>44998</v>
      </c>
      <c r="B3897" t="s">
        <v>556</v>
      </c>
      <c r="D3897">
        <v>510507</v>
      </c>
    </row>
    <row r="3898" spans="1:4" ht="15" customHeight="1">
      <c r="A3898" s="81">
        <v>45000</v>
      </c>
      <c r="B3898" t="s">
        <v>562</v>
      </c>
      <c r="D3898">
        <v>256600</v>
      </c>
    </row>
    <row r="3899" spans="1:4" ht="15" customHeight="1">
      <c r="A3899" s="81">
        <v>45005</v>
      </c>
      <c r="B3899" t="s">
        <v>38</v>
      </c>
      <c r="C3899">
        <v>6591</v>
      </c>
      <c r="D3899">
        <v>126301</v>
      </c>
    </row>
    <row r="3900" spans="1:4" ht="15" customHeight="1">
      <c r="A3900" s="81">
        <v>45005</v>
      </c>
      <c r="B3900" t="s">
        <v>1188</v>
      </c>
      <c r="C3900">
        <v>5728</v>
      </c>
      <c r="D3900">
        <v>207869</v>
      </c>
    </row>
    <row r="3901" spans="1:4" ht="15" customHeight="1">
      <c r="A3901" s="81">
        <v>45007</v>
      </c>
      <c r="B3901" t="s">
        <v>155</v>
      </c>
      <c r="C3901">
        <v>7686</v>
      </c>
    </row>
    <row r="3902" spans="1:4" ht="15" customHeight="1">
      <c r="A3902" s="81">
        <v>45009</v>
      </c>
      <c r="B3902" t="s">
        <v>1187</v>
      </c>
      <c r="C3902">
        <v>1173</v>
      </c>
    </row>
    <row r="3903" spans="1:4" ht="15" customHeight="1">
      <c r="A3903" s="81">
        <v>45014</v>
      </c>
      <c r="B3903" t="s">
        <v>1186</v>
      </c>
      <c r="C3903">
        <v>5680</v>
      </c>
      <c r="D3903">
        <v>174589</v>
      </c>
    </row>
    <row r="3904" spans="1:4" ht="15" customHeight="1">
      <c r="A3904" s="81">
        <v>45014</v>
      </c>
      <c r="B3904" t="s">
        <v>1186</v>
      </c>
      <c r="C3904">
        <v>5680</v>
      </c>
      <c r="D3904">
        <v>174589</v>
      </c>
    </row>
    <row r="3905" spans="1:5" ht="15" customHeight="1">
      <c r="A3905" s="81">
        <v>45019</v>
      </c>
      <c r="B3905" t="s">
        <v>165</v>
      </c>
      <c r="C3905">
        <v>6418</v>
      </c>
      <c r="E3905" t="s">
        <v>300</v>
      </c>
    </row>
    <row r="3906" spans="1:5" ht="15" customHeight="1">
      <c r="A3906" s="81">
        <v>45021</v>
      </c>
      <c r="B3906" t="s">
        <v>386</v>
      </c>
      <c r="C3906">
        <v>6823</v>
      </c>
    </row>
    <row r="3907" spans="1:5" ht="15" customHeight="1">
      <c r="A3907" s="81">
        <v>45040</v>
      </c>
      <c r="B3907" t="s">
        <v>374</v>
      </c>
      <c r="C3907">
        <v>4000</v>
      </c>
    </row>
    <row r="3908" spans="1:5" ht="15" customHeight="1">
      <c r="A3908" s="81">
        <v>45041</v>
      </c>
      <c r="B3908" t="s">
        <v>396</v>
      </c>
      <c r="C3908">
        <v>6050</v>
      </c>
    </row>
    <row r="3909" spans="1:5" ht="15" customHeight="1">
      <c r="A3909" s="81">
        <v>45051</v>
      </c>
      <c r="B3909" t="s">
        <v>35</v>
      </c>
      <c r="D3909">
        <v>79860</v>
      </c>
    </row>
    <row r="3910" spans="1:5" ht="15" customHeight="1">
      <c r="A3910" s="81">
        <v>45054</v>
      </c>
      <c r="B3910" t="s">
        <v>32</v>
      </c>
      <c r="C3910">
        <v>6702</v>
      </c>
      <c r="D3910">
        <v>148590</v>
      </c>
    </row>
    <row r="3911" spans="1:5" ht="15" customHeight="1">
      <c r="A3911" s="81">
        <v>45056</v>
      </c>
      <c r="B3911" t="s">
        <v>25</v>
      </c>
      <c r="C3911">
        <v>5327</v>
      </c>
      <c r="D3911">
        <v>126893</v>
      </c>
    </row>
    <row r="3912" spans="1:5" ht="15" customHeight="1">
      <c r="A3912" s="81">
        <v>45061</v>
      </c>
      <c r="B3912" t="s">
        <v>310</v>
      </c>
      <c r="C3912">
        <v>10128</v>
      </c>
    </row>
    <row r="3913" spans="1:5" ht="15" customHeight="1">
      <c r="A3913" s="81">
        <v>45064</v>
      </c>
      <c r="B3913" t="s">
        <v>356</v>
      </c>
      <c r="C3913">
        <v>12478</v>
      </c>
      <c r="D3913">
        <v>12478</v>
      </c>
    </row>
    <row r="3914" spans="1:5" ht="15" customHeight="1">
      <c r="A3914" s="81">
        <v>45064</v>
      </c>
      <c r="B3914" t="s">
        <v>1185</v>
      </c>
      <c r="D3914">
        <v>246972</v>
      </c>
    </row>
    <row r="3915" spans="1:5" ht="15" customHeight="1">
      <c r="A3915" s="81">
        <v>45068</v>
      </c>
      <c r="B3915" t="s">
        <v>155</v>
      </c>
      <c r="C3915">
        <v>8002</v>
      </c>
      <c r="D3915">
        <v>278869</v>
      </c>
    </row>
    <row r="3916" spans="1:5" ht="15" customHeight="1">
      <c r="A3916" s="81">
        <v>45082</v>
      </c>
      <c r="B3916" t="s">
        <v>365</v>
      </c>
      <c r="C3916">
        <v>3458</v>
      </c>
    </row>
    <row r="3917" spans="1:5" ht="15" customHeight="1">
      <c r="A3917" s="81">
        <v>45085</v>
      </c>
      <c r="B3917" t="s">
        <v>390</v>
      </c>
      <c r="C3917">
        <v>9276</v>
      </c>
    </row>
    <row r="3918" spans="1:5" ht="15" customHeight="1">
      <c r="A3918" s="81">
        <v>45118</v>
      </c>
      <c r="B3918" t="s">
        <v>330</v>
      </c>
      <c r="C3918">
        <v>24054</v>
      </c>
    </row>
    <row r="3919" spans="1:5" ht="15" customHeight="1">
      <c r="A3919" s="81">
        <v>45124</v>
      </c>
      <c r="B3919" t="s">
        <v>333</v>
      </c>
      <c r="C3919">
        <v>11425</v>
      </c>
    </row>
    <row r="3920" spans="1:5" ht="15" customHeight="1">
      <c r="A3920" s="81">
        <v>45152</v>
      </c>
      <c r="B3920" t="s">
        <v>346</v>
      </c>
      <c r="C3920">
        <v>8411</v>
      </c>
    </row>
    <row r="3921" spans="1:4" ht="15" customHeight="1">
      <c r="A3921" s="81">
        <v>45154</v>
      </c>
      <c r="B3921" t="s">
        <v>175</v>
      </c>
      <c r="C3921">
        <v>5705</v>
      </c>
    </row>
    <row r="3922" spans="1:4" ht="15" customHeight="1">
      <c r="A3922" s="81">
        <v>45189</v>
      </c>
      <c r="B3922" t="s">
        <v>319</v>
      </c>
      <c r="C3922">
        <v>7947</v>
      </c>
    </row>
    <row r="3923" spans="1:4" ht="15" customHeight="1">
      <c r="A3923" s="81">
        <v>45190</v>
      </c>
      <c r="B3923" t="s">
        <v>565</v>
      </c>
      <c r="D3923">
        <v>113489</v>
      </c>
    </row>
    <row r="3924" spans="1:4" ht="15" customHeight="1">
      <c r="A3924" s="81">
        <v>45237</v>
      </c>
      <c r="B3924" t="s">
        <v>661</v>
      </c>
      <c r="C3924">
        <v>6016</v>
      </c>
      <c r="D3924">
        <v>176309</v>
      </c>
    </row>
    <row r="3925" spans="1:4" ht="15" customHeight="1">
      <c r="A3925" s="41">
        <v>45992</v>
      </c>
      <c r="B3925" t="s">
        <v>155</v>
      </c>
      <c r="D3925">
        <v>455820</v>
      </c>
    </row>
    <row r="3926" spans="1:4" ht="15" customHeight="1">
      <c r="A3926" s="41">
        <v>45994</v>
      </c>
      <c r="B3926" t="s">
        <v>155</v>
      </c>
      <c r="D3926">
        <v>456437</v>
      </c>
    </row>
    <row r="3927" spans="1:4" ht="15" customHeight="1">
      <c r="A3927" s="41">
        <v>45995</v>
      </c>
      <c r="B3927" t="s">
        <v>155</v>
      </c>
      <c r="D3927">
        <v>457000</v>
      </c>
    </row>
    <row r="3928" spans="1:4" ht="15" customHeight="1">
      <c r="A3928" s="41">
        <v>45997</v>
      </c>
      <c r="B3928" t="s">
        <v>155</v>
      </c>
      <c r="D3928">
        <v>457631</v>
      </c>
    </row>
    <row r="3929" spans="1:4" ht="15" customHeight="1">
      <c r="A3929" s="41">
        <v>46000</v>
      </c>
      <c r="B3929" t="s">
        <v>155</v>
      </c>
      <c r="D3929">
        <v>458120</v>
      </c>
    </row>
    <row r="3930" spans="1:4" ht="15" customHeight="1">
      <c r="A3930" s="41">
        <v>46006</v>
      </c>
      <c r="B3930" t="s">
        <v>155</v>
      </c>
      <c r="D3930">
        <v>459210</v>
      </c>
    </row>
    <row r="3931" spans="1:4" ht="15" customHeight="1">
      <c r="A3931" s="41">
        <v>46007</v>
      </c>
      <c r="B3931" t="s">
        <v>155</v>
      </c>
      <c r="D3931">
        <v>460220</v>
      </c>
    </row>
    <row r="3932" spans="1:4" ht="15" customHeight="1">
      <c r="A3932" s="41">
        <v>46014</v>
      </c>
      <c r="B3932" t="s">
        <v>155</v>
      </c>
      <c r="D3932">
        <v>461400</v>
      </c>
    </row>
    <row r="3933" spans="1:4" ht="15" customHeight="1">
      <c r="A3933" s="41">
        <v>46020</v>
      </c>
      <c r="B3933" t="s">
        <v>155</v>
      </c>
      <c r="D3933">
        <v>461580</v>
      </c>
    </row>
    <row r="3934" spans="1:4" ht="15" customHeight="1">
      <c r="A3934" s="41">
        <v>46021</v>
      </c>
      <c r="B3934" t="s">
        <v>155</v>
      </c>
      <c r="D3934">
        <v>462030</v>
      </c>
    </row>
    <row r="3935" spans="1:4" ht="15" customHeight="1">
      <c r="A3935" s="41">
        <v>46028</v>
      </c>
      <c r="B3935" t="s">
        <v>155</v>
      </c>
      <c r="D3935">
        <v>462662</v>
      </c>
    </row>
    <row r="3936" spans="1:4" ht="15" customHeight="1">
      <c r="A3936" s="41">
        <v>46029</v>
      </c>
      <c r="B3936" t="s">
        <v>155</v>
      </c>
      <c r="D3936">
        <v>463201</v>
      </c>
    </row>
    <row r="3937" spans="1:5" ht="15" customHeight="1">
      <c r="A3937" s="41">
        <v>46030</v>
      </c>
      <c r="B3937" t="s">
        <v>155</v>
      </c>
      <c r="D3937">
        <v>463593</v>
      </c>
    </row>
    <row r="3938" spans="1:5" ht="15" customHeight="1">
      <c r="A3938" s="41">
        <v>46034</v>
      </c>
      <c r="B3938" t="s">
        <v>155</v>
      </c>
      <c r="D3938">
        <v>465425</v>
      </c>
    </row>
    <row r="3939" spans="1:5" ht="15" customHeight="1">
      <c r="A3939" s="41">
        <v>46035</v>
      </c>
      <c r="B3939" t="s">
        <v>155</v>
      </c>
      <c r="D3939">
        <v>465188</v>
      </c>
    </row>
    <row r="3940" spans="1:5" ht="15" customHeight="1">
      <c r="A3940" s="41">
        <v>46036</v>
      </c>
      <c r="B3940" t="s">
        <v>155</v>
      </c>
      <c r="D3940">
        <v>466029</v>
      </c>
    </row>
    <row r="3941" spans="1:5" ht="15" customHeight="1">
      <c r="A3941" s="41">
        <v>46041</v>
      </c>
      <c r="B3941" t="s">
        <v>155</v>
      </c>
      <c r="D3941">
        <v>466870</v>
      </c>
    </row>
    <row r="3942" spans="1:5" ht="15" customHeight="1">
      <c r="A3942" s="41">
        <v>46042</v>
      </c>
      <c r="B3942" t="s">
        <v>155</v>
      </c>
      <c r="D3942">
        <v>467470</v>
      </c>
    </row>
    <row r="3943" spans="1:5" ht="15" customHeight="1">
      <c r="A3943" s="41">
        <v>46043</v>
      </c>
      <c r="B3943" t="s">
        <v>155</v>
      </c>
      <c r="D3943">
        <v>467948</v>
      </c>
    </row>
    <row r="3944" spans="1:5" ht="15" customHeight="1">
      <c r="A3944" s="41">
        <v>46045</v>
      </c>
      <c r="B3944" t="s">
        <v>155</v>
      </c>
      <c r="D3944">
        <v>468556</v>
      </c>
    </row>
    <row r="3945" spans="1:5" ht="15" customHeight="1">
      <c r="A3945" s="41">
        <v>46048</v>
      </c>
      <c r="B3945" t="s">
        <v>155</v>
      </c>
      <c r="D3945">
        <v>468980</v>
      </c>
    </row>
    <row r="3946" spans="1:5" ht="15" customHeight="1">
      <c r="A3946" s="41">
        <v>46049</v>
      </c>
      <c r="B3946" t="s">
        <v>155</v>
      </c>
      <c r="D3946">
        <v>469510</v>
      </c>
    </row>
    <row r="3947" spans="1:5" ht="15" customHeight="1">
      <c r="A3947" s="41">
        <v>46050</v>
      </c>
      <c r="B3947" t="s">
        <v>155</v>
      </c>
      <c r="D3947">
        <v>469895</v>
      </c>
    </row>
    <row r="3948" spans="1:5" ht="15" customHeight="1">
      <c r="A3948" s="41">
        <v>46051</v>
      </c>
      <c r="B3948" t="s">
        <v>155</v>
      </c>
      <c r="D3948">
        <v>470044</v>
      </c>
    </row>
    <row r="3949" spans="1:5" ht="15" customHeight="1">
      <c r="A3949" s="41">
        <v>46052</v>
      </c>
      <c r="B3949" t="s">
        <v>155</v>
      </c>
      <c r="D3949">
        <v>470420</v>
      </c>
    </row>
    <row r="3950" spans="1:5" ht="15" customHeight="1">
      <c r="A3950" s="41">
        <v>46057</v>
      </c>
      <c r="B3950" t="s">
        <v>155</v>
      </c>
      <c r="D3950">
        <v>471337</v>
      </c>
      <c r="E3950" s="62" t="s">
        <v>33</v>
      </c>
    </row>
    <row r="3951" spans="1:5" ht="15" customHeight="1">
      <c r="A3951" s="41">
        <v>46058</v>
      </c>
      <c r="B3951" t="s">
        <v>155</v>
      </c>
      <c r="D3951">
        <v>471724</v>
      </c>
      <c r="E3951" s="62" t="s">
        <v>33</v>
      </c>
    </row>
    <row r="3952" spans="1:5" ht="15" customHeight="1">
      <c r="A3952" s="41">
        <v>46062</v>
      </c>
      <c r="B3952" t="s">
        <v>155</v>
      </c>
      <c r="D3952">
        <v>472793</v>
      </c>
      <c r="E3952" s="62" t="s">
        <v>33</v>
      </c>
    </row>
    <row r="3953" spans="1:5" ht="15" customHeight="1">
      <c r="A3953" s="41">
        <v>46062</v>
      </c>
      <c r="B3953" t="s">
        <v>155</v>
      </c>
      <c r="D3953">
        <v>472524</v>
      </c>
      <c r="E3953" s="62" t="s">
        <v>33</v>
      </c>
    </row>
    <row r="3954" spans="1:5" ht="15" customHeight="1">
      <c r="A3954" s="41">
        <v>46063</v>
      </c>
      <c r="B3954" t="s">
        <v>155</v>
      </c>
      <c r="D3954">
        <v>473222</v>
      </c>
      <c r="E3954" s="62" t="s">
        <v>33</v>
      </c>
    </row>
    <row r="3955" spans="1:5" ht="15" customHeight="1">
      <c r="A3955" s="41">
        <v>46064</v>
      </c>
      <c r="B3955" t="s">
        <v>155</v>
      </c>
      <c r="D3955">
        <v>473442</v>
      </c>
      <c r="E3955" s="62" t="s">
        <v>33</v>
      </c>
    </row>
    <row r="3956" spans="1:5" ht="15" customHeight="1">
      <c r="A3956" s="41">
        <v>46070</v>
      </c>
      <c r="B3956" t="s">
        <v>155</v>
      </c>
      <c r="D3956">
        <v>474885</v>
      </c>
      <c r="E3956" s="62" t="s">
        <v>33</v>
      </c>
    </row>
    <row r="3957" spans="1:5" ht="15" customHeight="1">
      <c r="A3957" s="41">
        <v>46070</v>
      </c>
      <c r="B3957" t="s">
        <v>155</v>
      </c>
      <c r="D3957">
        <v>475398</v>
      </c>
      <c r="E3957" s="62" t="s">
        <v>33</v>
      </c>
    </row>
    <row r="3958" spans="1:5" ht="15" customHeight="1">
      <c r="A3958" s="41">
        <v>46071</v>
      </c>
      <c r="B3958" t="s">
        <v>155</v>
      </c>
      <c r="D3958">
        <v>775645</v>
      </c>
      <c r="E3958" s="62" t="s">
        <v>33</v>
      </c>
    </row>
    <row r="3959" spans="1:5" ht="15" customHeight="1">
      <c r="A3959" s="41">
        <v>46072</v>
      </c>
      <c r="B3959" t="s">
        <v>155</v>
      </c>
      <c r="D3959">
        <v>475960</v>
      </c>
      <c r="E3959" s="62" t="s">
        <v>33</v>
      </c>
    </row>
    <row r="3960" spans="1:5" ht="15" customHeight="1">
      <c r="A3960" s="41">
        <v>46073</v>
      </c>
      <c r="B3960" t="s">
        <v>155</v>
      </c>
      <c r="D3960">
        <v>447195</v>
      </c>
      <c r="E3960" s="62" t="s">
        <v>33</v>
      </c>
    </row>
    <row r="3961" spans="1:5" ht="15" customHeight="1">
      <c r="A3961" s="41">
        <v>46076</v>
      </c>
      <c r="B3961" t="s">
        <v>155</v>
      </c>
      <c r="D3961">
        <v>476777</v>
      </c>
      <c r="E3961" s="62" t="s">
        <v>33</v>
      </c>
    </row>
    <row r="3962" spans="1:5" ht="15" customHeight="1">
      <c r="A3962" s="41">
        <v>46083</v>
      </c>
      <c r="B3962" t="s">
        <v>155</v>
      </c>
      <c r="D3962">
        <v>477228</v>
      </c>
      <c r="E3962" s="62" t="s">
        <v>33</v>
      </c>
    </row>
    <row r="3963" spans="1:5" ht="15" customHeight="1">
      <c r="A3963" s="41">
        <v>46085</v>
      </c>
      <c r="B3963" t="s">
        <v>155</v>
      </c>
      <c r="D3963">
        <v>477620</v>
      </c>
      <c r="E3963" s="62" t="s">
        <v>33</v>
      </c>
    </row>
    <row r="3964" spans="1:5" ht="15" customHeight="1">
      <c r="A3964" s="41">
        <v>46090</v>
      </c>
      <c r="B3964" t="s">
        <v>155</v>
      </c>
      <c r="D3964">
        <v>478563</v>
      </c>
      <c r="E3964" s="62" t="s">
        <v>33</v>
      </c>
    </row>
    <row r="3965" spans="1:5" ht="15" customHeight="1">
      <c r="A3965" s="68">
        <v>46104</v>
      </c>
      <c r="B3965" s="62" t="s">
        <v>155</v>
      </c>
      <c r="C3965" s="65"/>
      <c r="D3965" s="65">
        <v>480980</v>
      </c>
      <c r="E3965" s="62" t="s">
        <v>33</v>
      </c>
    </row>
    <row r="3966" spans="1:5" ht="15" customHeight="1">
      <c r="A3966" s="68">
        <v>46107</v>
      </c>
      <c r="B3966" s="62" t="s">
        <v>155</v>
      </c>
      <c r="C3966" s="65"/>
      <c r="D3966" s="65">
        <v>481018</v>
      </c>
      <c r="E3966" s="62" t="s">
        <v>33</v>
      </c>
    </row>
    <row r="3967" spans="1:5" ht="15" customHeight="1">
      <c r="A3967" s="81">
        <v>46108</v>
      </c>
      <c r="B3967" t="s">
        <v>427</v>
      </c>
      <c r="C3967">
        <v>6777</v>
      </c>
      <c r="E3967" t="s">
        <v>531</v>
      </c>
    </row>
    <row r="3968" spans="1:5" ht="15" customHeight="1">
      <c r="A3968" s="81">
        <v>46108</v>
      </c>
      <c r="B3968" t="s">
        <v>316</v>
      </c>
      <c r="C3968">
        <v>14098</v>
      </c>
      <c r="E3968" t="s">
        <v>531</v>
      </c>
    </row>
    <row r="3969" spans="1:5" ht="15" customHeight="1">
      <c r="A3969" s="81">
        <v>46108</v>
      </c>
      <c r="B3969" t="s">
        <v>321</v>
      </c>
      <c r="C3969">
        <v>9000.5</v>
      </c>
      <c r="E3969" t="s">
        <v>531</v>
      </c>
    </row>
    <row r="3970" spans="1:5" ht="15" customHeight="1">
      <c r="A3970" s="81">
        <v>46139</v>
      </c>
      <c r="B3970" t="s">
        <v>393</v>
      </c>
      <c r="C3970">
        <v>169</v>
      </c>
      <c r="E3970" t="s">
        <v>666</v>
      </c>
    </row>
    <row r="3971" spans="1:5" ht="15" customHeight="1">
      <c r="A3971" s="81">
        <v>46139</v>
      </c>
      <c r="B3971" t="s">
        <v>512</v>
      </c>
      <c r="D3971">
        <v>60235</v>
      </c>
      <c r="E3971" t="s">
        <v>666</v>
      </c>
    </row>
    <row r="3972" spans="1:5" ht="15" customHeight="1">
      <c r="A3972" s="81">
        <v>46139</v>
      </c>
      <c r="B3972" t="s">
        <v>306</v>
      </c>
      <c r="C3972">
        <v>21474</v>
      </c>
      <c r="E3972" t="s">
        <v>667</v>
      </c>
    </row>
    <row r="3973" spans="1:5" ht="15" customHeight="1">
      <c r="A3973" s="81">
        <v>46139</v>
      </c>
      <c r="B3973" t="s">
        <v>458</v>
      </c>
      <c r="D3973">
        <v>99450</v>
      </c>
      <c r="E3973" t="s">
        <v>667</v>
      </c>
    </row>
    <row r="3974" spans="1:5" ht="15" customHeight="1">
      <c r="A3974" s="81">
        <v>46139</v>
      </c>
      <c r="B3974" t="s">
        <v>533</v>
      </c>
      <c r="D3974">
        <v>81234</v>
      </c>
      <c r="E3974" t="s">
        <v>667</v>
      </c>
    </row>
    <row r="3975" spans="1:5" ht="15" customHeight="1">
      <c r="A3975" s="81">
        <v>46135</v>
      </c>
      <c r="B3975" t="s">
        <v>258</v>
      </c>
      <c r="C3975">
        <v>3006</v>
      </c>
      <c r="E3975" t="s">
        <v>1202</v>
      </c>
    </row>
    <row r="3976" spans="1:5" ht="15" customHeight="1">
      <c r="A3976" s="81">
        <v>46135</v>
      </c>
      <c r="B3976" t="s">
        <v>417</v>
      </c>
      <c r="C3976">
        <v>8457</v>
      </c>
      <c r="E3976" t="s">
        <v>1202</v>
      </c>
    </row>
    <row r="3977" spans="1:5" ht="15" customHeight="1">
      <c r="A3977" s="81">
        <v>46135</v>
      </c>
      <c r="B3977" t="s">
        <v>288</v>
      </c>
      <c r="C3977">
        <v>1743</v>
      </c>
      <c r="E3977" t="s">
        <v>1202</v>
      </c>
    </row>
    <row r="3978" spans="1:5" ht="15" customHeight="1">
      <c r="A3978" s="81">
        <v>46135</v>
      </c>
      <c r="B3978" t="s">
        <v>254</v>
      </c>
      <c r="C3978">
        <v>15846</v>
      </c>
      <c r="E3978" t="s">
        <v>1202</v>
      </c>
    </row>
    <row r="3979" spans="1:5" ht="15" customHeight="1">
      <c r="A3979" s="81"/>
      <c r="B3979" t="s">
        <v>81</v>
      </c>
      <c r="E3979" t="s">
        <v>1202</v>
      </c>
    </row>
    <row r="3980" spans="1:5" ht="15" customHeight="1">
      <c r="A3980" s="81"/>
      <c r="B3980" t="s">
        <v>171</v>
      </c>
      <c r="E3980" t="s">
        <v>1202</v>
      </c>
    </row>
    <row r="3981" spans="1:5" ht="15" customHeight="1">
      <c r="A3981" s="81">
        <v>46132</v>
      </c>
      <c r="B3981" t="s">
        <v>19</v>
      </c>
      <c r="C3981">
        <v>10496</v>
      </c>
      <c r="E3981" t="s">
        <v>1202</v>
      </c>
    </row>
    <row r="3982" spans="1:5" ht="15" customHeight="1">
      <c r="A3982" s="81"/>
      <c r="B3982" t="s">
        <v>431</v>
      </c>
      <c r="E3982" t="s">
        <v>521</v>
      </c>
    </row>
    <row r="3983" spans="1:5" ht="15" customHeight="1">
      <c r="A3983" s="81"/>
      <c r="B3983" t="s">
        <v>447</v>
      </c>
      <c r="C3983">
        <v>1872</v>
      </c>
      <c r="E3983" t="s">
        <v>521</v>
      </c>
    </row>
    <row r="3984" spans="1:5" ht="15" customHeight="1">
      <c r="A3984" s="81"/>
      <c r="B3984" t="s">
        <v>273</v>
      </c>
      <c r="C3984">
        <v>4327</v>
      </c>
      <c r="E3984" t="s">
        <v>521</v>
      </c>
    </row>
    <row r="3985" spans="1:5" ht="15" customHeight="1">
      <c r="A3985" s="81"/>
      <c r="B3985" t="s">
        <v>299</v>
      </c>
      <c r="C3985">
        <v>8819</v>
      </c>
      <c r="E3985" t="s">
        <v>521</v>
      </c>
    </row>
    <row r="3986" spans="1:5" ht="15" customHeight="1">
      <c r="A3986" s="81"/>
      <c r="B3986" t="s">
        <v>420</v>
      </c>
      <c r="C3986">
        <v>5765</v>
      </c>
      <c r="E3986" t="s">
        <v>521</v>
      </c>
    </row>
    <row r="3987" spans="1:5" ht="15" customHeight="1">
      <c r="A3987" s="81">
        <v>46136</v>
      </c>
      <c r="B3987" t="s">
        <v>354</v>
      </c>
      <c r="C3987">
        <v>7120</v>
      </c>
      <c r="E3987" t="s">
        <v>521</v>
      </c>
    </row>
    <row r="3988" spans="1:5" ht="15" customHeight="1">
      <c r="A3988" s="81">
        <v>46136</v>
      </c>
      <c r="B3988" t="s">
        <v>496</v>
      </c>
      <c r="D3988">
        <v>122790</v>
      </c>
      <c r="E3988" t="s">
        <v>521</v>
      </c>
    </row>
    <row r="3989" spans="1:5" ht="15" customHeight="1">
      <c r="A3989" s="81">
        <v>46136</v>
      </c>
      <c r="B3989" t="s">
        <v>620</v>
      </c>
      <c r="E3989" t="s">
        <v>521</v>
      </c>
    </row>
    <row r="3990" spans="1:5" ht="15" customHeight="1">
      <c r="A3990" s="81">
        <v>46136</v>
      </c>
      <c r="B3990" t="s">
        <v>630</v>
      </c>
      <c r="D3990">
        <v>151721</v>
      </c>
      <c r="E3990" t="s">
        <v>521</v>
      </c>
    </row>
    <row r="3991" spans="1:5" ht="15" customHeight="1">
      <c r="A3991" s="81">
        <v>46136</v>
      </c>
      <c r="B3991" t="s">
        <v>514</v>
      </c>
      <c r="D3991">
        <v>70545</v>
      </c>
      <c r="E3991" t="s">
        <v>521</v>
      </c>
    </row>
    <row r="3992" spans="1:5" ht="15" customHeight="1">
      <c r="A3992" s="81">
        <v>46136</v>
      </c>
      <c r="B3992" t="s">
        <v>517</v>
      </c>
      <c r="D3992">
        <v>46461</v>
      </c>
      <c r="E3992" t="s">
        <v>521</v>
      </c>
    </row>
    <row r="3993" spans="1:5" ht="15" customHeight="1">
      <c r="A3993" s="81"/>
      <c r="B3993" t="s">
        <v>539</v>
      </c>
      <c r="E3993" t="s">
        <v>521</v>
      </c>
    </row>
    <row r="3994" spans="1:5" ht="15" customHeight="1">
      <c r="A3994" s="81">
        <v>46136</v>
      </c>
      <c r="B3994" t="s">
        <v>528</v>
      </c>
      <c r="D3994">
        <v>74968</v>
      </c>
      <c r="E3994" t="s">
        <v>521</v>
      </c>
    </row>
    <row r="3995" spans="1:5" ht="15" customHeight="1">
      <c r="A3995" s="81"/>
      <c r="B3995" t="s">
        <v>559</v>
      </c>
      <c r="E3995" t="s">
        <v>521</v>
      </c>
    </row>
    <row r="3996" spans="1:5" ht="15" customHeight="1">
      <c r="A3996" s="81">
        <v>46129</v>
      </c>
      <c r="B3996" t="s">
        <v>379</v>
      </c>
      <c r="C3996">
        <v>3578</v>
      </c>
      <c r="E3996" t="s">
        <v>84</v>
      </c>
    </row>
    <row r="3997" spans="1:5" ht="15" customHeight="1">
      <c r="A3997" s="81">
        <v>46129</v>
      </c>
      <c r="B3997" t="s">
        <v>449</v>
      </c>
      <c r="C3997">
        <v>1861</v>
      </c>
      <c r="E3997" t="s">
        <v>84</v>
      </c>
    </row>
    <row r="3998" spans="1:5" ht="15" customHeight="1">
      <c r="A3998" s="81">
        <v>46129</v>
      </c>
      <c r="B3998" t="s">
        <v>424</v>
      </c>
      <c r="C3998">
        <v>589</v>
      </c>
      <c r="E3998" t="s">
        <v>84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0"/>
  <sheetViews>
    <sheetView zoomScaleNormal="100" workbookViewId="0">
      <pane ySplit="3" topLeftCell="A4" activePane="bottomLeft" state="frozen"/>
      <selection pane="bottomLeft" activeCell="A134" sqref="A134:D134"/>
    </sheetView>
  </sheetViews>
  <sheetFormatPr baseColWidth="10" defaultColWidth="9.140625" defaultRowHeight="15" customHeight="1"/>
  <cols>
    <col min="1" max="2" width="12" customWidth="1"/>
    <col min="3" max="3" width="22.85546875" customWidth="1"/>
    <col min="4" max="4" width="12" customWidth="1"/>
    <col min="5" max="5" width="10.28515625" customWidth="1"/>
    <col min="6" max="6" width="10" customWidth="1"/>
    <col min="7" max="7" width="12" customWidth="1"/>
    <col min="8" max="8" width="32.140625" customWidth="1"/>
    <col min="9" max="9" width="25.42578125" style="9" customWidth="1"/>
    <col min="10" max="10" width="12" customWidth="1"/>
  </cols>
  <sheetData>
    <row r="1" spans="1:10" ht="18.75" customHeight="1">
      <c r="A1" s="85" t="s">
        <v>688</v>
      </c>
      <c r="B1" s="85"/>
      <c r="C1" s="85"/>
      <c r="D1" s="85"/>
      <c r="E1" s="85"/>
      <c r="F1" s="85"/>
      <c r="G1" s="85"/>
      <c r="H1" s="85"/>
      <c r="I1" s="85"/>
      <c r="J1" s="85"/>
    </row>
    <row r="3" spans="1:10">
      <c r="A3" s="1" t="s">
        <v>656</v>
      </c>
      <c r="B3" s="1" t="s">
        <v>1</v>
      </c>
      <c r="C3" s="1" t="s">
        <v>689</v>
      </c>
      <c r="D3" s="1" t="s">
        <v>690</v>
      </c>
      <c r="E3" s="1" t="s">
        <v>691</v>
      </c>
      <c r="F3" s="1" t="s">
        <v>692</v>
      </c>
      <c r="G3" s="1" t="s">
        <v>693</v>
      </c>
      <c r="H3" s="1" t="s">
        <v>694</v>
      </c>
      <c r="I3" s="10" t="s">
        <v>695</v>
      </c>
      <c r="J3" s="1" t="s">
        <v>696</v>
      </c>
    </row>
    <row r="4" spans="1:10">
      <c r="A4" s="41">
        <v>45967</v>
      </c>
      <c r="B4" t="s">
        <v>359</v>
      </c>
      <c r="C4" t="s">
        <v>697</v>
      </c>
      <c r="D4">
        <v>13469</v>
      </c>
      <c r="E4" t="s">
        <v>698</v>
      </c>
      <c r="F4">
        <v>15910</v>
      </c>
      <c r="J4" t="s">
        <v>699</v>
      </c>
    </row>
    <row r="5" spans="1:10">
      <c r="A5" s="41">
        <v>45954</v>
      </c>
      <c r="B5" t="s">
        <v>417</v>
      </c>
      <c r="C5" t="s">
        <v>697</v>
      </c>
      <c r="D5">
        <v>7636</v>
      </c>
      <c r="E5" t="s">
        <v>698</v>
      </c>
      <c r="F5">
        <v>15906</v>
      </c>
      <c r="J5" t="s">
        <v>699</v>
      </c>
    </row>
    <row r="6" spans="1:10">
      <c r="A6" s="41">
        <v>45967</v>
      </c>
      <c r="B6" t="s">
        <v>379</v>
      </c>
      <c r="C6" t="s">
        <v>697</v>
      </c>
      <c r="D6">
        <v>3240</v>
      </c>
      <c r="E6" t="s">
        <v>698</v>
      </c>
      <c r="F6">
        <v>15908</v>
      </c>
      <c r="J6" t="s">
        <v>699</v>
      </c>
    </row>
    <row r="7" spans="1:10">
      <c r="A7" s="41">
        <v>45994</v>
      </c>
      <c r="B7" t="s">
        <v>417</v>
      </c>
      <c r="C7" t="s">
        <v>700</v>
      </c>
      <c r="D7">
        <v>7843</v>
      </c>
      <c r="E7" t="s">
        <v>701</v>
      </c>
      <c r="J7" t="s">
        <v>699</v>
      </c>
    </row>
    <row r="8" spans="1:10">
      <c r="A8" s="41">
        <v>46042</v>
      </c>
      <c r="B8" t="s">
        <v>417</v>
      </c>
      <c r="C8" t="s">
        <v>697</v>
      </c>
      <c r="D8">
        <v>8046</v>
      </c>
      <c r="E8" t="s">
        <v>698</v>
      </c>
      <c r="J8" t="s">
        <v>699</v>
      </c>
    </row>
    <row r="9" spans="1:10">
      <c r="A9" s="41">
        <v>46042</v>
      </c>
      <c r="B9" t="s">
        <v>431</v>
      </c>
      <c r="C9" t="s">
        <v>702</v>
      </c>
      <c r="D9">
        <v>9878</v>
      </c>
      <c r="E9" t="s">
        <v>701</v>
      </c>
      <c r="J9" t="s">
        <v>699</v>
      </c>
    </row>
    <row r="10" spans="1:10">
      <c r="A10" s="41">
        <v>45972</v>
      </c>
      <c r="B10" t="s">
        <v>171</v>
      </c>
      <c r="C10" t="s">
        <v>697</v>
      </c>
      <c r="D10">
        <v>1453</v>
      </c>
      <c r="E10" t="s">
        <v>698</v>
      </c>
      <c r="F10">
        <v>15913</v>
      </c>
      <c r="J10" t="s">
        <v>699</v>
      </c>
    </row>
    <row r="11" spans="1:10">
      <c r="A11" s="41">
        <v>45980</v>
      </c>
      <c r="B11" t="s">
        <v>19</v>
      </c>
      <c r="C11" t="s">
        <v>703</v>
      </c>
      <c r="D11">
        <v>9695</v>
      </c>
      <c r="E11" t="s">
        <v>698</v>
      </c>
      <c r="F11">
        <v>15914</v>
      </c>
      <c r="J11" t="s">
        <v>699</v>
      </c>
    </row>
    <row r="12" spans="1:10">
      <c r="A12" s="41">
        <v>45982</v>
      </c>
      <c r="B12" t="s">
        <v>447</v>
      </c>
      <c r="C12" t="s">
        <v>703</v>
      </c>
      <c r="D12">
        <v>1413</v>
      </c>
      <c r="E12" t="s">
        <v>698</v>
      </c>
      <c r="F12">
        <v>15178</v>
      </c>
      <c r="J12" t="s">
        <v>699</v>
      </c>
    </row>
    <row r="13" spans="1:10">
      <c r="A13" s="41">
        <v>45985</v>
      </c>
      <c r="B13" t="s">
        <v>430</v>
      </c>
      <c r="C13" t="s">
        <v>703</v>
      </c>
      <c r="D13">
        <v>6327</v>
      </c>
      <c r="E13" t="s">
        <v>698</v>
      </c>
      <c r="F13">
        <v>15179</v>
      </c>
      <c r="J13" t="s">
        <v>699</v>
      </c>
    </row>
    <row r="14" spans="1:10">
      <c r="A14" s="41">
        <v>45989</v>
      </c>
      <c r="B14" t="s">
        <v>370</v>
      </c>
      <c r="C14" t="s">
        <v>704</v>
      </c>
      <c r="D14">
        <v>11688</v>
      </c>
      <c r="E14" t="s">
        <v>701</v>
      </c>
      <c r="F14">
        <v>15756</v>
      </c>
      <c r="J14" t="s">
        <v>699</v>
      </c>
    </row>
    <row r="15" spans="1:10">
      <c r="A15" s="41">
        <v>46042</v>
      </c>
      <c r="B15" t="s">
        <v>431</v>
      </c>
      <c r="C15" t="s">
        <v>705</v>
      </c>
      <c r="D15">
        <v>9878</v>
      </c>
      <c r="E15" t="s">
        <v>701</v>
      </c>
      <c r="J15" t="s">
        <v>699</v>
      </c>
    </row>
    <row r="16" spans="1:10">
      <c r="A16" s="41">
        <v>45993</v>
      </c>
      <c r="B16" t="s">
        <v>91</v>
      </c>
      <c r="C16" t="s">
        <v>706</v>
      </c>
      <c r="D16">
        <v>85284</v>
      </c>
      <c r="E16" t="s">
        <v>701</v>
      </c>
      <c r="F16">
        <v>15761</v>
      </c>
      <c r="J16" t="s">
        <v>699</v>
      </c>
    </row>
    <row r="17" spans="1:10">
      <c r="A17" s="41">
        <v>45993</v>
      </c>
      <c r="B17" t="s">
        <v>268</v>
      </c>
      <c r="C17" t="s">
        <v>703</v>
      </c>
      <c r="D17">
        <v>5321</v>
      </c>
      <c r="E17" t="s">
        <v>698</v>
      </c>
      <c r="F17">
        <v>15184</v>
      </c>
      <c r="J17" t="s">
        <v>699</v>
      </c>
    </row>
    <row r="18" spans="1:10">
      <c r="A18" s="41">
        <v>46043</v>
      </c>
      <c r="B18" t="s">
        <v>417</v>
      </c>
      <c r="C18" t="s">
        <v>707</v>
      </c>
      <c r="D18">
        <v>8047</v>
      </c>
      <c r="E18" t="s">
        <v>701</v>
      </c>
      <c r="J18" t="s">
        <v>699</v>
      </c>
    </row>
    <row r="19" spans="1:10">
      <c r="A19" s="41">
        <v>45995</v>
      </c>
      <c r="B19" t="s">
        <v>443</v>
      </c>
      <c r="C19" t="s">
        <v>703</v>
      </c>
      <c r="D19">
        <v>2060</v>
      </c>
      <c r="E19" t="s">
        <v>698</v>
      </c>
      <c r="F19">
        <v>15186</v>
      </c>
      <c r="J19" t="s">
        <v>699</v>
      </c>
    </row>
    <row r="20" spans="1:10">
      <c r="A20" s="41">
        <v>46008</v>
      </c>
      <c r="B20" t="s">
        <v>596</v>
      </c>
      <c r="C20" t="s">
        <v>708</v>
      </c>
      <c r="D20">
        <v>128090</v>
      </c>
      <c r="E20" t="s">
        <v>698</v>
      </c>
      <c r="F20" t="s">
        <v>709</v>
      </c>
      <c r="J20" t="s">
        <v>699</v>
      </c>
    </row>
    <row r="21" spans="1:10">
      <c r="A21" s="41">
        <v>46009</v>
      </c>
      <c r="B21" t="s">
        <v>594</v>
      </c>
      <c r="C21" t="s">
        <v>710</v>
      </c>
      <c r="D21">
        <v>128838</v>
      </c>
      <c r="E21" t="s">
        <v>698</v>
      </c>
      <c r="F21" t="s">
        <v>709</v>
      </c>
      <c r="J21" t="s">
        <v>699</v>
      </c>
    </row>
    <row r="22" spans="1:10">
      <c r="A22" s="41">
        <v>46014</v>
      </c>
      <c r="B22" t="s">
        <v>187</v>
      </c>
      <c r="C22" t="s">
        <v>710</v>
      </c>
      <c r="D22">
        <v>530211</v>
      </c>
      <c r="E22" t="s">
        <v>698</v>
      </c>
      <c r="F22" t="s">
        <v>709</v>
      </c>
      <c r="J22" t="s">
        <v>699</v>
      </c>
    </row>
    <row r="23" spans="1:10">
      <c r="A23" s="41">
        <v>46015</v>
      </c>
      <c r="B23" t="s">
        <v>155</v>
      </c>
      <c r="C23" t="s">
        <v>703</v>
      </c>
      <c r="D23">
        <v>461588</v>
      </c>
      <c r="E23" t="s">
        <v>698</v>
      </c>
      <c r="F23">
        <v>389</v>
      </c>
      <c r="J23" t="s">
        <v>699</v>
      </c>
    </row>
    <row r="24" spans="1:10">
      <c r="A24" s="41">
        <v>46028</v>
      </c>
      <c r="B24" t="s">
        <v>387</v>
      </c>
      <c r="C24" t="s">
        <v>710</v>
      </c>
      <c r="D24">
        <v>17076</v>
      </c>
      <c r="E24" t="s">
        <v>698</v>
      </c>
      <c r="F24">
        <v>389</v>
      </c>
      <c r="J24" t="s">
        <v>699</v>
      </c>
    </row>
    <row r="25" spans="1:10">
      <c r="A25" s="41">
        <v>46028</v>
      </c>
      <c r="B25" t="s">
        <v>143</v>
      </c>
      <c r="C25" t="s">
        <v>710</v>
      </c>
      <c r="D25">
        <v>331891</v>
      </c>
      <c r="E25" t="s">
        <v>698</v>
      </c>
      <c r="F25">
        <v>389</v>
      </c>
      <c r="J25" t="s">
        <v>699</v>
      </c>
    </row>
    <row r="26" spans="1:10">
      <c r="A26" s="41">
        <v>45971</v>
      </c>
      <c r="B26" t="s">
        <v>449</v>
      </c>
      <c r="C26" t="s">
        <v>710</v>
      </c>
      <c r="D26">
        <v>1496</v>
      </c>
      <c r="E26" t="s">
        <v>698</v>
      </c>
      <c r="F26">
        <v>15912</v>
      </c>
      <c r="J26" t="s">
        <v>699</v>
      </c>
    </row>
    <row r="27" spans="1:10">
      <c r="A27" s="41">
        <v>46031</v>
      </c>
      <c r="B27" t="s">
        <v>295</v>
      </c>
      <c r="C27" t="s">
        <v>710</v>
      </c>
      <c r="D27">
        <v>87661</v>
      </c>
      <c r="E27" t="s">
        <v>698</v>
      </c>
      <c r="F27">
        <v>389</v>
      </c>
      <c r="J27" t="s">
        <v>699</v>
      </c>
    </row>
    <row r="28" spans="1:10">
      <c r="A28" s="41">
        <v>46034</v>
      </c>
      <c r="B28" t="s">
        <v>512</v>
      </c>
      <c r="C28" t="s">
        <v>710</v>
      </c>
      <c r="E28" t="s">
        <v>698</v>
      </c>
      <c r="F28">
        <v>389</v>
      </c>
      <c r="J28" t="s">
        <v>699</v>
      </c>
    </row>
    <row r="29" spans="1:10">
      <c r="A29" s="41">
        <v>46034</v>
      </c>
      <c r="B29" t="s">
        <v>608</v>
      </c>
      <c r="C29" t="s">
        <v>708</v>
      </c>
      <c r="D29">
        <v>118530</v>
      </c>
      <c r="E29" t="s">
        <v>698</v>
      </c>
      <c r="F29" t="s">
        <v>709</v>
      </c>
      <c r="J29" t="s">
        <v>699</v>
      </c>
    </row>
    <row r="30" spans="1:10">
      <c r="A30" s="41">
        <v>46034</v>
      </c>
      <c r="B30" t="s">
        <v>227</v>
      </c>
      <c r="C30" t="s">
        <v>710</v>
      </c>
      <c r="D30">
        <v>681</v>
      </c>
      <c r="E30" t="s">
        <v>698</v>
      </c>
      <c r="J30" t="s">
        <v>699</v>
      </c>
    </row>
    <row r="31" spans="1:10">
      <c r="A31" s="41">
        <v>45908</v>
      </c>
      <c r="B31" t="s">
        <v>288</v>
      </c>
      <c r="C31" t="s">
        <v>710</v>
      </c>
      <c r="D31">
        <v>393</v>
      </c>
      <c r="E31" t="s">
        <v>698</v>
      </c>
      <c r="F31">
        <v>15911</v>
      </c>
      <c r="J31" t="s">
        <v>699</v>
      </c>
    </row>
    <row r="32" spans="1:10">
      <c r="A32" s="41">
        <v>46035</v>
      </c>
      <c r="B32" t="s">
        <v>622</v>
      </c>
      <c r="C32" t="s">
        <v>708</v>
      </c>
      <c r="D32">
        <v>105667</v>
      </c>
      <c r="E32" t="s">
        <v>698</v>
      </c>
      <c r="F32">
        <v>389</v>
      </c>
      <c r="J32" t="s">
        <v>699</v>
      </c>
    </row>
    <row r="33" spans="1:10">
      <c r="A33" s="41">
        <v>46036</v>
      </c>
      <c r="B33" t="s">
        <v>634</v>
      </c>
      <c r="C33">
        <v>138841</v>
      </c>
      <c r="D33">
        <v>99553</v>
      </c>
      <c r="E33" t="s">
        <v>701</v>
      </c>
      <c r="F33">
        <v>389</v>
      </c>
      <c r="J33" t="s">
        <v>699</v>
      </c>
    </row>
    <row r="34" spans="1:10">
      <c r="A34" s="41">
        <v>46036</v>
      </c>
      <c r="B34" t="s">
        <v>593</v>
      </c>
      <c r="C34" t="s">
        <v>708</v>
      </c>
      <c r="D34">
        <v>157018</v>
      </c>
      <c r="E34" t="s">
        <v>698</v>
      </c>
      <c r="F34">
        <v>389</v>
      </c>
      <c r="J34" t="s">
        <v>699</v>
      </c>
    </row>
    <row r="35" spans="1:10">
      <c r="A35" s="41">
        <v>46037</v>
      </c>
      <c r="B35" t="s">
        <v>301</v>
      </c>
      <c r="C35" t="s">
        <v>711</v>
      </c>
      <c r="E35" t="s">
        <v>701</v>
      </c>
      <c r="F35">
        <v>15429</v>
      </c>
      <c r="J35" t="s">
        <v>699</v>
      </c>
    </row>
    <row r="36" spans="1:10">
      <c r="A36" s="41">
        <v>46037</v>
      </c>
      <c r="B36" t="s">
        <v>44</v>
      </c>
      <c r="C36" t="s">
        <v>712</v>
      </c>
      <c r="E36" t="s">
        <v>701</v>
      </c>
      <c r="F36">
        <v>15428</v>
      </c>
      <c r="J36" t="s">
        <v>699</v>
      </c>
    </row>
    <row r="37" spans="1:10">
      <c r="A37" s="41">
        <v>45967</v>
      </c>
      <c r="B37" t="s">
        <v>288</v>
      </c>
      <c r="C37" t="s">
        <v>710</v>
      </c>
      <c r="D37">
        <v>748</v>
      </c>
      <c r="E37" t="s">
        <v>698</v>
      </c>
      <c r="F37">
        <v>15911</v>
      </c>
      <c r="J37" t="s">
        <v>699</v>
      </c>
    </row>
    <row r="38" spans="1:10">
      <c r="A38" s="41">
        <v>46037</v>
      </c>
      <c r="B38" t="s">
        <v>630</v>
      </c>
      <c r="C38" t="s">
        <v>713</v>
      </c>
      <c r="D38">
        <v>136208</v>
      </c>
      <c r="E38" t="s">
        <v>698</v>
      </c>
      <c r="F38">
        <v>389</v>
      </c>
      <c r="J38" t="s">
        <v>699</v>
      </c>
    </row>
    <row r="39" spans="1:10">
      <c r="A39" s="41">
        <v>45967</v>
      </c>
      <c r="B39" t="s">
        <v>258</v>
      </c>
      <c r="C39" t="s">
        <v>703</v>
      </c>
      <c r="D39">
        <v>2000</v>
      </c>
      <c r="E39" t="s">
        <v>698</v>
      </c>
      <c r="F39">
        <v>15909</v>
      </c>
      <c r="J39" t="s">
        <v>699</v>
      </c>
    </row>
    <row r="40" spans="1:10">
      <c r="A40" s="41">
        <v>46041</v>
      </c>
      <c r="B40" t="s">
        <v>81</v>
      </c>
      <c r="C40" t="s">
        <v>706</v>
      </c>
      <c r="E40" t="s">
        <v>701</v>
      </c>
      <c r="J40" t="s">
        <v>699</v>
      </c>
    </row>
    <row r="41" spans="1:10">
      <c r="A41" s="41">
        <v>45992</v>
      </c>
      <c r="B41" t="s">
        <v>275</v>
      </c>
      <c r="E41" t="s">
        <v>701</v>
      </c>
      <c r="J41" t="s">
        <v>699</v>
      </c>
    </row>
    <row r="42" spans="1:10">
      <c r="A42" s="41">
        <v>46028</v>
      </c>
      <c r="B42" t="s">
        <v>258</v>
      </c>
      <c r="C42" t="s">
        <v>703</v>
      </c>
      <c r="D42">
        <v>2600</v>
      </c>
      <c r="E42" t="s">
        <v>698</v>
      </c>
      <c r="F42">
        <v>15920</v>
      </c>
      <c r="J42" t="s">
        <v>699</v>
      </c>
    </row>
    <row r="43" spans="1:10">
      <c r="A43" s="41">
        <v>46035</v>
      </c>
      <c r="B43" t="s">
        <v>288</v>
      </c>
      <c r="C43" t="s">
        <v>710</v>
      </c>
      <c r="D43">
        <v>1112</v>
      </c>
      <c r="E43" t="s">
        <v>698</v>
      </c>
      <c r="F43">
        <v>15921</v>
      </c>
      <c r="J43" t="s">
        <v>699</v>
      </c>
    </row>
    <row r="44" spans="1:10">
      <c r="A44" s="41">
        <v>46043</v>
      </c>
      <c r="B44" t="s">
        <v>295</v>
      </c>
      <c r="C44" t="s">
        <v>714</v>
      </c>
      <c r="E44" t="s">
        <v>701</v>
      </c>
      <c r="J44" t="s">
        <v>699</v>
      </c>
    </row>
    <row r="45" spans="1:10">
      <c r="A45" s="41">
        <v>46044</v>
      </c>
      <c r="B45" t="s">
        <v>121</v>
      </c>
      <c r="C45" t="s">
        <v>710</v>
      </c>
      <c r="D45">
        <v>189042</v>
      </c>
      <c r="E45" t="s">
        <v>698</v>
      </c>
      <c r="J45" t="s">
        <v>699</v>
      </c>
    </row>
    <row r="46" spans="1:10">
      <c r="A46" s="41">
        <v>46044</v>
      </c>
      <c r="B46" t="s">
        <v>506</v>
      </c>
      <c r="C46" t="s">
        <v>715</v>
      </c>
      <c r="D46">
        <v>76996</v>
      </c>
      <c r="E46" t="s">
        <v>701</v>
      </c>
      <c r="J46" t="s">
        <v>699</v>
      </c>
    </row>
    <row r="47" spans="1:10">
      <c r="A47" s="41">
        <v>46044</v>
      </c>
      <c r="B47" t="s">
        <v>35</v>
      </c>
      <c r="C47" t="s">
        <v>716</v>
      </c>
      <c r="D47">
        <v>8319</v>
      </c>
      <c r="E47" t="s">
        <v>698</v>
      </c>
      <c r="J47" t="s">
        <v>699</v>
      </c>
    </row>
    <row r="48" spans="1:10">
      <c r="A48" s="41">
        <v>46045</v>
      </c>
      <c r="B48" t="s">
        <v>91</v>
      </c>
      <c r="C48" t="s">
        <v>717</v>
      </c>
      <c r="D48">
        <v>3458</v>
      </c>
      <c r="E48" t="s">
        <v>701</v>
      </c>
      <c r="J48" t="s">
        <v>699</v>
      </c>
    </row>
    <row r="49" spans="1:10">
      <c r="A49" s="41">
        <v>46045</v>
      </c>
      <c r="B49" t="s">
        <v>121</v>
      </c>
      <c r="C49" t="s">
        <v>718</v>
      </c>
      <c r="D49">
        <v>96939</v>
      </c>
      <c r="E49" t="s">
        <v>701</v>
      </c>
      <c r="F49">
        <v>15946</v>
      </c>
      <c r="J49" t="s">
        <v>699</v>
      </c>
    </row>
    <row r="50" spans="1:10">
      <c r="A50" s="41">
        <v>46049</v>
      </c>
      <c r="B50" t="s">
        <v>393</v>
      </c>
      <c r="C50" t="s">
        <v>703</v>
      </c>
      <c r="E50" t="s">
        <v>698</v>
      </c>
      <c r="F50">
        <v>15440</v>
      </c>
      <c r="J50" t="s">
        <v>699</v>
      </c>
    </row>
    <row r="51" spans="1:10">
      <c r="A51" s="41">
        <v>46050</v>
      </c>
      <c r="B51" t="s">
        <v>263</v>
      </c>
      <c r="C51" t="s">
        <v>716</v>
      </c>
      <c r="D51">
        <v>9814</v>
      </c>
      <c r="E51" t="s">
        <v>698</v>
      </c>
      <c r="J51" t="s">
        <v>699</v>
      </c>
    </row>
    <row r="52" spans="1:10">
      <c r="A52" s="41">
        <v>46050</v>
      </c>
      <c r="B52" t="s">
        <v>493</v>
      </c>
      <c r="C52" t="s">
        <v>716</v>
      </c>
      <c r="D52">
        <v>54500</v>
      </c>
      <c r="E52" t="s">
        <v>698</v>
      </c>
      <c r="J52" t="s">
        <v>699</v>
      </c>
    </row>
    <row r="53" spans="1:10">
      <c r="A53" s="41">
        <v>46057</v>
      </c>
      <c r="B53" t="s">
        <v>356</v>
      </c>
      <c r="C53" t="s">
        <v>716</v>
      </c>
      <c r="D53">
        <v>15554</v>
      </c>
      <c r="E53" t="s">
        <v>698</v>
      </c>
      <c r="J53" t="s">
        <v>699</v>
      </c>
    </row>
    <row r="54" spans="1:10">
      <c r="A54" s="41">
        <v>46065</v>
      </c>
      <c r="B54" t="s">
        <v>596</v>
      </c>
      <c r="C54" t="s">
        <v>708</v>
      </c>
      <c r="D54">
        <v>138841</v>
      </c>
      <c r="E54" t="s">
        <v>698</v>
      </c>
      <c r="J54" t="s">
        <v>699</v>
      </c>
    </row>
    <row r="55" spans="1:10">
      <c r="A55" s="41">
        <v>46066</v>
      </c>
      <c r="B55" t="s">
        <v>295</v>
      </c>
      <c r="C55" t="s">
        <v>719</v>
      </c>
      <c r="D55">
        <v>8780</v>
      </c>
      <c r="E55" t="s">
        <v>701</v>
      </c>
      <c r="J55" t="s">
        <v>699</v>
      </c>
    </row>
    <row r="56" spans="1:10">
      <c r="A56" s="41">
        <v>46066</v>
      </c>
      <c r="B56" t="s">
        <v>169</v>
      </c>
      <c r="C56" t="s">
        <v>716</v>
      </c>
      <c r="D56">
        <v>9302</v>
      </c>
      <c r="E56" t="s">
        <v>698</v>
      </c>
      <c r="J56" t="s">
        <v>699</v>
      </c>
    </row>
    <row r="57" spans="1:10">
      <c r="A57" s="41">
        <v>46072</v>
      </c>
      <c r="B57" t="s">
        <v>517</v>
      </c>
      <c r="C57" t="s">
        <v>720</v>
      </c>
      <c r="D57">
        <v>39996</v>
      </c>
      <c r="E57" t="s">
        <v>698</v>
      </c>
      <c r="F57">
        <v>16152</v>
      </c>
      <c r="J57" t="s">
        <v>699</v>
      </c>
    </row>
    <row r="58" spans="1:10">
      <c r="A58" s="41">
        <v>46073</v>
      </c>
      <c r="B58" t="s">
        <v>523</v>
      </c>
      <c r="C58" t="s">
        <v>720</v>
      </c>
      <c r="D58">
        <v>58306</v>
      </c>
      <c r="E58" t="s">
        <v>698</v>
      </c>
      <c r="F58" t="s">
        <v>721</v>
      </c>
      <c r="J58" t="s">
        <v>699</v>
      </c>
    </row>
    <row r="59" spans="1:10">
      <c r="A59" s="41">
        <v>46073</v>
      </c>
      <c r="B59" t="s">
        <v>155</v>
      </c>
      <c r="C59" t="s">
        <v>703</v>
      </c>
      <c r="D59">
        <v>12750</v>
      </c>
      <c r="E59" t="s">
        <v>698</v>
      </c>
      <c r="F59">
        <v>15104</v>
      </c>
      <c r="J59" t="s">
        <v>699</v>
      </c>
    </row>
    <row r="60" spans="1:10">
      <c r="A60" s="41">
        <v>46073</v>
      </c>
      <c r="B60" t="s">
        <v>501</v>
      </c>
      <c r="C60" t="s">
        <v>720</v>
      </c>
      <c r="D60">
        <v>61470</v>
      </c>
      <c r="E60" t="s">
        <v>698</v>
      </c>
      <c r="F60">
        <v>15102</v>
      </c>
      <c r="J60" t="s">
        <v>699</v>
      </c>
    </row>
    <row r="61" spans="1:10">
      <c r="A61" s="41">
        <v>46074</v>
      </c>
      <c r="B61" t="s">
        <v>506</v>
      </c>
      <c r="C61" t="s">
        <v>720</v>
      </c>
      <c r="D61">
        <v>61948</v>
      </c>
      <c r="E61" t="s">
        <v>698</v>
      </c>
      <c r="F61">
        <v>15101</v>
      </c>
      <c r="J61" t="s">
        <v>699</v>
      </c>
    </row>
    <row r="62" spans="1:10">
      <c r="A62" s="41">
        <v>45965</v>
      </c>
      <c r="B62" t="s">
        <v>495</v>
      </c>
      <c r="C62" t="s">
        <v>720</v>
      </c>
      <c r="D62">
        <v>81949</v>
      </c>
      <c r="E62" t="s">
        <v>698</v>
      </c>
      <c r="F62">
        <v>389</v>
      </c>
      <c r="J62" t="s">
        <v>699</v>
      </c>
    </row>
    <row r="63" spans="1:10">
      <c r="A63" s="41">
        <v>45618</v>
      </c>
      <c r="B63" t="s">
        <v>401</v>
      </c>
      <c r="D63">
        <v>4240</v>
      </c>
      <c r="E63" t="s">
        <v>701</v>
      </c>
      <c r="J63" t="s">
        <v>699</v>
      </c>
    </row>
    <row r="64" spans="1:10">
      <c r="A64" s="41">
        <v>46043</v>
      </c>
      <c r="B64" t="s">
        <v>295</v>
      </c>
      <c r="C64" t="s">
        <v>722</v>
      </c>
      <c r="E64" t="s">
        <v>701</v>
      </c>
      <c r="J64" t="s">
        <v>699</v>
      </c>
    </row>
    <row r="65" spans="1:10">
      <c r="A65" s="41">
        <v>45859</v>
      </c>
      <c r="B65" t="s">
        <v>596</v>
      </c>
      <c r="C65" t="s">
        <v>720</v>
      </c>
      <c r="D65">
        <v>110210</v>
      </c>
      <c r="E65" t="s">
        <v>698</v>
      </c>
      <c r="J65" t="s">
        <v>699</v>
      </c>
    </row>
    <row r="66" spans="1:10">
      <c r="A66" s="41">
        <v>45860</v>
      </c>
      <c r="B66" t="s">
        <v>124</v>
      </c>
      <c r="D66">
        <v>73978</v>
      </c>
      <c r="E66" t="s">
        <v>701</v>
      </c>
      <c r="J66" t="s">
        <v>699</v>
      </c>
    </row>
    <row r="67" spans="1:10">
      <c r="A67" s="41">
        <v>46066</v>
      </c>
      <c r="B67" t="s">
        <v>258</v>
      </c>
      <c r="C67" t="s">
        <v>703</v>
      </c>
      <c r="D67">
        <v>2610</v>
      </c>
      <c r="E67" t="s">
        <v>698</v>
      </c>
      <c r="F67">
        <v>15961</v>
      </c>
      <c r="J67" t="s">
        <v>699</v>
      </c>
    </row>
    <row r="68" spans="1:10">
      <c r="A68" s="41">
        <v>46055</v>
      </c>
      <c r="B68" t="s">
        <v>490</v>
      </c>
      <c r="C68" t="s">
        <v>708</v>
      </c>
      <c r="D68">
        <v>79968</v>
      </c>
      <c r="E68" t="s">
        <v>698</v>
      </c>
      <c r="F68">
        <v>15956</v>
      </c>
      <c r="J68" t="s">
        <v>699</v>
      </c>
    </row>
    <row r="69" spans="1:10">
      <c r="A69" s="41">
        <v>46062</v>
      </c>
      <c r="B69" t="s">
        <v>19</v>
      </c>
      <c r="C69" t="s">
        <v>703</v>
      </c>
      <c r="E69" t="s">
        <v>698</v>
      </c>
      <c r="F69">
        <v>15959</v>
      </c>
      <c r="J69" t="s">
        <v>699</v>
      </c>
    </row>
    <row r="70" spans="1:10">
      <c r="A70" s="41">
        <v>46060</v>
      </c>
      <c r="B70" t="s">
        <v>29</v>
      </c>
      <c r="C70" t="s">
        <v>703</v>
      </c>
      <c r="E70" t="s">
        <v>698</v>
      </c>
      <c r="F70" t="s">
        <v>723</v>
      </c>
      <c r="J70" t="s">
        <v>699</v>
      </c>
    </row>
    <row r="71" spans="1:10">
      <c r="A71" s="41">
        <v>46078</v>
      </c>
      <c r="B71" t="s">
        <v>556</v>
      </c>
      <c r="C71" t="s">
        <v>708</v>
      </c>
      <c r="E71" t="s">
        <v>698</v>
      </c>
      <c r="F71" t="s">
        <v>723</v>
      </c>
      <c r="J71" t="s">
        <v>699</v>
      </c>
    </row>
    <row r="72" spans="1:10">
      <c r="A72" s="41"/>
      <c r="B72" t="s">
        <v>514</v>
      </c>
      <c r="E72" t="s">
        <v>701</v>
      </c>
      <c r="J72" t="s">
        <v>699</v>
      </c>
    </row>
    <row r="73" spans="1:10">
      <c r="A73" s="41"/>
      <c r="B73" t="s">
        <v>458</v>
      </c>
      <c r="C73" t="s">
        <v>708</v>
      </c>
      <c r="D73">
        <v>89665</v>
      </c>
      <c r="E73" t="s">
        <v>698</v>
      </c>
      <c r="J73" t="s">
        <v>699</v>
      </c>
    </row>
    <row r="74" spans="1:10">
      <c r="A74" s="41">
        <v>46086</v>
      </c>
      <c r="B74" t="s">
        <v>305</v>
      </c>
      <c r="C74" t="s">
        <v>697</v>
      </c>
      <c r="D74">
        <v>16953</v>
      </c>
      <c r="E74" t="s">
        <v>698</v>
      </c>
      <c r="J74" t="s">
        <v>699</v>
      </c>
    </row>
    <row r="75" spans="1:10">
      <c r="A75" s="41">
        <v>46086</v>
      </c>
      <c r="B75" t="s">
        <v>86</v>
      </c>
      <c r="C75" t="s">
        <v>697</v>
      </c>
      <c r="D75">
        <v>3406</v>
      </c>
      <c r="E75" t="s">
        <v>698</v>
      </c>
      <c r="J75" t="s">
        <v>699</v>
      </c>
    </row>
    <row r="76" spans="1:10">
      <c r="A76" s="41">
        <v>46085</v>
      </c>
      <c r="B76" t="s">
        <v>89</v>
      </c>
      <c r="C76" t="s">
        <v>697</v>
      </c>
      <c r="D76">
        <v>3468</v>
      </c>
      <c r="E76" t="s">
        <v>698</v>
      </c>
      <c r="J76" t="s">
        <v>699</v>
      </c>
    </row>
    <row r="77" spans="1:10">
      <c r="A77" s="41">
        <v>46086</v>
      </c>
      <c r="B77" t="s">
        <v>138</v>
      </c>
      <c r="C77" t="s">
        <v>724</v>
      </c>
      <c r="D77">
        <v>295000</v>
      </c>
      <c r="E77" t="s">
        <v>698</v>
      </c>
      <c r="J77" t="s">
        <v>699</v>
      </c>
    </row>
    <row r="78" spans="1:10">
      <c r="A78" s="41">
        <v>46084</v>
      </c>
      <c r="B78" t="s">
        <v>91</v>
      </c>
      <c r="C78" t="s">
        <v>697</v>
      </c>
      <c r="D78">
        <v>3654</v>
      </c>
      <c r="E78" t="s">
        <v>698</v>
      </c>
      <c r="J78" t="s">
        <v>699</v>
      </c>
    </row>
    <row r="79" spans="1:10">
      <c r="A79" s="41">
        <v>46083</v>
      </c>
      <c r="B79" t="s">
        <v>171</v>
      </c>
      <c r="C79" t="s">
        <v>697</v>
      </c>
      <c r="D79">
        <v>1978</v>
      </c>
      <c r="E79" t="s">
        <v>698</v>
      </c>
      <c r="J79" t="s">
        <v>699</v>
      </c>
    </row>
    <row r="80" spans="1:10">
      <c r="A80" s="41"/>
      <c r="B80" t="s">
        <v>97</v>
      </c>
      <c r="E80" t="s">
        <v>701</v>
      </c>
      <c r="J80" t="s">
        <v>699</v>
      </c>
    </row>
    <row r="81" spans="1:10">
      <c r="A81" s="41">
        <v>46086</v>
      </c>
      <c r="B81" t="s">
        <v>481</v>
      </c>
      <c r="C81" t="s">
        <v>725</v>
      </c>
      <c r="D81">
        <v>75400</v>
      </c>
      <c r="E81" t="s">
        <v>698</v>
      </c>
      <c r="G81" t="s">
        <v>726</v>
      </c>
      <c r="I81" s="9">
        <v>425505</v>
      </c>
      <c r="J81" t="s">
        <v>699</v>
      </c>
    </row>
    <row r="82" spans="1:10">
      <c r="A82" s="41">
        <v>46071</v>
      </c>
      <c r="B82" t="s">
        <v>495</v>
      </c>
      <c r="C82" t="s">
        <v>725</v>
      </c>
      <c r="D82">
        <v>107335</v>
      </c>
      <c r="E82" t="s">
        <v>698</v>
      </c>
      <c r="J82" t="s">
        <v>699</v>
      </c>
    </row>
    <row r="83" spans="1:10">
      <c r="A83" s="41">
        <v>46087</v>
      </c>
      <c r="B83" t="s">
        <v>465</v>
      </c>
      <c r="C83" t="s">
        <v>725</v>
      </c>
      <c r="D83">
        <v>105962</v>
      </c>
      <c r="E83" t="s">
        <v>698</v>
      </c>
      <c r="F83">
        <v>105962</v>
      </c>
      <c r="J83" t="s">
        <v>699</v>
      </c>
    </row>
    <row r="84" spans="1:10">
      <c r="A84" s="41">
        <v>46093</v>
      </c>
      <c r="B84" t="s">
        <v>616</v>
      </c>
      <c r="C84" t="s">
        <v>725</v>
      </c>
      <c r="D84">
        <v>123772</v>
      </c>
      <c r="E84" t="s">
        <v>698</v>
      </c>
      <c r="G84" t="s">
        <v>33</v>
      </c>
      <c r="J84" t="s">
        <v>699</v>
      </c>
    </row>
    <row r="85" spans="1:10">
      <c r="A85" s="41">
        <v>46093</v>
      </c>
      <c r="B85" t="s">
        <v>44</v>
      </c>
      <c r="C85" t="s">
        <v>724</v>
      </c>
      <c r="D85">
        <v>189849</v>
      </c>
      <c r="E85" t="s">
        <v>698</v>
      </c>
      <c r="G85" t="s">
        <v>663</v>
      </c>
      <c r="J85" t="s">
        <v>699</v>
      </c>
    </row>
    <row r="86" spans="1:10">
      <c r="A86" s="41">
        <v>46092</v>
      </c>
      <c r="B86" t="s">
        <v>378</v>
      </c>
      <c r="C86" t="s">
        <v>697</v>
      </c>
      <c r="D86">
        <v>3745</v>
      </c>
      <c r="E86" t="s">
        <v>698</v>
      </c>
      <c r="G86" t="s">
        <v>663</v>
      </c>
      <c r="H86" t="s">
        <v>727</v>
      </c>
      <c r="I86" s="9">
        <v>177476</v>
      </c>
      <c r="J86" t="s">
        <v>699</v>
      </c>
    </row>
    <row r="87" spans="1:10">
      <c r="A87" s="41">
        <v>46097</v>
      </c>
      <c r="B87" t="s">
        <v>254</v>
      </c>
      <c r="C87" t="s">
        <v>697</v>
      </c>
      <c r="D87">
        <v>15727</v>
      </c>
      <c r="E87" t="s">
        <v>698</v>
      </c>
      <c r="G87" t="s">
        <v>39</v>
      </c>
      <c r="I87" s="9">
        <v>866929</v>
      </c>
      <c r="J87" t="s">
        <v>699</v>
      </c>
    </row>
    <row r="88" spans="1:10">
      <c r="A88" s="41">
        <v>46094</v>
      </c>
      <c r="B88" t="s">
        <v>488</v>
      </c>
      <c r="C88" t="s">
        <v>725</v>
      </c>
      <c r="D88">
        <v>107210</v>
      </c>
      <c r="E88" t="s">
        <v>698</v>
      </c>
      <c r="G88" t="s">
        <v>726</v>
      </c>
      <c r="I88" s="9">
        <v>405817</v>
      </c>
      <c r="J88" t="s">
        <v>699</v>
      </c>
    </row>
    <row r="89" spans="1:10">
      <c r="A89" s="41">
        <v>46094</v>
      </c>
      <c r="B89" t="s">
        <v>382</v>
      </c>
      <c r="C89" t="s">
        <v>697</v>
      </c>
      <c r="D89">
        <v>13040</v>
      </c>
      <c r="E89" t="s">
        <v>698</v>
      </c>
      <c r="F89">
        <v>17151</v>
      </c>
      <c r="G89" t="s">
        <v>276</v>
      </c>
      <c r="H89" t="s">
        <v>728</v>
      </c>
      <c r="I89" s="9">
        <v>89099.98</v>
      </c>
      <c r="J89" t="s">
        <v>699</v>
      </c>
    </row>
    <row r="90" spans="1:10">
      <c r="A90" s="41">
        <v>46098</v>
      </c>
      <c r="B90" t="s">
        <v>387</v>
      </c>
      <c r="C90" t="s">
        <v>697</v>
      </c>
      <c r="D90">
        <v>17296</v>
      </c>
      <c r="E90" t="s">
        <v>698</v>
      </c>
      <c r="F90">
        <v>17155</v>
      </c>
      <c r="G90" t="s">
        <v>666</v>
      </c>
      <c r="H90" t="s">
        <v>727</v>
      </c>
      <c r="I90" s="9">
        <v>289773.33</v>
      </c>
      <c r="J90" t="s">
        <v>699</v>
      </c>
    </row>
    <row r="91" spans="1:10">
      <c r="A91" s="41">
        <v>46094</v>
      </c>
      <c r="B91" t="s">
        <v>365</v>
      </c>
      <c r="C91" t="s">
        <v>697</v>
      </c>
      <c r="D91">
        <v>17152</v>
      </c>
      <c r="E91" t="s">
        <v>698</v>
      </c>
      <c r="F91">
        <v>17152</v>
      </c>
      <c r="G91" t="s">
        <v>666</v>
      </c>
      <c r="H91" t="s">
        <v>729</v>
      </c>
      <c r="I91" s="9">
        <v>277000</v>
      </c>
      <c r="J91" t="s">
        <v>699</v>
      </c>
    </row>
    <row r="92" spans="1:10">
      <c r="A92" s="41">
        <v>46094</v>
      </c>
      <c r="B92" t="s">
        <v>359</v>
      </c>
      <c r="C92" t="s">
        <v>697</v>
      </c>
      <c r="D92">
        <v>13650</v>
      </c>
      <c r="E92" t="s">
        <v>698</v>
      </c>
      <c r="F92">
        <v>17153</v>
      </c>
      <c r="G92" t="s">
        <v>666</v>
      </c>
      <c r="H92" t="s">
        <v>730</v>
      </c>
      <c r="I92" s="9">
        <v>125352</v>
      </c>
      <c r="J92" t="s">
        <v>699</v>
      </c>
    </row>
    <row r="93" spans="1:10">
      <c r="A93" s="41">
        <v>46057</v>
      </c>
      <c r="B93" t="s">
        <v>379</v>
      </c>
      <c r="C93" t="s">
        <v>697</v>
      </c>
      <c r="D93">
        <v>3472</v>
      </c>
      <c r="E93" t="s">
        <v>698</v>
      </c>
      <c r="H93" t="s">
        <v>727</v>
      </c>
      <c r="I93" s="9">
        <v>177476</v>
      </c>
      <c r="J93" t="s">
        <v>699</v>
      </c>
    </row>
    <row r="94" spans="1:10">
      <c r="A94" s="41">
        <v>46098</v>
      </c>
      <c r="B94" t="s">
        <v>268</v>
      </c>
      <c r="C94" t="s">
        <v>697</v>
      </c>
      <c r="D94">
        <v>5648</v>
      </c>
      <c r="E94" t="s">
        <v>698</v>
      </c>
      <c r="F94">
        <v>15994</v>
      </c>
      <c r="G94" t="s">
        <v>272</v>
      </c>
      <c r="H94" t="s">
        <v>727</v>
      </c>
      <c r="I94" s="9">
        <v>177476</v>
      </c>
      <c r="J94" t="s">
        <v>699</v>
      </c>
    </row>
    <row r="95" spans="1:10">
      <c r="A95" s="41">
        <v>46093</v>
      </c>
      <c r="B95" t="s">
        <v>91</v>
      </c>
      <c r="C95" t="s">
        <v>697</v>
      </c>
      <c r="D95">
        <v>3694</v>
      </c>
      <c r="E95" t="s">
        <v>698</v>
      </c>
      <c r="F95">
        <v>15992</v>
      </c>
      <c r="G95" t="s">
        <v>39</v>
      </c>
      <c r="H95" t="s">
        <v>731</v>
      </c>
      <c r="I95" s="9">
        <v>231191</v>
      </c>
      <c r="J95" t="s">
        <v>699</v>
      </c>
    </row>
    <row r="96" spans="1:10">
      <c r="A96" s="41">
        <v>46093</v>
      </c>
      <c r="B96" t="s">
        <v>393</v>
      </c>
      <c r="C96" t="s">
        <v>732</v>
      </c>
      <c r="D96">
        <v>1713</v>
      </c>
      <c r="E96" t="s">
        <v>698</v>
      </c>
      <c r="G96" t="s">
        <v>300</v>
      </c>
      <c r="H96" t="s">
        <v>727</v>
      </c>
      <c r="I96" s="9">
        <v>133882.14000000001</v>
      </c>
      <c r="J96" t="s">
        <v>699</v>
      </c>
    </row>
    <row r="97" spans="1:10">
      <c r="A97" s="41">
        <v>46086</v>
      </c>
      <c r="B97" t="s">
        <v>549</v>
      </c>
      <c r="C97" t="s">
        <v>725</v>
      </c>
      <c r="D97">
        <v>14872</v>
      </c>
      <c r="E97" t="s">
        <v>698</v>
      </c>
      <c r="G97" t="s">
        <v>733</v>
      </c>
      <c r="H97" t="s">
        <v>734</v>
      </c>
      <c r="I97" s="9">
        <v>252383</v>
      </c>
      <c r="J97" t="s">
        <v>699</v>
      </c>
    </row>
    <row r="98" spans="1:10">
      <c r="A98" s="41">
        <v>46099</v>
      </c>
      <c r="B98" t="s">
        <v>552</v>
      </c>
      <c r="C98" t="s">
        <v>725</v>
      </c>
      <c r="D98">
        <v>22254</v>
      </c>
      <c r="E98" t="s">
        <v>698</v>
      </c>
      <c r="G98" t="s">
        <v>733</v>
      </c>
      <c r="H98" t="s">
        <v>734</v>
      </c>
      <c r="I98" s="9">
        <v>310988</v>
      </c>
      <c r="J98" t="s">
        <v>699</v>
      </c>
    </row>
    <row r="99" spans="1:10">
      <c r="A99" s="41">
        <v>46099</v>
      </c>
      <c r="B99" t="s">
        <v>535</v>
      </c>
      <c r="C99" t="s">
        <v>725</v>
      </c>
      <c r="D99">
        <v>78670</v>
      </c>
      <c r="E99" t="s">
        <v>698</v>
      </c>
      <c r="G99" t="s">
        <v>733</v>
      </c>
      <c r="H99" t="s">
        <v>734</v>
      </c>
      <c r="I99" s="9">
        <v>487719</v>
      </c>
      <c r="J99" t="s">
        <v>699</v>
      </c>
    </row>
    <row r="100" spans="1:10">
      <c r="A100" s="41">
        <v>46099</v>
      </c>
      <c r="B100" t="s">
        <v>634</v>
      </c>
      <c r="C100" t="s">
        <v>725</v>
      </c>
      <c r="D100">
        <v>110602</v>
      </c>
      <c r="E100" t="s">
        <v>698</v>
      </c>
      <c r="G100" t="s">
        <v>733</v>
      </c>
      <c r="H100" t="s">
        <v>734</v>
      </c>
      <c r="I100" s="9">
        <v>276888</v>
      </c>
      <c r="J100" t="s">
        <v>699</v>
      </c>
    </row>
    <row r="101" spans="1:10">
      <c r="A101" s="41">
        <v>46099</v>
      </c>
      <c r="B101" t="s">
        <v>518</v>
      </c>
      <c r="C101" t="s">
        <v>724</v>
      </c>
      <c r="D101">
        <v>78795</v>
      </c>
      <c r="E101" t="s">
        <v>698</v>
      </c>
      <c r="F101">
        <v>15106</v>
      </c>
      <c r="G101" t="s">
        <v>36</v>
      </c>
      <c r="H101" t="s">
        <v>728</v>
      </c>
      <c r="I101" s="9">
        <v>32014</v>
      </c>
      <c r="J101" t="s">
        <v>699</v>
      </c>
    </row>
    <row r="102" spans="1:10">
      <c r="A102" s="41">
        <v>46092</v>
      </c>
      <c r="B102" t="s">
        <v>38</v>
      </c>
      <c r="C102" t="s">
        <v>697</v>
      </c>
      <c r="D102">
        <v>10923</v>
      </c>
      <c r="E102" t="s">
        <v>698</v>
      </c>
      <c r="F102">
        <v>15107</v>
      </c>
      <c r="G102" t="s">
        <v>36</v>
      </c>
      <c r="J102" t="s">
        <v>699</v>
      </c>
    </row>
    <row r="103" spans="1:10">
      <c r="A103" s="41">
        <v>46093</v>
      </c>
      <c r="B103" t="s">
        <v>447</v>
      </c>
      <c r="C103" t="s">
        <v>697</v>
      </c>
      <c r="D103">
        <v>1713</v>
      </c>
      <c r="E103" t="s">
        <v>698</v>
      </c>
      <c r="F103">
        <v>15991</v>
      </c>
      <c r="G103" t="s">
        <v>300</v>
      </c>
      <c r="H103" t="s">
        <v>727</v>
      </c>
      <c r="I103" s="9">
        <v>133882.14000000001</v>
      </c>
      <c r="J103" t="s">
        <v>699</v>
      </c>
    </row>
    <row r="104" spans="1:10">
      <c r="A104" s="41">
        <v>46086</v>
      </c>
      <c r="B104" t="s">
        <v>288</v>
      </c>
      <c r="C104" t="s">
        <v>697</v>
      </c>
      <c r="D104">
        <v>1462</v>
      </c>
      <c r="E104" t="s">
        <v>698</v>
      </c>
      <c r="H104" t="s">
        <v>734</v>
      </c>
      <c r="I104" s="9">
        <v>249078</v>
      </c>
      <c r="J104" t="s">
        <v>699</v>
      </c>
    </row>
    <row r="105" spans="1:10">
      <c r="A105" s="41">
        <v>46100</v>
      </c>
      <c r="B105" t="s">
        <v>175</v>
      </c>
      <c r="C105" t="s">
        <v>697</v>
      </c>
      <c r="D105">
        <v>9317</v>
      </c>
      <c r="E105" t="s">
        <v>698</v>
      </c>
      <c r="G105" t="s">
        <v>36</v>
      </c>
      <c r="J105" t="s">
        <v>699</v>
      </c>
    </row>
    <row r="106" spans="1:10">
      <c r="A106" s="41">
        <v>46099</v>
      </c>
      <c r="B106" t="s">
        <v>81</v>
      </c>
      <c r="C106" t="s">
        <v>724</v>
      </c>
      <c r="D106">
        <v>195600</v>
      </c>
      <c r="E106" t="s">
        <v>698</v>
      </c>
      <c r="H106" t="s">
        <v>735</v>
      </c>
      <c r="I106" s="9">
        <v>143221</v>
      </c>
      <c r="J106" t="s">
        <v>699</v>
      </c>
    </row>
    <row r="107" spans="1:10">
      <c r="A107" s="41">
        <v>46100</v>
      </c>
      <c r="B107" t="s">
        <v>427</v>
      </c>
      <c r="C107" t="s">
        <v>697</v>
      </c>
      <c r="D107">
        <v>6683</v>
      </c>
      <c r="E107" t="s">
        <v>698</v>
      </c>
      <c r="F107">
        <v>17156</v>
      </c>
      <c r="G107" t="s">
        <v>531</v>
      </c>
      <c r="J107" t="s">
        <v>699</v>
      </c>
    </row>
    <row r="108" spans="1:10">
      <c r="A108" s="41">
        <v>46058</v>
      </c>
      <c r="B108" t="s">
        <v>299</v>
      </c>
      <c r="C108" t="s">
        <v>697</v>
      </c>
      <c r="D108">
        <v>8547</v>
      </c>
      <c r="E108" t="s">
        <v>698</v>
      </c>
      <c r="G108" t="s">
        <v>300</v>
      </c>
      <c r="J108" t="s">
        <v>699</v>
      </c>
    </row>
    <row r="109" spans="1:10">
      <c r="A109" s="41">
        <v>46072</v>
      </c>
      <c r="B109" t="s">
        <v>514</v>
      </c>
      <c r="C109" t="s">
        <v>736</v>
      </c>
      <c r="D109">
        <v>61470</v>
      </c>
      <c r="E109" t="s">
        <v>698</v>
      </c>
      <c r="G109" t="s">
        <v>300</v>
      </c>
      <c r="J109" t="s">
        <v>699</v>
      </c>
    </row>
    <row r="110" spans="1:10">
      <c r="A110" s="41">
        <v>45974</v>
      </c>
      <c r="B110" t="s">
        <v>306</v>
      </c>
      <c r="C110" t="s">
        <v>697</v>
      </c>
      <c r="D110">
        <v>21210</v>
      </c>
      <c r="E110" t="s">
        <v>698</v>
      </c>
      <c r="G110" t="s">
        <v>667</v>
      </c>
      <c r="J110" t="s">
        <v>699</v>
      </c>
    </row>
    <row r="111" spans="1:10">
      <c r="A111" s="41">
        <v>46087</v>
      </c>
      <c r="B111" t="s">
        <v>515</v>
      </c>
      <c r="C111" t="s">
        <v>724</v>
      </c>
      <c r="D111">
        <v>71838</v>
      </c>
      <c r="E111" t="s">
        <v>698</v>
      </c>
      <c r="F111">
        <v>16205</v>
      </c>
      <c r="G111" t="s">
        <v>84</v>
      </c>
      <c r="J111" t="s">
        <v>699</v>
      </c>
    </row>
    <row r="112" spans="1:10">
      <c r="A112" s="41">
        <v>46085</v>
      </c>
      <c r="B112" t="s">
        <v>321</v>
      </c>
      <c r="C112" t="s">
        <v>697</v>
      </c>
      <c r="D112">
        <v>8980</v>
      </c>
      <c r="E112" t="s">
        <v>698</v>
      </c>
      <c r="F112">
        <v>16202</v>
      </c>
      <c r="J112" t="s">
        <v>699</v>
      </c>
    </row>
    <row r="113" spans="1:10">
      <c r="A113" s="41">
        <v>46031</v>
      </c>
      <c r="B113" t="s">
        <v>551</v>
      </c>
      <c r="C113" t="s">
        <v>737</v>
      </c>
      <c r="D113">
        <v>11406</v>
      </c>
      <c r="E113" t="s">
        <v>698</v>
      </c>
      <c r="G113" t="s">
        <v>733</v>
      </c>
      <c r="H113" t="s">
        <v>734</v>
      </c>
      <c r="I113" s="9">
        <v>254792</v>
      </c>
      <c r="J113" t="s">
        <v>699</v>
      </c>
    </row>
    <row r="114" spans="1:10">
      <c r="A114" s="41">
        <v>46020</v>
      </c>
      <c r="B114" t="s">
        <v>533</v>
      </c>
      <c r="C114" t="s">
        <v>737</v>
      </c>
      <c r="D114">
        <v>65636</v>
      </c>
      <c r="E114" t="s">
        <v>698</v>
      </c>
      <c r="G114" t="s">
        <v>733</v>
      </c>
      <c r="H114" t="s">
        <v>734</v>
      </c>
      <c r="I114" s="9">
        <v>573317</v>
      </c>
      <c r="J114" t="s">
        <v>699</v>
      </c>
    </row>
    <row r="115" spans="1:10" ht="15" customHeight="1">
      <c r="A115" s="41">
        <v>46027</v>
      </c>
      <c r="B115" t="s">
        <v>523</v>
      </c>
      <c r="C115" t="s">
        <v>724</v>
      </c>
      <c r="D115">
        <v>30210</v>
      </c>
      <c r="E115" t="s">
        <v>698</v>
      </c>
      <c r="J115" t="s">
        <v>699</v>
      </c>
    </row>
    <row r="116" spans="1:10" ht="15" customHeight="1">
      <c r="A116" s="41">
        <v>46029</v>
      </c>
      <c r="B116" t="s">
        <v>537</v>
      </c>
      <c r="C116" t="s">
        <v>725</v>
      </c>
      <c r="D116">
        <v>85271</v>
      </c>
      <c r="E116" t="s">
        <v>698</v>
      </c>
      <c r="G116" t="s">
        <v>733</v>
      </c>
      <c r="H116" t="s">
        <v>734</v>
      </c>
      <c r="I116" s="9">
        <v>725040</v>
      </c>
      <c r="J116" t="s">
        <v>699</v>
      </c>
    </row>
    <row r="117" spans="1:10" ht="15" customHeight="1">
      <c r="A117" s="41">
        <v>46105</v>
      </c>
      <c r="B117" t="s">
        <v>530</v>
      </c>
      <c r="C117" t="s">
        <v>725</v>
      </c>
      <c r="D117" s="42">
        <v>86820</v>
      </c>
      <c r="E117" t="s">
        <v>698</v>
      </c>
      <c r="G117" t="s">
        <v>733</v>
      </c>
      <c r="H117" t="s">
        <v>734</v>
      </c>
      <c r="I117" s="9">
        <v>698466</v>
      </c>
      <c r="J117" t="s">
        <v>699</v>
      </c>
    </row>
    <row r="118" spans="1:10" ht="15" customHeight="1">
      <c r="A118" s="41">
        <v>46101</v>
      </c>
      <c r="B118" t="s">
        <v>628</v>
      </c>
      <c r="C118" t="s">
        <v>725</v>
      </c>
      <c r="D118">
        <v>92994</v>
      </c>
      <c r="E118" t="s">
        <v>698</v>
      </c>
      <c r="J118" t="s">
        <v>699</v>
      </c>
    </row>
    <row r="119" spans="1:10" ht="15" customHeight="1">
      <c r="A119" s="41">
        <v>46077</v>
      </c>
      <c r="B119" t="s">
        <v>501</v>
      </c>
      <c r="C119" t="s">
        <v>724</v>
      </c>
      <c r="D119">
        <v>90248</v>
      </c>
      <c r="E119" t="s">
        <v>698</v>
      </c>
      <c r="J119" t="s">
        <v>699</v>
      </c>
    </row>
    <row r="120" spans="1:10" ht="15" customHeight="1">
      <c r="A120" s="41">
        <v>46105</v>
      </c>
      <c r="B120" t="s">
        <v>50</v>
      </c>
      <c r="C120" t="s">
        <v>724</v>
      </c>
      <c r="D120">
        <v>275548</v>
      </c>
      <c r="E120" t="s">
        <v>698</v>
      </c>
      <c r="G120" t="s">
        <v>272</v>
      </c>
      <c r="J120" t="s">
        <v>699</v>
      </c>
    </row>
    <row r="121" spans="1:10" ht="15" customHeight="1">
      <c r="A121" s="41">
        <v>46101</v>
      </c>
      <c r="B121" t="s">
        <v>620</v>
      </c>
      <c r="C121" t="s">
        <v>725</v>
      </c>
      <c r="D121">
        <v>129410</v>
      </c>
      <c r="E121" t="s">
        <v>701</v>
      </c>
      <c r="J121" t="s">
        <v>699</v>
      </c>
    </row>
    <row r="122" spans="1:10" ht="15" customHeight="1">
      <c r="A122" s="41">
        <v>46099</v>
      </c>
      <c r="B122" t="s">
        <v>490</v>
      </c>
      <c r="C122" t="s">
        <v>738</v>
      </c>
      <c r="D122">
        <v>90000</v>
      </c>
      <c r="E122" t="s">
        <v>698</v>
      </c>
      <c r="J122" t="s">
        <v>699</v>
      </c>
    </row>
    <row r="123" spans="1:10" ht="15" customHeight="1">
      <c r="A123" s="41">
        <v>46099</v>
      </c>
      <c r="B123" t="s">
        <v>81</v>
      </c>
      <c r="C123" t="s">
        <v>724</v>
      </c>
      <c r="D123">
        <v>195600</v>
      </c>
      <c r="E123" t="s">
        <v>698</v>
      </c>
      <c r="G123" t="s">
        <v>39</v>
      </c>
      <c r="H123" t="s">
        <v>735</v>
      </c>
      <c r="I123" s="9">
        <v>170432.99</v>
      </c>
      <c r="J123" t="s">
        <v>699</v>
      </c>
    </row>
    <row r="124" spans="1:10" ht="15" customHeight="1">
      <c r="A124" s="41"/>
      <c r="B124" t="s">
        <v>620</v>
      </c>
      <c r="C124" t="s">
        <v>725</v>
      </c>
      <c r="D124">
        <v>118530</v>
      </c>
      <c r="E124" t="s">
        <v>698</v>
      </c>
      <c r="J124" t="s">
        <v>699</v>
      </c>
    </row>
    <row r="125" spans="1:10" ht="15" customHeight="1">
      <c r="A125" s="41">
        <v>46105</v>
      </c>
      <c r="B125" t="s">
        <v>121</v>
      </c>
      <c r="C125" t="s">
        <v>697</v>
      </c>
      <c r="D125">
        <v>7682</v>
      </c>
      <c r="E125" t="s">
        <v>698</v>
      </c>
      <c r="G125" t="s">
        <v>33</v>
      </c>
      <c r="J125" t="s">
        <v>699</v>
      </c>
    </row>
    <row r="126" spans="1:10" ht="15" customHeight="1">
      <c r="A126" s="41">
        <v>46106</v>
      </c>
      <c r="B126" t="s">
        <v>456</v>
      </c>
      <c r="C126" t="s">
        <v>697</v>
      </c>
      <c r="D126">
        <v>2277</v>
      </c>
      <c r="E126" t="s">
        <v>698</v>
      </c>
      <c r="G126" t="s">
        <v>33</v>
      </c>
      <c r="J126" t="s">
        <v>699</v>
      </c>
    </row>
    <row r="127" spans="1:10" ht="15" customHeight="1">
      <c r="A127" s="41">
        <v>46106</v>
      </c>
      <c r="B127" t="s">
        <v>408</v>
      </c>
      <c r="C127" t="s">
        <v>697</v>
      </c>
      <c r="D127">
        <v>4116</v>
      </c>
      <c r="E127" t="s">
        <v>698</v>
      </c>
      <c r="G127" t="s">
        <v>33</v>
      </c>
      <c r="J127" t="s">
        <v>699</v>
      </c>
    </row>
    <row r="128" spans="1:10" ht="15" customHeight="1">
      <c r="A128" s="41">
        <v>46107</v>
      </c>
      <c r="B128" t="s">
        <v>234</v>
      </c>
      <c r="C128" t="s">
        <v>697</v>
      </c>
      <c r="D128">
        <v>2050</v>
      </c>
      <c r="E128" t="s">
        <v>698</v>
      </c>
      <c r="G128" t="s">
        <v>33</v>
      </c>
      <c r="J128" t="s">
        <v>699</v>
      </c>
    </row>
    <row r="129" spans="1:10" ht="15" customHeight="1">
      <c r="A129" s="41">
        <v>46108</v>
      </c>
      <c r="B129" t="s">
        <v>207</v>
      </c>
      <c r="C129" t="s">
        <v>697</v>
      </c>
      <c r="D129">
        <v>1541</v>
      </c>
      <c r="E129" t="s">
        <v>698</v>
      </c>
      <c r="G129" t="s">
        <v>33</v>
      </c>
      <c r="J129" t="s">
        <v>699</v>
      </c>
    </row>
    <row r="130" spans="1:10" ht="15" customHeight="1">
      <c r="A130" s="41">
        <v>46050</v>
      </c>
      <c r="B130" t="s">
        <v>548</v>
      </c>
      <c r="C130" t="s">
        <v>725</v>
      </c>
      <c r="D130">
        <v>12362</v>
      </c>
      <c r="E130" t="s">
        <v>698</v>
      </c>
      <c r="G130" t="s">
        <v>733</v>
      </c>
      <c r="I130" s="9">
        <v>263017</v>
      </c>
      <c r="J130" t="s">
        <v>699</v>
      </c>
    </row>
    <row r="131" spans="1:10" ht="15" customHeight="1">
      <c r="A131" s="41">
        <v>46054</v>
      </c>
      <c r="B131" t="s">
        <v>544</v>
      </c>
      <c r="C131" t="s">
        <v>724</v>
      </c>
      <c r="D131">
        <v>30000</v>
      </c>
      <c r="E131" t="s">
        <v>698</v>
      </c>
      <c r="J131" t="s">
        <v>699</v>
      </c>
    </row>
    <row r="132" spans="1:10" ht="15" customHeight="1">
      <c r="A132" s="41">
        <v>46105</v>
      </c>
      <c r="B132" t="s">
        <v>510</v>
      </c>
      <c r="C132" t="s">
        <v>724</v>
      </c>
      <c r="D132">
        <v>46246</v>
      </c>
      <c r="E132" t="s">
        <v>698</v>
      </c>
      <c r="J132" t="s">
        <v>699</v>
      </c>
    </row>
    <row r="133" spans="1:10" ht="15" customHeight="1">
      <c r="A133" s="41">
        <v>46105</v>
      </c>
      <c r="B133" t="s">
        <v>316</v>
      </c>
      <c r="C133" t="s">
        <v>697</v>
      </c>
      <c r="D133">
        <v>13482</v>
      </c>
      <c r="E133" t="s">
        <v>698</v>
      </c>
      <c r="G133" t="s">
        <v>531</v>
      </c>
      <c r="J133" t="s">
        <v>699</v>
      </c>
    </row>
    <row r="134" spans="1:10" ht="15" customHeight="1">
      <c r="A134" s="41">
        <v>46106</v>
      </c>
      <c r="B134" t="s">
        <v>559</v>
      </c>
      <c r="C134" t="s">
        <v>724</v>
      </c>
      <c r="D134">
        <v>561359</v>
      </c>
      <c r="E134" t="s">
        <v>698</v>
      </c>
      <c r="G134" t="s">
        <v>36</v>
      </c>
      <c r="J134" t="s">
        <v>699</v>
      </c>
    </row>
    <row r="135" spans="1:10" ht="15" customHeight="1">
      <c r="A135" s="41">
        <v>46111</v>
      </c>
      <c r="B135" t="s">
        <v>258</v>
      </c>
      <c r="C135" t="s">
        <v>697</v>
      </c>
      <c r="D135">
        <v>2885</v>
      </c>
      <c r="E135" t="s">
        <v>698</v>
      </c>
      <c r="G135" t="s">
        <v>39</v>
      </c>
      <c r="J135" t="s">
        <v>699</v>
      </c>
    </row>
    <row r="136" spans="1:10" ht="15" customHeight="1">
      <c r="A136" s="41">
        <v>46107</v>
      </c>
      <c r="B136" t="s">
        <v>417</v>
      </c>
      <c r="C136" t="s">
        <v>697</v>
      </c>
      <c r="D136">
        <v>8346</v>
      </c>
      <c r="E136" t="s">
        <v>698</v>
      </c>
      <c r="G136" t="s">
        <v>39</v>
      </c>
      <c r="J136" t="s">
        <v>699</v>
      </c>
    </row>
    <row r="137" spans="1:10" ht="15" customHeight="1">
      <c r="A137" s="41">
        <v>46104</v>
      </c>
      <c r="B137" t="s">
        <v>405</v>
      </c>
      <c r="C137" t="s">
        <v>697</v>
      </c>
      <c r="D137">
        <v>12775</v>
      </c>
      <c r="E137" t="s">
        <v>698</v>
      </c>
      <c r="G137" t="s">
        <v>272</v>
      </c>
      <c r="J137" t="s">
        <v>699</v>
      </c>
    </row>
    <row r="138" spans="1:10" ht="15" customHeight="1">
      <c r="A138" s="41">
        <v>46112</v>
      </c>
      <c r="B138" t="s">
        <v>190</v>
      </c>
      <c r="C138" t="s">
        <v>724</v>
      </c>
      <c r="D138">
        <v>342684</v>
      </c>
      <c r="E138" t="s">
        <v>698</v>
      </c>
      <c r="G138" t="s">
        <v>666</v>
      </c>
      <c r="J138" t="s">
        <v>699</v>
      </c>
    </row>
    <row r="139" spans="1:10" ht="15" customHeight="1">
      <c r="A139" s="41">
        <v>46099</v>
      </c>
      <c r="B139" t="s">
        <v>575</v>
      </c>
      <c r="C139" t="s">
        <v>724</v>
      </c>
      <c r="D139">
        <v>241448</v>
      </c>
      <c r="E139" t="s">
        <v>698</v>
      </c>
      <c r="G139" t="s">
        <v>39</v>
      </c>
      <c r="J139" t="s">
        <v>699</v>
      </c>
    </row>
    <row r="140" spans="1:10" ht="15" customHeight="1">
      <c r="A140" s="41">
        <v>46112</v>
      </c>
      <c r="B140" t="s">
        <v>611</v>
      </c>
      <c r="C140" t="s">
        <v>724</v>
      </c>
      <c r="D140">
        <v>306311</v>
      </c>
      <c r="E140" t="s">
        <v>698</v>
      </c>
      <c r="G140" t="s">
        <v>36</v>
      </c>
      <c r="J140" t="s">
        <v>699</v>
      </c>
    </row>
    <row r="141" spans="1:10" ht="15" customHeight="1">
      <c r="A141" s="41">
        <v>46113</v>
      </c>
      <c r="B141" t="s">
        <v>499</v>
      </c>
      <c r="C141" t="s">
        <v>724</v>
      </c>
      <c r="D141">
        <v>68137</v>
      </c>
      <c r="E141" t="s">
        <v>698</v>
      </c>
      <c r="G141" t="s">
        <v>33</v>
      </c>
      <c r="J141" t="s">
        <v>699</v>
      </c>
    </row>
    <row r="142" spans="1:10" ht="15" customHeight="1">
      <c r="A142" s="41">
        <v>46111</v>
      </c>
      <c r="B142" t="s">
        <v>249</v>
      </c>
      <c r="C142" t="s">
        <v>697</v>
      </c>
      <c r="D142">
        <v>4924</v>
      </c>
      <c r="E142" t="s">
        <v>698</v>
      </c>
      <c r="G142" t="s">
        <v>33</v>
      </c>
      <c r="J142" t="s">
        <v>699</v>
      </c>
    </row>
    <row r="143" spans="1:10" ht="15" customHeight="1">
      <c r="A143" s="41">
        <v>46120</v>
      </c>
      <c r="B143" t="s">
        <v>542</v>
      </c>
      <c r="C143" t="s">
        <v>725</v>
      </c>
      <c r="E143" t="s">
        <v>698</v>
      </c>
      <c r="G143" t="s">
        <v>733</v>
      </c>
    </row>
    <row r="144" spans="1:10" ht="15" customHeight="1">
      <c r="A144" s="41">
        <v>46118</v>
      </c>
      <c r="B144" t="s">
        <v>630</v>
      </c>
      <c r="C144" t="s">
        <v>724</v>
      </c>
      <c r="D144">
        <v>148168</v>
      </c>
      <c r="E144" t="s">
        <v>698</v>
      </c>
      <c r="G144" t="s">
        <v>36</v>
      </c>
      <c r="J144" t="s">
        <v>699</v>
      </c>
    </row>
    <row r="145" spans="1:10" ht="15" customHeight="1">
      <c r="A145" s="41">
        <v>46113</v>
      </c>
      <c r="B145" t="s">
        <v>12</v>
      </c>
      <c r="C145" t="s">
        <v>697</v>
      </c>
      <c r="D145">
        <v>2882</v>
      </c>
      <c r="E145" t="s">
        <v>698</v>
      </c>
      <c r="G145" t="s">
        <v>84</v>
      </c>
      <c r="J145" t="s">
        <v>699</v>
      </c>
    </row>
    <row r="146" spans="1:10" ht="15" customHeight="1">
      <c r="A146" s="41">
        <v>46118</v>
      </c>
      <c r="B146" t="s">
        <v>485</v>
      </c>
      <c r="C146" t="s">
        <v>725</v>
      </c>
      <c r="E146" t="s">
        <v>698</v>
      </c>
      <c r="G146" t="s">
        <v>726</v>
      </c>
    </row>
    <row r="147" spans="1:10" ht="15" customHeight="1">
      <c r="A147" s="41">
        <v>42291</v>
      </c>
      <c r="B147" t="s">
        <v>526</v>
      </c>
      <c r="C147" t="s">
        <v>725</v>
      </c>
      <c r="D147">
        <v>39117</v>
      </c>
      <c r="E147" t="s">
        <v>698</v>
      </c>
      <c r="G147" t="s">
        <v>733</v>
      </c>
      <c r="H147" t="s">
        <v>734</v>
      </c>
      <c r="I147" s="9">
        <v>405603</v>
      </c>
      <c r="J147" t="s">
        <v>699</v>
      </c>
    </row>
    <row r="148" spans="1:10" ht="15" customHeight="1">
      <c r="A148" s="41">
        <v>45986</v>
      </c>
      <c r="B148" t="s">
        <v>540</v>
      </c>
      <c r="C148" t="s">
        <v>725</v>
      </c>
      <c r="D148">
        <v>52833</v>
      </c>
      <c r="E148" t="s">
        <v>698</v>
      </c>
      <c r="G148" t="s">
        <v>733</v>
      </c>
      <c r="H148" t="s">
        <v>734</v>
      </c>
      <c r="I148" s="9">
        <v>546131</v>
      </c>
      <c r="J148" t="s">
        <v>699</v>
      </c>
    </row>
    <row r="149" spans="1:10" ht="15" customHeight="1">
      <c r="A149" s="41">
        <v>46118</v>
      </c>
      <c r="B149" t="s">
        <v>596</v>
      </c>
      <c r="C149" t="s">
        <v>724</v>
      </c>
      <c r="D149">
        <v>148444</v>
      </c>
      <c r="E149" t="s">
        <v>698</v>
      </c>
      <c r="J149" t="s">
        <v>699</v>
      </c>
    </row>
    <row r="150" spans="1:10" ht="15" customHeight="1">
      <c r="A150" s="41">
        <v>46093</v>
      </c>
      <c r="B150" t="s">
        <v>93</v>
      </c>
      <c r="C150" t="s">
        <v>697</v>
      </c>
      <c r="D150">
        <v>3693</v>
      </c>
      <c r="E150" t="s">
        <v>698</v>
      </c>
      <c r="J150" t="s">
        <v>699</v>
      </c>
    </row>
    <row r="151" spans="1:10" ht="15" customHeight="1">
      <c r="A151" s="41">
        <v>46108</v>
      </c>
      <c r="B151" t="s">
        <v>339</v>
      </c>
      <c r="C151" t="s">
        <v>697</v>
      </c>
      <c r="D151">
        <v>1974</v>
      </c>
      <c r="E151" t="s">
        <v>698</v>
      </c>
      <c r="J151" t="s">
        <v>699</v>
      </c>
    </row>
    <row r="152" spans="1:10" ht="15" customHeight="1">
      <c r="A152" s="41">
        <v>46121</v>
      </c>
      <c r="B152" t="s">
        <v>547</v>
      </c>
      <c r="C152" t="s">
        <v>725</v>
      </c>
      <c r="D152">
        <v>21224</v>
      </c>
      <c r="E152" t="s">
        <v>698</v>
      </c>
      <c r="G152" t="s">
        <v>733</v>
      </c>
      <c r="H152" t="s">
        <v>734</v>
      </c>
      <c r="I152" s="9">
        <v>499644</v>
      </c>
      <c r="J152" t="s">
        <v>699</v>
      </c>
    </row>
    <row r="153" spans="1:10" ht="15" customHeight="1">
      <c r="A153" s="41">
        <v>46121</v>
      </c>
      <c r="B153" t="s">
        <v>528</v>
      </c>
      <c r="C153" t="s">
        <v>725</v>
      </c>
      <c r="D153">
        <v>72423</v>
      </c>
      <c r="E153" t="s">
        <v>698</v>
      </c>
      <c r="G153" t="s">
        <v>733</v>
      </c>
      <c r="H153" t="s">
        <v>734</v>
      </c>
      <c r="I153" s="9">
        <v>607478</v>
      </c>
      <c r="J153" t="s">
        <v>699</v>
      </c>
    </row>
    <row r="154" spans="1:10" ht="15" customHeight="1">
      <c r="A154" s="41">
        <v>46121</v>
      </c>
      <c r="B154" t="s">
        <v>501</v>
      </c>
      <c r="C154" t="s">
        <v>724</v>
      </c>
      <c r="D154">
        <v>104090</v>
      </c>
      <c r="E154" t="s">
        <v>698</v>
      </c>
      <c r="G154" t="s">
        <v>36</v>
      </c>
      <c r="J154" t="s">
        <v>699</v>
      </c>
    </row>
    <row r="155" spans="1:10" ht="15" customHeight="1">
      <c r="A155" s="41">
        <v>46121</v>
      </c>
      <c r="B155" t="s">
        <v>306</v>
      </c>
      <c r="C155" t="s">
        <v>697</v>
      </c>
      <c r="D155">
        <v>21445</v>
      </c>
      <c r="E155" t="s">
        <v>698</v>
      </c>
      <c r="G155" t="s">
        <v>667</v>
      </c>
      <c r="J155" t="s">
        <v>699</v>
      </c>
    </row>
    <row r="156" spans="1:10" ht="15" customHeight="1">
      <c r="A156" s="41">
        <v>46125</v>
      </c>
      <c r="B156" t="s">
        <v>620</v>
      </c>
      <c r="C156" t="s">
        <v>724</v>
      </c>
      <c r="D156">
        <v>133477</v>
      </c>
      <c r="E156" t="s">
        <v>698</v>
      </c>
      <c r="G156" t="s">
        <v>36</v>
      </c>
      <c r="J156" t="s">
        <v>699</v>
      </c>
    </row>
    <row r="157" spans="1:10" ht="15" customHeight="1">
      <c r="A157" s="41">
        <v>46126</v>
      </c>
      <c r="B157" t="s">
        <v>495</v>
      </c>
      <c r="C157" t="s">
        <v>724</v>
      </c>
      <c r="D157">
        <v>117843</v>
      </c>
      <c r="E157" t="s">
        <v>698</v>
      </c>
      <c r="J157" t="s">
        <v>699</v>
      </c>
    </row>
    <row r="158" spans="1:10" ht="15" customHeight="1">
      <c r="A158" s="41">
        <v>46121</v>
      </c>
      <c r="B158" t="s">
        <v>126</v>
      </c>
      <c r="C158" t="s">
        <v>724</v>
      </c>
      <c r="D158">
        <v>67550</v>
      </c>
      <c r="E158" t="s">
        <v>698</v>
      </c>
      <c r="J158" t="s">
        <v>699</v>
      </c>
    </row>
    <row r="159" spans="1:10" ht="15" customHeight="1">
      <c r="A159" s="41">
        <v>46125</v>
      </c>
      <c r="B159" t="s">
        <v>420</v>
      </c>
      <c r="C159" t="s">
        <v>697</v>
      </c>
      <c r="D159">
        <v>5770</v>
      </c>
      <c r="E159" t="s">
        <v>698</v>
      </c>
      <c r="G159" t="s">
        <v>300</v>
      </c>
      <c r="J159" t="s">
        <v>699</v>
      </c>
    </row>
    <row r="160" spans="1:10" ht="15" customHeight="1">
      <c r="A160" s="41">
        <v>46106</v>
      </c>
      <c r="B160" t="s">
        <v>384</v>
      </c>
      <c r="C160" t="s">
        <v>732</v>
      </c>
      <c r="D160">
        <v>6071</v>
      </c>
      <c r="E160" t="s">
        <v>698</v>
      </c>
      <c r="G160" t="s">
        <v>36</v>
      </c>
      <c r="J160" t="s">
        <v>699</v>
      </c>
    </row>
    <row r="161" spans="1:10" ht="15" customHeight="1">
      <c r="A161" s="41">
        <v>46125</v>
      </c>
      <c r="B161" t="s">
        <v>19</v>
      </c>
      <c r="C161" t="s">
        <v>697</v>
      </c>
      <c r="D161" s="52">
        <v>10400</v>
      </c>
      <c r="E161" t="s">
        <v>698</v>
      </c>
      <c r="G161" t="s">
        <v>36</v>
      </c>
      <c r="J161" t="s">
        <v>699</v>
      </c>
    </row>
    <row r="162" spans="1:10" ht="15" customHeight="1">
      <c r="A162" s="41">
        <v>46121</v>
      </c>
      <c r="B162" t="s">
        <v>202</v>
      </c>
      <c r="C162" t="s">
        <v>697</v>
      </c>
      <c r="D162">
        <v>402</v>
      </c>
      <c r="E162" t="s">
        <v>698</v>
      </c>
      <c r="G162" t="s">
        <v>36</v>
      </c>
      <c r="J162" t="s">
        <v>699</v>
      </c>
    </row>
    <row r="163" spans="1:10" ht="15" customHeight="1">
      <c r="A163" s="41">
        <v>46120</v>
      </c>
      <c r="B163" t="s">
        <v>275</v>
      </c>
      <c r="C163" t="s">
        <v>697</v>
      </c>
      <c r="D163">
        <v>1540</v>
      </c>
      <c r="E163" t="s">
        <v>698</v>
      </c>
      <c r="J163" t="s">
        <v>699</v>
      </c>
    </row>
    <row r="164" spans="1:10" ht="15" customHeight="1">
      <c r="A164" s="41">
        <v>46124</v>
      </c>
      <c r="B164" t="s">
        <v>611</v>
      </c>
      <c r="C164" t="s">
        <v>724</v>
      </c>
      <c r="D164">
        <v>266000</v>
      </c>
      <c r="E164" t="s">
        <v>698</v>
      </c>
      <c r="G164" t="s">
        <v>84</v>
      </c>
      <c r="J164" t="s">
        <v>699</v>
      </c>
    </row>
    <row r="165" spans="1:10" ht="15" customHeight="1">
      <c r="A165" s="41">
        <v>46127</v>
      </c>
      <c r="B165" t="s">
        <v>227</v>
      </c>
      <c r="C165" t="s">
        <v>697</v>
      </c>
      <c r="D165">
        <v>867</v>
      </c>
      <c r="E165" t="s">
        <v>698</v>
      </c>
      <c r="G165" t="s">
        <v>84</v>
      </c>
      <c r="J165" t="s">
        <v>699</v>
      </c>
    </row>
    <row r="166" spans="1:10" ht="15" customHeight="1">
      <c r="A166" s="41">
        <v>46127</v>
      </c>
      <c r="B166" t="s">
        <v>32</v>
      </c>
      <c r="C166" t="s">
        <v>724</v>
      </c>
      <c r="D166">
        <v>10738</v>
      </c>
      <c r="E166" t="s">
        <v>698</v>
      </c>
      <c r="G166" t="s">
        <v>33</v>
      </c>
      <c r="J166" t="s">
        <v>699</v>
      </c>
    </row>
    <row r="167" spans="1:10" ht="15" customHeight="1">
      <c r="A167" s="41">
        <v>46132</v>
      </c>
      <c r="B167" t="s">
        <v>514</v>
      </c>
      <c r="C167" t="s">
        <v>724</v>
      </c>
      <c r="D167">
        <v>69677</v>
      </c>
      <c r="E167" t="s">
        <v>698</v>
      </c>
      <c r="G167" t="s">
        <v>33</v>
      </c>
      <c r="J167" t="s">
        <v>699</v>
      </c>
    </row>
    <row r="168" spans="1:10" ht="15" customHeight="1">
      <c r="A168" s="41">
        <v>46129</v>
      </c>
      <c r="B168" t="s">
        <v>591</v>
      </c>
      <c r="C168" t="s">
        <v>724</v>
      </c>
      <c r="D168">
        <v>170002</v>
      </c>
      <c r="E168" t="s">
        <v>698</v>
      </c>
      <c r="G168" t="s">
        <v>36</v>
      </c>
      <c r="J168" t="s">
        <v>699</v>
      </c>
    </row>
    <row r="169" spans="1:10" ht="15" customHeight="1">
      <c r="A169" s="41">
        <v>46129</v>
      </c>
      <c r="B169" t="s">
        <v>106</v>
      </c>
      <c r="C169" t="s">
        <v>724</v>
      </c>
      <c r="D169">
        <v>138500</v>
      </c>
      <c r="E169" t="s">
        <v>698</v>
      </c>
      <c r="G169" t="s">
        <v>36</v>
      </c>
      <c r="J169" t="s">
        <v>699</v>
      </c>
    </row>
    <row r="170" spans="1:10" ht="15" customHeight="1">
      <c r="A170" s="41">
        <v>46126</v>
      </c>
      <c r="B170" t="s">
        <v>624</v>
      </c>
      <c r="C170" t="s">
        <v>724</v>
      </c>
      <c r="D170">
        <v>98151</v>
      </c>
      <c r="E170" t="s">
        <v>698</v>
      </c>
      <c r="G170" t="s">
        <v>272</v>
      </c>
      <c r="J170" t="s">
        <v>699</v>
      </c>
    </row>
    <row r="171" spans="1:10" ht="15" customHeight="1">
      <c r="A171" s="41">
        <v>46100</v>
      </c>
      <c r="B171" t="s">
        <v>443</v>
      </c>
      <c r="C171" t="s">
        <v>697</v>
      </c>
      <c r="D171">
        <v>2360</v>
      </c>
      <c r="E171" t="s">
        <v>698</v>
      </c>
      <c r="J171" t="s">
        <v>699</v>
      </c>
    </row>
    <row r="172" spans="1:10" ht="15" customHeight="1">
      <c r="A172" s="41">
        <v>46133</v>
      </c>
      <c r="B172" t="s">
        <v>414</v>
      </c>
      <c r="C172" t="s">
        <v>697</v>
      </c>
      <c r="D172">
        <v>10453</v>
      </c>
      <c r="E172" t="s">
        <v>698</v>
      </c>
      <c r="G172" t="s">
        <v>33</v>
      </c>
      <c r="J172" t="s">
        <v>699</v>
      </c>
    </row>
    <row r="173" spans="1:10" ht="15" customHeight="1">
      <c r="A173" s="41">
        <v>46134</v>
      </c>
      <c r="B173" t="s">
        <v>263</v>
      </c>
      <c r="C173" t="s">
        <v>697</v>
      </c>
      <c r="D173">
        <v>10154</v>
      </c>
      <c r="E173" t="s">
        <v>698</v>
      </c>
      <c r="G173" t="s">
        <v>33</v>
      </c>
      <c r="J173" t="s">
        <v>699</v>
      </c>
    </row>
    <row r="174" spans="1:10" ht="15" customHeight="1">
      <c r="A174" s="41">
        <v>46135</v>
      </c>
      <c r="B174" t="s">
        <v>537</v>
      </c>
      <c r="C174" t="s">
        <v>724</v>
      </c>
      <c r="D174">
        <v>100657</v>
      </c>
      <c r="E174" t="s">
        <v>698</v>
      </c>
      <c r="G174" t="s">
        <v>36</v>
      </c>
      <c r="J174" t="s">
        <v>699</v>
      </c>
    </row>
    <row r="175" spans="1:10" ht="15" customHeight="1">
      <c r="A175" s="41">
        <v>46133</v>
      </c>
      <c r="B175" t="s">
        <v>431</v>
      </c>
      <c r="C175" t="s">
        <v>697</v>
      </c>
      <c r="D175">
        <v>10222</v>
      </c>
      <c r="E175" t="s">
        <v>698</v>
      </c>
      <c r="G175" t="s">
        <v>300</v>
      </c>
      <c r="J175" t="s">
        <v>699</v>
      </c>
    </row>
    <row r="176" spans="1:10" ht="15" customHeight="1">
      <c r="A176" s="41">
        <v>46132</v>
      </c>
      <c r="B176" t="s">
        <v>273</v>
      </c>
      <c r="C176" t="s">
        <v>697</v>
      </c>
      <c r="D176">
        <v>4308</v>
      </c>
      <c r="E176" t="s">
        <v>698</v>
      </c>
      <c r="G176" t="s">
        <v>300</v>
      </c>
      <c r="J176" t="s">
        <v>699</v>
      </c>
    </row>
    <row r="177" spans="1:10" ht="15" customHeight="1">
      <c r="A177" s="41">
        <v>46133</v>
      </c>
      <c r="B177" t="s">
        <v>354</v>
      </c>
      <c r="C177" t="s">
        <v>697</v>
      </c>
      <c r="D177">
        <v>7113</v>
      </c>
      <c r="E177" t="s">
        <v>698</v>
      </c>
      <c r="G177" t="s">
        <v>300</v>
      </c>
      <c r="J177" t="s">
        <v>699</v>
      </c>
    </row>
    <row r="178" spans="1:10" ht="15" customHeight="1">
      <c r="A178" s="41">
        <v>46136</v>
      </c>
      <c r="B178" t="s">
        <v>396</v>
      </c>
      <c r="C178" t="s">
        <v>697</v>
      </c>
      <c r="D178">
        <v>8705</v>
      </c>
      <c r="E178" t="s">
        <v>698</v>
      </c>
      <c r="G178" t="s">
        <v>33</v>
      </c>
      <c r="J178" t="s">
        <v>699</v>
      </c>
    </row>
    <row r="179" spans="1:10" ht="15" customHeight="1">
      <c r="A179" s="41"/>
    </row>
    <row r="180" spans="1:10" ht="15" customHeight="1">
      <c r="A180" s="41">
        <v>46139</v>
      </c>
      <c r="B180" t="s">
        <v>506</v>
      </c>
      <c r="C180" t="s">
        <v>720</v>
      </c>
      <c r="D180">
        <v>73245</v>
      </c>
      <c r="E180" t="s">
        <v>698</v>
      </c>
      <c r="J180" t="s">
        <v>699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50"/>
  <sheetViews>
    <sheetView zoomScaleNormal="100" workbookViewId="0">
      <pane ySplit="3" topLeftCell="A4" activePane="bottomLeft" state="frozen"/>
      <selection activeCell="F1" sqref="F1"/>
      <selection pane="bottomLeft" activeCell="B209" sqref="B209"/>
    </sheetView>
  </sheetViews>
  <sheetFormatPr baseColWidth="10" defaultColWidth="9.140625" defaultRowHeight="15" customHeight="1"/>
  <cols>
    <col min="1" max="1" width="11.140625" style="6" customWidth="1"/>
    <col min="2" max="2" width="15.140625" customWidth="1"/>
    <col min="3" max="3" width="11.7109375" customWidth="1"/>
    <col min="4" max="4" width="38" customWidth="1"/>
    <col min="5" max="5" width="46.42578125" customWidth="1"/>
    <col min="6" max="6" width="17.5703125" customWidth="1"/>
    <col min="7" max="7" width="20.5703125" customWidth="1"/>
    <col min="8" max="8" width="26" customWidth="1"/>
    <col min="10" max="10" width="10.5703125" bestFit="1" customWidth="1"/>
    <col min="11" max="11" width="21.85546875" bestFit="1" customWidth="1"/>
  </cols>
  <sheetData>
    <row r="1" spans="1:23" ht="18.75" customHeight="1">
      <c r="A1" s="85" t="s">
        <v>739</v>
      </c>
      <c r="B1" s="85"/>
      <c r="C1" s="85"/>
      <c r="D1" s="85"/>
      <c r="E1" s="85"/>
      <c r="F1" s="85"/>
      <c r="G1" s="85"/>
      <c r="H1" s="85"/>
    </row>
    <row r="3" spans="1:23">
      <c r="A3" s="7" t="s">
        <v>656</v>
      </c>
      <c r="B3" s="1" t="s">
        <v>740</v>
      </c>
      <c r="C3" s="1" t="s">
        <v>1</v>
      </c>
      <c r="D3" s="1" t="s">
        <v>741</v>
      </c>
      <c r="E3" s="1" t="s">
        <v>694</v>
      </c>
      <c r="F3" s="1" t="s">
        <v>742</v>
      </c>
      <c r="G3" s="1" t="s">
        <v>743</v>
      </c>
      <c r="H3" s="1" t="s">
        <v>744</v>
      </c>
    </row>
    <row r="4" spans="1:23">
      <c r="A4" s="41">
        <v>46065.423698645798</v>
      </c>
      <c r="B4" t="s">
        <v>745</v>
      </c>
      <c r="C4" t="s">
        <v>155</v>
      </c>
      <c r="D4" t="s">
        <v>746</v>
      </c>
      <c r="E4" t="s">
        <v>747</v>
      </c>
      <c r="F4" s="37">
        <v>16422</v>
      </c>
      <c r="G4" t="s">
        <v>748</v>
      </c>
      <c r="H4" t="s">
        <v>749</v>
      </c>
    </row>
    <row r="5" spans="1:23">
      <c r="A5" s="11">
        <v>46065.519203044001</v>
      </c>
      <c r="B5" s="12" t="s">
        <v>750</v>
      </c>
      <c r="C5" s="12"/>
      <c r="D5" s="12" t="s">
        <v>751</v>
      </c>
      <c r="E5" s="12" t="s">
        <v>728</v>
      </c>
      <c r="F5" s="55">
        <v>322014</v>
      </c>
      <c r="G5" s="12" t="s">
        <v>752</v>
      </c>
      <c r="H5" s="12" t="s">
        <v>753</v>
      </c>
    </row>
    <row r="6" spans="1:23">
      <c r="A6" s="41">
        <v>46069.442026967597</v>
      </c>
      <c r="B6" t="s">
        <v>754</v>
      </c>
      <c r="D6" t="s">
        <v>755</v>
      </c>
      <c r="E6" t="s">
        <v>728</v>
      </c>
      <c r="F6" s="37">
        <v>21999.995500000001</v>
      </c>
      <c r="G6" t="s">
        <v>756</v>
      </c>
      <c r="H6" t="s">
        <v>749</v>
      </c>
    </row>
    <row r="7" spans="1:23">
      <c r="A7" s="41">
        <v>46069.442026967597</v>
      </c>
      <c r="B7" t="s">
        <v>754</v>
      </c>
      <c r="C7" t="s">
        <v>25</v>
      </c>
      <c r="D7" t="s">
        <v>755</v>
      </c>
      <c r="E7" t="s">
        <v>728</v>
      </c>
      <c r="F7" s="37">
        <v>21999.995500000001</v>
      </c>
      <c r="G7" t="s">
        <v>756</v>
      </c>
      <c r="H7" t="s">
        <v>749</v>
      </c>
      <c r="W7" t="str">
        <f>IF(V7="FUERA DE SERVICIO","FUERA DE SERVICIO",IF(V7="SIN LECTURA / REVISAR","REVISAR 'Compras_PM'!C178LECTURA",IF(COUNTIFS(tblBodega[Codigo],A7)&gt;0,"EN PROCESO",IF(OR(P7="",R7=""),"AL DÍA",IF(((J7+R7)-O7)&lt;0,"ATRASADA",IF(((J7+R7)-O7)&lt;=IF(K7=0,0,K7*7),"PRÓXIMA","AL DÍA"))))))</f>
        <v>AL DÍA</v>
      </c>
    </row>
    <row r="8" spans="1:23">
      <c r="A8" s="41">
        <v>46069.442026967597</v>
      </c>
      <c r="B8" t="s">
        <v>754</v>
      </c>
      <c r="C8" t="s">
        <v>29</v>
      </c>
      <c r="D8" t="s">
        <v>755</v>
      </c>
      <c r="E8" t="s">
        <v>728</v>
      </c>
      <c r="F8" s="37">
        <v>21999.995500000001</v>
      </c>
      <c r="G8" t="s">
        <v>756</v>
      </c>
      <c r="H8" t="s">
        <v>749</v>
      </c>
    </row>
    <row r="9" spans="1:23">
      <c r="A9" s="41">
        <v>46069.442026967597</v>
      </c>
      <c r="B9" t="s">
        <v>754</v>
      </c>
      <c r="C9" t="s">
        <v>32</v>
      </c>
      <c r="D9" t="s">
        <v>755</v>
      </c>
      <c r="E9" t="s">
        <v>728</v>
      </c>
      <c r="F9" s="37">
        <v>21999.995500000001</v>
      </c>
      <c r="G9" t="s">
        <v>756</v>
      </c>
      <c r="H9" t="s">
        <v>749</v>
      </c>
    </row>
    <row r="10" spans="1:23">
      <c r="A10" s="41">
        <v>46069.442026967597</v>
      </c>
      <c r="B10" t="s">
        <v>754</v>
      </c>
      <c r="D10" t="s">
        <v>755</v>
      </c>
      <c r="E10" t="s">
        <v>728</v>
      </c>
      <c r="F10" s="37">
        <v>21999.995500000001</v>
      </c>
      <c r="G10" t="s">
        <v>756</v>
      </c>
      <c r="H10" t="s">
        <v>749</v>
      </c>
    </row>
    <row r="11" spans="1:23">
      <c r="A11" s="41">
        <v>46069.442026967597</v>
      </c>
      <c r="B11" t="s">
        <v>754</v>
      </c>
      <c r="C11" t="s">
        <v>38</v>
      </c>
      <c r="D11" t="s">
        <v>755</v>
      </c>
      <c r="E11" t="s">
        <v>728</v>
      </c>
      <c r="F11" s="37">
        <v>21999.995500000001</v>
      </c>
      <c r="G11" t="s">
        <v>756</v>
      </c>
      <c r="H11" t="s">
        <v>749</v>
      </c>
    </row>
    <row r="12" spans="1:23">
      <c r="A12" s="41">
        <v>46069.442026967597</v>
      </c>
      <c r="B12" t="s">
        <v>754</v>
      </c>
      <c r="C12" t="s">
        <v>86</v>
      </c>
      <c r="D12" t="s">
        <v>755</v>
      </c>
      <c r="E12" t="s">
        <v>728</v>
      </c>
      <c r="F12" s="37">
        <v>21999.995500000001</v>
      </c>
      <c r="G12" t="s">
        <v>756</v>
      </c>
      <c r="H12" t="s">
        <v>749</v>
      </c>
    </row>
    <row r="13" spans="1:23">
      <c r="A13" s="41">
        <v>46069.442026967597</v>
      </c>
      <c r="B13" t="s">
        <v>754</v>
      </c>
      <c r="C13" t="s">
        <v>89</v>
      </c>
      <c r="D13" t="s">
        <v>755</v>
      </c>
      <c r="E13" t="s">
        <v>728</v>
      </c>
      <c r="F13" s="37">
        <v>21999.995500000001</v>
      </c>
      <c r="G13" t="s">
        <v>756</v>
      </c>
      <c r="H13" t="s">
        <v>749</v>
      </c>
    </row>
    <row r="14" spans="1:23">
      <c r="A14" s="41">
        <v>46069.442026967597</v>
      </c>
      <c r="B14" t="s">
        <v>754</v>
      </c>
      <c r="C14" t="s">
        <v>91</v>
      </c>
      <c r="D14" t="s">
        <v>755</v>
      </c>
      <c r="E14" t="s">
        <v>728</v>
      </c>
      <c r="F14" s="37">
        <v>21999.995500000001</v>
      </c>
      <c r="G14" t="s">
        <v>756</v>
      </c>
      <c r="H14" t="s">
        <v>749</v>
      </c>
    </row>
    <row r="15" spans="1:23">
      <c r="A15" s="41">
        <v>46069.442026967597</v>
      </c>
      <c r="B15" t="s">
        <v>754</v>
      </c>
      <c r="C15" t="s">
        <v>93</v>
      </c>
      <c r="D15" t="s">
        <v>755</v>
      </c>
      <c r="E15" t="s">
        <v>728</v>
      </c>
      <c r="F15" s="37">
        <v>21999.995500000001</v>
      </c>
      <c r="G15" t="s">
        <v>756</v>
      </c>
      <c r="H15" t="s">
        <v>749</v>
      </c>
    </row>
    <row r="16" spans="1:23">
      <c r="A16" s="41">
        <v>46069.442026967597</v>
      </c>
      <c r="B16" t="s">
        <v>754</v>
      </c>
      <c r="C16" t="s">
        <v>96</v>
      </c>
      <c r="D16" t="s">
        <v>755</v>
      </c>
      <c r="E16" t="s">
        <v>728</v>
      </c>
      <c r="F16" s="37">
        <v>21999.995500000001</v>
      </c>
      <c r="G16" t="s">
        <v>756</v>
      </c>
      <c r="H16" t="s">
        <v>749</v>
      </c>
    </row>
    <row r="17" spans="1:8">
      <c r="A17" s="41">
        <v>46069.442026967597</v>
      </c>
      <c r="B17" t="s">
        <v>754</v>
      </c>
      <c r="C17" t="s">
        <v>169</v>
      </c>
      <c r="D17" t="s">
        <v>755</v>
      </c>
      <c r="E17" t="s">
        <v>728</v>
      </c>
      <c r="F17" s="37">
        <v>21999.995500000001</v>
      </c>
      <c r="G17" t="s">
        <v>756</v>
      </c>
      <c r="H17" t="s">
        <v>749</v>
      </c>
    </row>
    <row r="18" spans="1:8">
      <c r="A18" s="41">
        <v>46069.442026967597</v>
      </c>
      <c r="B18" t="s">
        <v>754</v>
      </c>
      <c r="C18" t="s">
        <v>171</v>
      </c>
      <c r="D18" t="s">
        <v>755</v>
      </c>
      <c r="E18" t="s">
        <v>728</v>
      </c>
      <c r="F18" s="37">
        <v>21999.995500000001</v>
      </c>
      <c r="G18" t="s">
        <v>756</v>
      </c>
      <c r="H18" t="s">
        <v>749</v>
      </c>
    </row>
    <row r="19" spans="1:8">
      <c r="A19" s="41">
        <v>46069.442026967597</v>
      </c>
      <c r="B19" t="s">
        <v>754</v>
      </c>
      <c r="C19" t="s">
        <v>173</v>
      </c>
      <c r="D19" t="s">
        <v>755</v>
      </c>
      <c r="E19" t="s">
        <v>728</v>
      </c>
      <c r="F19" s="37">
        <v>21999.995500000001</v>
      </c>
      <c r="G19" t="s">
        <v>756</v>
      </c>
      <c r="H19" t="s">
        <v>749</v>
      </c>
    </row>
    <row r="20" spans="1:8">
      <c r="A20" s="41">
        <v>46069.442026967597</v>
      </c>
      <c r="B20" t="s">
        <v>754</v>
      </c>
      <c r="C20" t="s">
        <v>175</v>
      </c>
      <c r="D20" t="s">
        <v>755</v>
      </c>
      <c r="E20" t="s">
        <v>728</v>
      </c>
      <c r="F20" s="37">
        <v>21999.995500000001</v>
      </c>
      <c r="G20" t="s">
        <v>756</v>
      </c>
      <c r="H20" t="s">
        <v>749</v>
      </c>
    </row>
    <row r="21" spans="1:8">
      <c r="A21" s="41">
        <v>46069.442026967597</v>
      </c>
      <c r="B21" t="s">
        <v>754</v>
      </c>
      <c r="C21" t="s">
        <v>177</v>
      </c>
      <c r="D21" t="s">
        <v>755</v>
      </c>
      <c r="E21" t="s">
        <v>728</v>
      </c>
      <c r="F21" s="37">
        <v>21999.995500000001</v>
      </c>
      <c r="G21" t="s">
        <v>756</v>
      </c>
      <c r="H21" t="s">
        <v>749</v>
      </c>
    </row>
    <row r="22" spans="1:8">
      <c r="A22" s="41">
        <v>46069.442026967597</v>
      </c>
      <c r="B22" t="s">
        <v>754</v>
      </c>
      <c r="C22" t="s">
        <v>182</v>
      </c>
      <c r="D22" t="s">
        <v>755</v>
      </c>
      <c r="E22" t="s">
        <v>728</v>
      </c>
      <c r="F22" s="37">
        <v>21999.995500000001</v>
      </c>
      <c r="G22" t="s">
        <v>756</v>
      </c>
      <c r="H22" t="s">
        <v>749</v>
      </c>
    </row>
    <row r="23" spans="1:8">
      <c r="A23" s="41">
        <v>46069.447153738402</v>
      </c>
      <c r="B23" t="s">
        <v>757</v>
      </c>
      <c r="D23" t="s">
        <v>758</v>
      </c>
      <c r="E23" t="s">
        <v>728</v>
      </c>
      <c r="F23" s="37">
        <v>5764.6988000000001</v>
      </c>
      <c r="G23" t="s">
        <v>756</v>
      </c>
      <c r="H23" t="s">
        <v>753</v>
      </c>
    </row>
    <row r="24" spans="1:8">
      <c r="A24" s="41">
        <v>46069.447153738402</v>
      </c>
      <c r="B24" t="s">
        <v>757</v>
      </c>
      <c r="C24" t="s">
        <v>25</v>
      </c>
      <c r="D24" t="s">
        <v>758</v>
      </c>
      <c r="E24" t="s">
        <v>728</v>
      </c>
      <c r="F24" s="37">
        <v>5764.6988000000001</v>
      </c>
      <c r="G24" t="s">
        <v>756</v>
      </c>
      <c r="H24" t="s">
        <v>753</v>
      </c>
    </row>
    <row r="25" spans="1:8">
      <c r="A25" s="41">
        <v>46069.447153738402</v>
      </c>
      <c r="B25" t="s">
        <v>757</v>
      </c>
      <c r="C25" t="s">
        <v>29</v>
      </c>
      <c r="D25" t="s">
        <v>758</v>
      </c>
      <c r="E25" t="s">
        <v>728</v>
      </c>
      <c r="F25" s="37">
        <v>5764.6988000000001</v>
      </c>
      <c r="G25" t="s">
        <v>756</v>
      </c>
      <c r="H25" t="s">
        <v>753</v>
      </c>
    </row>
    <row r="26" spans="1:8">
      <c r="A26" s="41">
        <v>46069.447153738402</v>
      </c>
      <c r="B26" t="s">
        <v>757</v>
      </c>
      <c r="C26" t="s">
        <v>32</v>
      </c>
      <c r="D26" t="s">
        <v>758</v>
      </c>
      <c r="E26" t="s">
        <v>728</v>
      </c>
      <c r="F26" s="37">
        <v>5764.6988000000001</v>
      </c>
      <c r="G26" t="s">
        <v>756</v>
      </c>
      <c r="H26" t="s">
        <v>753</v>
      </c>
    </row>
    <row r="27" spans="1:8">
      <c r="A27" s="41">
        <v>46069.447153738402</v>
      </c>
      <c r="B27" t="s">
        <v>757</v>
      </c>
      <c r="D27" t="s">
        <v>758</v>
      </c>
      <c r="E27" t="s">
        <v>728</v>
      </c>
      <c r="F27" s="37">
        <v>5764.6988000000001</v>
      </c>
      <c r="G27" t="s">
        <v>756</v>
      </c>
      <c r="H27" t="s">
        <v>753</v>
      </c>
    </row>
    <row r="28" spans="1:8">
      <c r="A28" s="41">
        <v>46069.447153738402</v>
      </c>
      <c r="B28" t="s">
        <v>757</v>
      </c>
      <c r="C28" t="s">
        <v>38</v>
      </c>
      <c r="D28" t="s">
        <v>758</v>
      </c>
      <c r="E28" t="s">
        <v>728</v>
      </c>
      <c r="F28" s="37">
        <v>5764.6988000000001</v>
      </c>
      <c r="G28" t="s">
        <v>756</v>
      </c>
      <c r="H28" t="s">
        <v>753</v>
      </c>
    </row>
    <row r="29" spans="1:8">
      <c r="A29" s="41">
        <v>46069.447153738402</v>
      </c>
      <c r="B29" t="s">
        <v>757</v>
      </c>
      <c r="C29" t="s">
        <v>86</v>
      </c>
      <c r="D29" t="s">
        <v>758</v>
      </c>
      <c r="E29" t="s">
        <v>728</v>
      </c>
      <c r="F29" s="37">
        <v>5764.6988000000001</v>
      </c>
      <c r="G29" t="s">
        <v>756</v>
      </c>
      <c r="H29" t="s">
        <v>753</v>
      </c>
    </row>
    <row r="30" spans="1:8">
      <c r="A30" s="41">
        <v>46069.447153738402</v>
      </c>
      <c r="B30" t="s">
        <v>757</v>
      </c>
      <c r="C30" t="s">
        <v>89</v>
      </c>
      <c r="D30" t="s">
        <v>758</v>
      </c>
      <c r="E30" t="s">
        <v>728</v>
      </c>
      <c r="F30" s="37">
        <v>5764.6988000000001</v>
      </c>
      <c r="G30" t="s">
        <v>756</v>
      </c>
      <c r="H30" t="s">
        <v>753</v>
      </c>
    </row>
    <row r="31" spans="1:8">
      <c r="A31" s="41">
        <v>46069.447153738402</v>
      </c>
      <c r="B31" t="s">
        <v>757</v>
      </c>
      <c r="C31" t="s">
        <v>91</v>
      </c>
      <c r="D31" t="s">
        <v>758</v>
      </c>
      <c r="E31" t="s">
        <v>728</v>
      </c>
      <c r="F31" s="37">
        <v>5764.6988000000001</v>
      </c>
      <c r="G31" t="s">
        <v>756</v>
      </c>
      <c r="H31" t="s">
        <v>753</v>
      </c>
    </row>
    <row r="32" spans="1:8">
      <c r="A32" s="41">
        <v>46069.447153738402</v>
      </c>
      <c r="B32" t="s">
        <v>757</v>
      </c>
      <c r="C32" t="s">
        <v>93</v>
      </c>
      <c r="D32" t="s">
        <v>758</v>
      </c>
      <c r="E32" t="s">
        <v>728</v>
      </c>
      <c r="F32" s="37">
        <v>5764.6988000000001</v>
      </c>
      <c r="G32" t="s">
        <v>756</v>
      </c>
      <c r="H32" t="s">
        <v>753</v>
      </c>
    </row>
    <row r="33" spans="1:8">
      <c r="A33" s="41">
        <v>46069.447153738402</v>
      </c>
      <c r="B33" t="s">
        <v>757</v>
      </c>
      <c r="C33" t="s">
        <v>96</v>
      </c>
      <c r="D33" t="s">
        <v>758</v>
      </c>
      <c r="E33" t="s">
        <v>728</v>
      </c>
      <c r="F33" s="37">
        <v>5764.6988000000001</v>
      </c>
      <c r="G33" t="s">
        <v>756</v>
      </c>
      <c r="H33" t="s">
        <v>753</v>
      </c>
    </row>
    <row r="34" spans="1:8">
      <c r="A34" s="41">
        <v>46069.447153738402</v>
      </c>
      <c r="B34" t="s">
        <v>757</v>
      </c>
      <c r="C34" t="s">
        <v>169</v>
      </c>
      <c r="D34" t="s">
        <v>758</v>
      </c>
      <c r="E34" t="s">
        <v>728</v>
      </c>
      <c r="F34" s="37">
        <v>5764.6988000000001</v>
      </c>
      <c r="G34" t="s">
        <v>756</v>
      </c>
      <c r="H34" t="s">
        <v>753</v>
      </c>
    </row>
    <row r="35" spans="1:8">
      <c r="A35" s="41">
        <v>46069.447153738402</v>
      </c>
      <c r="B35" t="s">
        <v>757</v>
      </c>
      <c r="C35" t="s">
        <v>171</v>
      </c>
      <c r="D35" t="s">
        <v>758</v>
      </c>
      <c r="E35" t="s">
        <v>728</v>
      </c>
      <c r="F35" s="37">
        <v>5764.6988000000001</v>
      </c>
      <c r="G35" t="s">
        <v>756</v>
      </c>
      <c r="H35" t="s">
        <v>753</v>
      </c>
    </row>
    <row r="36" spans="1:8">
      <c r="A36" s="41">
        <v>46069.447153738402</v>
      </c>
      <c r="B36" t="s">
        <v>757</v>
      </c>
      <c r="C36" t="s">
        <v>173</v>
      </c>
      <c r="D36" t="s">
        <v>758</v>
      </c>
      <c r="E36" t="s">
        <v>728</v>
      </c>
      <c r="F36" s="37">
        <v>5764.6988000000001</v>
      </c>
      <c r="G36" t="s">
        <v>756</v>
      </c>
      <c r="H36" t="s">
        <v>753</v>
      </c>
    </row>
    <row r="37" spans="1:8">
      <c r="A37" s="41">
        <v>46069.447153738402</v>
      </c>
      <c r="B37" t="s">
        <v>757</v>
      </c>
      <c r="C37" t="s">
        <v>175</v>
      </c>
      <c r="D37" t="s">
        <v>758</v>
      </c>
      <c r="E37" t="s">
        <v>728</v>
      </c>
      <c r="F37" s="37">
        <v>5764.6988000000001</v>
      </c>
      <c r="G37" t="s">
        <v>756</v>
      </c>
      <c r="H37" t="s">
        <v>753</v>
      </c>
    </row>
    <row r="38" spans="1:8">
      <c r="A38" s="41">
        <v>46069.447153738402</v>
      </c>
      <c r="B38" t="s">
        <v>757</v>
      </c>
      <c r="C38" t="s">
        <v>177</v>
      </c>
      <c r="D38" t="s">
        <v>758</v>
      </c>
      <c r="E38" t="s">
        <v>728</v>
      </c>
      <c r="F38" s="37">
        <v>5764.6988000000001</v>
      </c>
      <c r="G38" t="s">
        <v>756</v>
      </c>
      <c r="H38" t="s">
        <v>753</v>
      </c>
    </row>
    <row r="39" spans="1:8">
      <c r="A39" s="41">
        <v>46069.447153738402</v>
      </c>
      <c r="B39" t="s">
        <v>757</v>
      </c>
      <c r="C39" t="s">
        <v>182</v>
      </c>
      <c r="D39" t="s">
        <v>758</v>
      </c>
      <c r="E39" t="s">
        <v>728</v>
      </c>
      <c r="F39" s="37">
        <v>5764.6988000000001</v>
      </c>
      <c r="G39" t="s">
        <v>756</v>
      </c>
      <c r="H39" t="s">
        <v>753</v>
      </c>
    </row>
    <row r="40" spans="1:8">
      <c r="A40" s="41">
        <v>46069.640180520801</v>
      </c>
      <c r="B40" t="s">
        <v>759</v>
      </c>
      <c r="C40" t="s">
        <v>155</v>
      </c>
      <c r="D40" t="s">
        <v>760</v>
      </c>
      <c r="E40" t="s">
        <v>727</v>
      </c>
      <c r="F40" s="37">
        <v>162393.35</v>
      </c>
      <c r="G40" t="s">
        <v>748</v>
      </c>
      <c r="H40" t="s">
        <v>753</v>
      </c>
    </row>
    <row r="41" spans="1:8">
      <c r="A41" s="41">
        <v>46070.7495109144</v>
      </c>
      <c r="B41" t="s">
        <v>761</v>
      </c>
      <c r="C41" t="s">
        <v>762</v>
      </c>
      <c r="D41" t="s">
        <v>763</v>
      </c>
      <c r="E41" t="s">
        <v>727</v>
      </c>
      <c r="F41" s="37">
        <v>108651.76</v>
      </c>
      <c r="G41" t="s">
        <v>748</v>
      </c>
      <c r="H41" t="s">
        <v>753</v>
      </c>
    </row>
    <row r="42" spans="1:8">
      <c r="A42" s="41">
        <v>46071.352886226901</v>
      </c>
      <c r="B42" t="s">
        <v>764</v>
      </c>
      <c r="C42" t="s">
        <v>762</v>
      </c>
      <c r="D42" t="s">
        <v>763</v>
      </c>
      <c r="E42" t="s">
        <v>765</v>
      </c>
      <c r="F42" s="37">
        <v>59673.74</v>
      </c>
      <c r="G42" t="s">
        <v>748</v>
      </c>
      <c r="H42" t="s">
        <v>766</v>
      </c>
    </row>
    <row r="43" spans="1:8">
      <c r="A43" s="41">
        <v>46071.627082372703</v>
      </c>
      <c r="B43" t="s">
        <v>767</v>
      </c>
      <c r="C43" t="s">
        <v>81</v>
      </c>
      <c r="D43" t="s">
        <v>768</v>
      </c>
      <c r="E43" t="s">
        <v>735</v>
      </c>
      <c r="F43" s="37">
        <v>201663.35</v>
      </c>
      <c r="G43" t="s">
        <v>748</v>
      </c>
      <c r="H43" t="s">
        <v>753</v>
      </c>
    </row>
    <row r="44" spans="1:8">
      <c r="A44" s="41">
        <v>46072.422364780097</v>
      </c>
      <c r="B44" t="s">
        <v>769</v>
      </c>
      <c r="C44" t="s">
        <v>171</v>
      </c>
      <c r="D44" t="s">
        <v>770</v>
      </c>
      <c r="E44" t="s">
        <v>735</v>
      </c>
      <c r="F44" s="37">
        <v>402316.39</v>
      </c>
      <c r="G44" t="s">
        <v>748</v>
      </c>
      <c r="H44" t="s">
        <v>753</v>
      </c>
    </row>
    <row r="45" spans="1:8">
      <c r="A45" s="41">
        <v>46072.696969097196</v>
      </c>
      <c r="B45" t="s">
        <v>771</v>
      </c>
      <c r="C45" t="s">
        <v>420</v>
      </c>
      <c r="D45" t="s">
        <v>772</v>
      </c>
      <c r="E45" t="s">
        <v>765</v>
      </c>
      <c r="F45" s="37">
        <v>456581.58</v>
      </c>
      <c r="G45" t="s">
        <v>748</v>
      </c>
      <c r="H45" t="s">
        <v>766</v>
      </c>
    </row>
    <row r="46" spans="1:8">
      <c r="A46" s="41">
        <v>46073.410563310201</v>
      </c>
      <c r="B46" t="s">
        <v>773</v>
      </c>
      <c r="D46" t="s">
        <v>774</v>
      </c>
      <c r="E46" t="s">
        <v>735</v>
      </c>
      <c r="F46" s="37">
        <v>13095.53</v>
      </c>
      <c r="G46" t="s">
        <v>756</v>
      </c>
      <c r="H46" t="s">
        <v>753</v>
      </c>
    </row>
    <row r="47" spans="1:8">
      <c r="A47" s="41">
        <v>46073.410563310201</v>
      </c>
      <c r="B47" t="s">
        <v>773</v>
      </c>
      <c r="C47" t="s">
        <v>25</v>
      </c>
      <c r="D47" t="s">
        <v>774</v>
      </c>
      <c r="E47" t="s">
        <v>735</v>
      </c>
      <c r="F47" s="37">
        <v>13095.53</v>
      </c>
      <c r="G47" t="s">
        <v>756</v>
      </c>
      <c r="H47" t="s">
        <v>753</v>
      </c>
    </row>
    <row r="48" spans="1:8">
      <c r="A48" s="41">
        <v>46073.410563310201</v>
      </c>
      <c r="B48" t="s">
        <v>773</v>
      </c>
      <c r="C48" t="s">
        <v>29</v>
      </c>
      <c r="D48" t="s">
        <v>774</v>
      </c>
      <c r="E48" t="s">
        <v>735</v>
      </c>
      <c r="F48" s="37">
        <v>13095.53</v>
      </c>
      <c r="G48" t="s">
        <v>756</v>
      </c>
      <c r="H48" t="s">
        <v>753</v>
      </c>
    </row>
    <row r="49" spans="1:8">
      <c r="A49" s="41">
        <v>46073.410563310201</v>
      </c>
      <c r="B49" t="s">
        <v>773</v>
      </c>
      <c r="C49" t="s">
        <v>32</v>
      </c>
      <c r="D49" t="s">
        <v>774</v>
      </c>
      <c r="E49" t="s">
        <v>735</v>
      </c>
      <c r="F49" s="37">
        <v>13095.53</v>
      </c>
      <c r="G49" t="s">
        <v>756</v>
      </c>
      <c r="H49" t="s">
        <v>753</v>
      </c>
    </row>
    <row r="50" spans="1:8">
      <c r="A50" s="41">
        <v>46073.410563310201</v>
      </c>
      <c r="B50" t="s">
        <v>773</v>
      </c>
      <c r="D50" t="s">
        <v>774</v>
      </c>
      <c r="E50" t="s">
        <v>735</v>
      </c>
      <c r="F50" s="37">
        <v>13095.53</v>
      </c>
      <c r="G50" t="s">
        <v>756</v>
      </c>
      <c r="H50" t="s">
        <v>753</v>
      </c>
    </row>
    <row r="51" spans="1:8">
      <c r="A51" s="41">
        <v>46073.410563310201</v>
      </c>
      <c r="B51" t="s">
        <v>773</v>
      </c>
      <c r="C51" t="s">
        <v>38</v>
      </c>
      <c r="D51" t="s">
        <v>774</v>
      </c>
      <c r="E51" t="s">
        <v>735</v>
      </c>
      <c r="F51" s="37">
        <v>13095.53</v>
      </c>
      <c r="G51" t="s">
        <v>756</v>
      </c>
      <c r="H51" t="s">
        <v>753</v>
      </c>
    </row>
    <row r="52" spans="1:8">
      <c r="A52" s="41">
        <v>46073.410563310201</v>
      </c>
      <c r="B52" t="s">
        <v>773</v>
      </c>
      <c r="C52" t="s">
        <v>86</v>
      </c>
      <c r="D52" t="s">
        <v>774</v>
      </c>
      <c r="E52" t="s">
        <v>735</v>
      </c>
      <c r="F52" s="37">
        <v>13095.53</v>
      </c>
      <c r="G52" t="s">
        <v>756</v>
      </c>
      <c r="H52" t="s">
        <v>753</v>
      </c>
    </row>
    <row r="53" spans="1:8">
      <c r="A53" s="41">
        <v>46073.410563310201</v>
      </c>
      <c r="B53" t="s">
        <v>773</v>
      </c>
      <c r="C53" t="s">
        <v>89</v>
      </c>
      <c r="D53" t="s">
        <v>774</v>
      </c>
      <c r="E53" t="s">
        <v>735</v>
      </c>
      <c r="F53" s="37">
        <v>13095.53</v>
      </c>
      <c r="G53" t="s">
        <v>756</v>
      </c>
      <c r="H53" t="s">
        <v>753</v>
      </c>
    </row>
    <row r="54" spans="1:8">
      <c r="A54" s="41">
        <v>46073.410563310201</v>
      </c>
      <c r="B54" t="s">
        <v>773</v>
      </c>
      <c r="C54" t="s">
        <v>91</v>
      </c>
      <c r="D54" t="s">
        <v>774</v>
      </c>
      <c r="E54" t="s">
        <v>735</v>
      </c>
      <c r="F54" s="37">
        <v>13095.53</v>
      </c>
      <c r="G54" t="s">
        <v>756</v>
      </c>
      <c r="H54" t="s">
        <v>753</v>
      </c>
    </row>
    <row r="55" spans="1:8">
      <c r="A55" s="41">
        <v>46073.410563310201</v>
      </c>
      <c r="B55" t="s">
        <v>773</v>
      </c>
      <c r="C55" t="s">
        <v>93</v>
      </c>
      <c r="D55" t="s">
        <v>774</v>
      </c>
      <c r="E55" t="s">
        <v>735</v>
      </c>
      <c r="F55" s="37">
        <v>13095.53</v>
      </c>
      <c r="G55" t="s">
        <v>756</v>
      </c>
      <c r="H55" t="s">
        <v>753</v>
      </c>
    </row>
    <row r="56" spans="1:8">
      <c r="A56" s="41">
        <v>46073.410563310201</v>
      </c>
      <c r="B56" t="s">
        <v>773</v>
      </c>
      <c r="C56" t="s">
        <v>96</v>
      </c>
      <c r="D56" t="s">
        <v>774</v>
      </c>
      <c r="E56" t="s">
        <v>735</v>
      </c>
      <c r="F56" s="37">
        <v>13095.53</v>
      </c>
      <c r="G56" t="s">
        <v>756</v>
      </c>
      <c r="H56" t="s">
        <v>753</v>
      </c>
    </row>
    <row r="57" spans="1:8">
      <c r="A57" s="41">
        <v>46073.410563310201</v>
      </c>
      <c r="B57" t="s">
        <v>773</v>
      </c>
      <c r="C57" t="s">
        <v>169</v>
      </c>
      <c r="D57" t="s">
        <v>774</v>
      </c>
      <c r="E57" t="s">
        <v>735</v>
      </c>
      <c r="F57" s="37">
        <v>13095.53</v>
      </c>
      <c r="G57" t="s">
        <v>756</v>
      </c>
      <c r="H57" t="s">
        <v>753</v>
      </c>
    </row>
    <row r="58" spans="1:8">
      <c r="A58" s="41">
        <v>46073.410563310201</v>
      </c>
      <c r="B58" t="s">
        <v>773</v>
      </c>
      <c r="C58" t="s">
        <v>171</v>
      </c>
      <c r="D58" t="s">
        <v>774</v>
      </c>
      <c r="E58" t="s">
        <v>735</v>
      </c>
      <c r="F58" s="37">
        <v>13095.53</v>
      </c>
      <c r="G58" t="s">
        <v>756</v>
      </c>
      <c r="H58" t="s">
        <v>753</v>
      </c>
    </row>
    <row r="59" spans="1:8">
      <c r="A59" s="41">
        <v>46073.410563310201</v>
      </c>
      <c r="B59" t="s">
        <v>773</v>
      </c>
      <c r="C59" t="s">
        <v>173</v>
      </c>
      <c r="D59" t="s">
        <v>774</v>
      </c>
      <c r="E59" t="s">
        <v>735</v>
      </c>
      <c r="F59" s="37">
        <v>13095.53</v>
      </c>
      <c r="G59" t="s">
        <v>756</v>
      </c>
      <c r="H59" t="s">
        <v>753</v>
      </c>
    </row>
    <row r="60" spans="1:8">
      <c r="A60" s="41">
        <v>46073.410563310201</v>
      </c>
      <c r="B60" t="s">
        <v>773</v>
      </c>
      <c r="C60" t="s">
        <v>175</v>
      </c>
      <c r="D60" t="s">
        <v>774</v>
      </c>
      <c r="E60" t="s">
        <v>735</v>
      </c>
      <c r="F60" s="37">
        <v>13095.53</v>
      </c>
      <c r="G60" t="s">
        <v>756</v>
      </c>
      <c r="H60" t="s">
        <v>753</v>
      </c>
    </row>
    <row r="61" spans="1:8">
      <c r="A61" s="41">
        <v>46073.410563310201</v>
      </c>
      <c r="B61" t="s">
        <v>773</v>
      </c>
      <c r="C61" t="s">
        <v>177</v>
      </c>
      <c r="D61" t="s">
        <v>774</v>
      </c>
      <c r="E61" t="s">
        <v>735</v>
      </c>
      <c r="F61" s="37">
        <v>13095.53</v>
      </c>
      <c r="G61" t="s">
        <v>756</v>
      </c>
      <c r="H61" t="s">
        <v>753</v>
      </c>
    </row>
    <row r="62" spans="1:8">
      <c r="A62" s="41">
        <v>46073.410563310201</v>
      </c>
      <c r="B62" t="s">
        <v>773</v>
      </c>
      <c r="C62" t="s">
        <v>182</v>
      </c>
      <c r="D62" t="s">
        <v>774</v>
      </c>
      <c r="E62" t="s">
        <v>735</v>
      </c>
      <c r="F62" s="37">
        <v>13095.53</v>
      </c>
      <c r="G62" t="s">
        <v>756</v>
      </c>
      <c r="H62" t="s">
        <v>753</v>
      </c>
    </row>
    <row r="63" spans="1:8">
      <c r="A63" s="41">
        <v>46073.523869641198</v>
      </c>
      <c r="B63" t="s">
        <v>775</v>
      </c>
      <c r="C63" t="s">
        <v>556</v>
      </c>
      <c r="D63" t="s">
        <v>776</v>
      </c>
      <c r="E63" t="s">
        <v>734</v>
      </c>
      <c r="F63" s="37">
        <v>61356.4</v>
      </c>
      <c r="G63" t="s">
        <v>748</v>
      </c>
      <c r="H63" t="s">
        <v>753</v>
      </c>
    </row>
    <row r="64" spans="1:8">
      <c r="A64" s="41">
        <v>46073.540666631998</v>
      </c>
      <c r="B64" t="s">
        <v>777</v>
      </c>
      <c r="D64" t="s">
        <v>778</v>
      </c>
      <c r="E64" t="s">
        <v>779</v>
      </c>
      <c r="F64" s="37">
        <v>7700</v>
      </c>
      <c r="G64" t="s">
        <v>756</v>
      </c>
      <c r="H64" t="s">
        <v>753</v>
      </c>
    </row>
    <row r="65" spans="1:8">
      <c r="A65" s="41">
        <v>46073.540666631998</v>
      </c>
      <c r="B65" t="s">
        <v>777</v>
      </c>
      <c r="C65" t="s">
        <v>25</v>
      </c>
      <c r="D65" t="s">
        <v>778</v>
      </c>
      <c r="E65" t="s">
        <v>779</v>
      </c>
      <c r="F65" s="37">
        <v>7700</v>
      </c>
      <c r="G65" t="s">
        <v>756</v>
      </c>
      <c r="H65" t="s">
        <v>753</v>
      </c>
    </row>
    <row r="66" spans="1:8">
      <c r="A66" s="41">
        <v>46073.540666631998</v>
      </c>
      <c r="B66" t="s">
        <v>777</v>
      </c>
      <c r="C66" t="s">
        <v>29</v>
      </c>
      <c r="D66" t="s">
        <v>778</v>
      </c>
      <c r="E66" t="s">
        <v>779</v>
      </c>
      <c r="F66" s="37">
        <v>7700</v>
      </c>
      <c r="G66" t="s">
        <v>756</v>
      </c>
      <c r="H66" t="s">
        <v>753</v>
      </c>
    </row>
    <row r="67" spans="1:8">
      <c r="A67" s="41">
        <v>46073.540666631998</v>
      </c>
      <c r="B67" t="s">
        <v>777</v>
      </c>
      <c r="C67" t="s">
        <v>32</v>
      </c>
      <c r="D67" t="s">
        <v>778</v>
      </c>
      <c r="E67" t="s">
        <v>779</v>
      </c>
      <c r="F67" s="37">
        <v>7700</v>
      </c>
      <c r="G67" t="s">
        <v>756</v>
      </c>
      <c r="H67" t="s">
        <v>753</v>
      </c>
    </row>
    <row r="68" spans="1:8">
      <c r="A68" s="41">
        <v>46073.540666631998</v>
      </c>
      <c r="B68" t="s">
        <v>777</v>
      </c>
      <c r="D68" t="s">
        <v>778</v>
      </c>
      <c r="E68" t="s">
        <v>779</v>
      </c>
      <c r="F68" s="37">
        <v>7700</v>
      </c>
      <c r="G68" t="s">
        <v>756</v>
      </c>
      <c r="H68" t="s">
        <v>753</v>
      </c>
    </row>
    <row r="69" spans="1:8">
      <c r="A69" s="41">
        <v>46073.540666631998</v>
      </c>
      <c r="B69" t="s">
        <v>777</v>
      </c>
      <c r="C69" t="s">
        <v>38</v>
      </c>
      <c r="D69" t="s">
        <v>778</v>
      </c>
      <c r="E69" t="s">
        <v>779</v>
      </c>
      <c r="F69" s="37">
        <v>7700</v>
      </c>
      <c r="G69" t="s">
        <v>756</v>
      </c>
      <c r="H69" t="s">
        <v>753</v>
      </c>
    </row>
    <row r="70" spans="1:8">
      <c r="A70" s="41">
        <v>46073.540666631998</v>
      </c>
      <c r="B70" t="s">
        <v>777</v>
      </c>
      <c r="C70" t="s">
        <v>86</v>
      </c>
      <c r="D70" t="s">
        <v>778</v>
      </c>
      <c r="E70" t="s">
        <v>779</v>
      </c>
      <c r="F70" s="37">
        <v>7700</v>
      </c>
      <c r="G70" t="s">
        <v>756</v>
      </c>
      <c r="H70" t="s">
        <v>753</v>
      </c>
    </row>
    <row r="71" spans="1:8">
      <c r="A71" s="41">
        <v>46073.540666631998</v>
      </c>
      <c r="B71" t="s">
        <v>777</v>
      </c>
      <c r="C71" t="s">
        <v>89</v>
      </c>
      <c r="D71" t="s">
        <v>778</v>
      </c>
      <c r="E71" t="s">
        <v>779</v>
      </c>
      <c r="F71" s="37">
        <v>7700</v>
      </c>
      <c r="G71" t="s">
        <v>756</v>
      </c>
      <c r="H71" t="s">
        <v>753</v>
      </c>
    </row>
    <row r="72" spans="1:8">
      <c r="A72" s="41">
        <v>46073.540666631998</v>
      </c>
      <c r="B72" t="s">
        <v>777</v>
      </c>
      <c r="C72" t="s">
        <v>91</v>
      </c>
      <c r="D72" t="s">
        <v>778</v>
      </c>
      <c r="E72" t="s">
        <v>779</v>
      </c>
      <c r="F72" s="37">
        <v>7700</v>
      </c>
      <c r="G72" t="s">
        <v>756</v>
      </c>
      <c r="H72" t="s">
        <v>753</v>
      </c>
    </row>
    <row r="73" spans="1:8">
      <c r="A73" s="41">
        <v>46073.540666631998</v>
      </c>
      <c r="B73" t="s">
        <v>777</v>
      </c>
      <c r="C73" t="s">
        <v>93</v>
      </c>
      <c r="D73" t="s">
        <v>778</v>
      </c>
      <c r="E73" t="s">
        <v>779</v>
      </c>
      <c r="F73" s="37">
        <v>7700</v>
      </c>
      <c r="G73" t="s">
        <v>756</v>
      </c>
      <c r="H73" t="s">
        <v>753</v>
      </c>
    </row>
    <row r="74" spans="1:8">
      <c r="A74" s="41">
        <v>46073.540666631998</v>
      </c>
      <c r="B74" t="s">
        <v>777</v>
      </c>
      <c r="C74" t="s">
        <v>96</v>
      </c>
      <c r="D74" t="s">
        <v>778</v>
      </c>
      <c r="E74" t="s">
        <v>779</v>
      </c>
      <c r="F74" s="37">
        <v>7700</v>
      </c>
      <c r="G74" t="s">
        <v>756</v>
      </c>
      <c r="H74" t="s">
        <v>753</v>
      </c>
    </row>
    <row r="75" spans="1:8">
      <c r="A75" s="41">
        <v>46073.540666631998</v>
      </c>
      <c r="B75" t="s">
        <v>777</v>
      </c>
      <c r="C75" t="s">
        <v>169</v>
      </c>
      <c r="D75" t="s">
        <v>778</v>
      </c>
      <c r="E75" t="s">
        <v>779</v>
      </c>
      <c r="F75" s="37">
        <v>7700</v>
      </c>
      <c r="G75" t="s">
        <v>756</v>
      </c>
      <c r="H75" t="s">
        <v>753</v>
      </c>
    </row>
    <row r="76" spans="1:8">
      <c r="A76" s="41">
        <v>46073.540666631998</v>
      </c>
      <c r="B76" t="s">
        <v>777</v>
      </c>
      <c r="C76" t="s">
        <v>171</v>
      </c>
      <c r="D76" t="s">
        <v>778</v>
      </c>
      <c r="E76" t="s">
        <v>779</v>
      </c>
      <c r="F76" s="37">
        <v>7700</v>
      </c>
      <c r="G76" t="s">
        <v>756</v>
      </c>
      <c r="H76" t="s">
        <v>753</v>
      </c>
    </row>
    <row r="77" spans="1:8">
      <c r="A77" s="41">
        <v>46073.540666631998</v>
      </c>
      <c r="B77" t="s">
        <v>777</v>
      </c>
      <c r="C77" t="s">
        <v>173</v>
      </c>
      <c r="D77" t="s">
        <v>778</v>
      </c>
      <c r="E77" t="s">
        <v>779</v>
      </c>
      <c r="F77" s="37">
        <v>7700</v>
      </c>
      <c r="G77" t="s">
        <v>756</v>
      </c>
      <c r="H77" t="s">
        <v>753</v>
      </c>
    </row>
    <row r="78" spans="1:8">
      <c r="A78" s="41">
        <v>46073.540666631998</v>
      </c>
      <c r="B78" t="s">
        <v>777</v>
      </c>
      <c r="C78" t="s">
        <v>175</v>
      </c>
      <c r="D78" t="s">
        <v>778</v>
      </c>
      <c r="E78" t="s">
        <v>779</v>
      </c>
      <c r="F78" s="37">
        <v>7700</v>
      </c>
      <c r="G78" t="s">
        <v>756</v>
      </c>
      <c r="H78" t="s">
        <v>753</v>
      </c>
    </row>
    <row r="79" spans="1:8">
      <c r="A79" s="41">
        <v>46073.540666631998</v>
      </c>
      <c r="B79" t="s">
        <v>777</v>
      </c>
      <c r="C79" t="s">
        <v>177</v>
      </c>
      <c r="D79" t="s">
        <v>778</v>
      </c>
      <c r="E79" t="s">
        <v>779</v>
      </c>
      <c r="F79" s="37">
        <v>7700</v>
      </c>
      <c r="G79" t="s">
        <v>756</v>
      </c>
      <c r="H79" t="s">
        <v>753</v>
      </c>
    </row>
    <row r="80" spans="1:8">
      <c r="A80" s="41">
        <v>46073.540666631998</v>
      </c>
      <c r="B80" t="s">
        <v>777</v>
      </c>
      <c r="C80" t="s">
        <v>182</v>
      </c>
      <c r="D80" t="s">
        <v>778</v>
      </c>
      <c r="E80" t="s">
        <v>779</v>
      </c>
      <c r="F80" s="37">
        <v>7700</v>
      </c>
      <c r="G80" t="s">
        <v>756</v>
      </c>
      <c r="H80" t="s">
        <v>753</v>
      </c>
    </row>
    <row r="81" spans="1:8">
      <c r="A81" s="41">
        <v>46073.685945798599</v>
      </c>
      <c r="B81" t="s">
        <v>780</v>
      </c>
      <c r="C81" t="s">
        <v>523</v>
      </c>
      <c r="D81" t="s">
        <v>781</v>
      </c>
      <c r="E81" t="s">
        <v>734</v>
      </c>
      <c r="F81" s="37">
        <v>426593.58</v>
      </c>
      <c r="G81" t="s">
        <v>748</v>
      </c>
      <c r="H81" t="s">
        <v>753</v>
      </c>
    </row>
    <row r="82" spans="1:8">
      <c r="A82" s="41">
        <v>46076.363726701398</v>
      </c>
      <c r="B82" t="s">
        <v>782</v>
      </c>
      <c r="C82" t="s">
        <v>50</v>
      </c>
      <c r="D82" t="s">
        <v>783</v>
      </c>
      <c r="E82" t="s">
        <v>728</v>
      </c>
      <c r="F82" s="37">
        <v>21301</v>
      </c>
      <c r="G82" t="s">
        <v>748</v>
      </c>
      <c r="H82" t="s">
        <v>753</v>
      </c>
    </row>
    <row r="83" spans="1:8">
      <c r="A83" s="41">
        <v>46076.407432673601</v>
      </c>
      <c r="B83" t="s">
        <v>784</v>
      </c>
      <c r="C83" t="s">
        <v>190</v>
      </c>
      <c r="D83" t="s">
        <v>785</v>
      </c>
      <c r="E83" t="s">
        <v>735</v>
      </c>
      <c r="F83" s="37">
        <v>271270.02</v>
      </c>
      <c r="G83" t="s">
        <v>748</v>
      </c>
      <c r="H83" t="s">
        <v>753</v>
      </c>
    </row>
    <row r="84" spans="1:8">
      <c r="A84" s="41">
        <v>46076.468356400503</v>
      </c>
      <c r="B84" t="s">
        <v>786</v>
      </c>
      <c r="C84" t="s">
        <v>155</v>
      </c>
      <c r="D84" t="s">
        <v>787</v>
      </c>
      <c r="E84" t="s">
        <v>728</v>
      </c>
      <c r="F84" s="37">
        <v>76299.824999999997</v>
      </c>
      <c r="G84" t="s">
        <v>748</v>
      </c>
      <c r="H84" t="s">
        <v>753</v>
      </c>
    </row>
    <row r="85" spans="1:8">
      <c r="A85" s="41">
        <v>46076.483925694498</v>
      </c>
      <c r="B85" t="s">
        <v>788</v>
      </c>
      <c r="C85" t="s">
        <v>165</v>
      </c>
      <c r="D85" t="s">
        <v>789</v>
      </c>
      <c r="E85" t="s">
        <v>728</v>
      </c>
      <c r="F85" s="37">
        <v>288199.9596</v>
      </c>
      <c r="G85" t="s">
        <v>748</v>
      </c>
      <c r="H85" t="s">
        <v>753</v>
      </c>
    </row>
    <row r="86" spans="1:8">
      <c r="A86" s="41">
        <v>46076.552599768504</v>
      </c>
      <c r="B86" t="s">
        <v>790</v>
      </c>
      <c r="C86" t="s">
        <v>485</v>
      </c>
      <c r="D86" t="s">
        <v>791</v>
      </c>
      <c r="E86" t="s">
        <v>792</v>
      </c>
      <c r="F86" s="37">
        <v>387603.23</v>
      </c>
      <c r="G86" t="s">
        <v>748</v>
      </c>
      <c r="H86" t="s">
        <v>753</v>
      </c>
    </row>
    <row r="87" spans="1:8">
      <c r="A87" s="41">
        <v>46076.736264895801</v>
      </c>
      <c r="B87" t="s">
        <v>793</v>
      </c>
      <c r="C87" t="s">
        <v>449</v>
      </c>
      <c r="D87" t="s">
        <v>794</v>
      </c>
      <c r="E87" t="s">
        <v>728</v>
      </c>
      <c r="F87" s="37">
        <v>258526.31</v>
      </c>
      <c r="G87" t="s">
        <v>748</v>
      </c>
      <c r="H87" t="s">
        <v>749</v>
      </c>
    </row>
    <row r="88" spans="1:8">
      <c r="A88" s="41">
        <v>46077.542049965297</v>
      </c>
      <c r="B88" t="s">
        <v>795</v>
      </c>
      <c r="C88" t="s">
        <v>38</v>
      </c>
      <c r="D88" t="s">
        <v>796</v>
      </c>
      <c r="E88" t="s">
        <v>797</v>
      </c>
      <c r="F88" s="37">
        <v>2451400</v>
      </c>
      <c r="G88" t="s">
        <v>748</v>
      </c>
      <c r="H88" t="s">
        <v>753</v>
      </c>
    </row>
    <row r="89" spans="1:8">
      <c r="A89" s="41">
        <v>46078.357904513898</v>
      </c>
      <c r="B89" t="s">
        <v>798</v>
      </c>
      <c r="C89" t="s">
        <v>72</v>
      </c>
      <c r="D89" t="s">
        <v>799</v>
      </c>
      <c r="E89" t="s">
        <v>728</v>
      </c>
      <c r="F89" s="37">
        <v>94000.004000000001</v>
      </c>
      <c r="G89" t="s">
        <v>748</v>
      </c>
      <c r="H89" t="s">
        <v>753</v>
      </c>
    </row>
    <row r="90" spans="1:8">
      <c r="A90" s="41">
        <v>46078.424829247699</v>
      </c>
      <c r="B90" t="s">
        <v>800</v>
      </c>
      <c r="C90" t="s">
        <v>393</v>
      </c>
      <c r="D90" t="s">
        <v>801</v>
      </c>
      <c r="E90" t="s">
        <v>727</v>
      </c>
      <c r="F90" s="37">
        <v>357653.31</v>
      </c>
      <c r="G90" t="s">
        <v>748</v>
      </c>
      <c r="H90" t="s">
        <v>753</v>
      </c>
    </row>
    <row r="91" spans="1:8">
      <c r="A91" s="41">
        <v>46078.648084178203</v>
      </c>
      <c r="B91" t="s">
        <v>802</v>
      </c>
      <c r="C91" t="s">
        <v>449</v>
      </c>
      <c r="D91" t="s">
        <v>794</v>
      </c>
      <c r="E91" t="s">
        <v>734</v>
      </c>
      <c r="F91" s="37">
        <v>258526.31</v>
      </c>
      <c r="G91" t="s">
        <v>748</v>
      </c>
      <c r="H91" t="s">
        <v>753</v>
      </c>
    </row>
    <row r="92" spans="1:8">
      <c r="A92" s="41">
        <v>46078.661368634297</v>
      </c>
      <c r="B92" t="s">
        <v>803</v>
      </c>
      <c r="C92" t="s">
        <v>159</v>
      </c>
      <c r="D92" t="s">
        <v>804</v>
      </c>
      <c r="E92" t="s">
        <v>727</v>
      </c>
      <c r="F92" s="37">
        <v>393830.5</v>
      </c>
      <c r="G92" t="s">
        <v>748</v>
      </c>
      <c r="H92" t="s">
        <v>753</v>
      </c>
    </row>
    <row r="93" spans="1:8">
      <c r="A93" s="41">
        <v>46079.431099421301</v>
      </c>
      <c r="B93" t="s">
        <v>805</v>
      </c>
      <c r="C93" t="s">
        <v>180</v>
      </c>
      <c r="D93" t="s">
        <v>806</v>
      </c>
      <c r="E93" t="s">
        <v>735</v>
      </c>
      <c r="F93" s="37">
        <v>170432.99</v>
      </c>
      <c r="G93" t="s">
        <v>748</v>
      </c>
      <c r="H93" t="s">
        <v>753</v>
      </c>
    </row>
    <row r="94" spans="1:8">
      <c r="A94" s="41">
        <v>46079.4319211806</v>
      </c>
      <c r="B94" t="s">
        <v>807</v>
      </c>
      <c r="C94" t="s">
        <v>145</v>
      </c>
      <c r="D94" t="s">
        <v>808</v>
      </c>
      <c r="E94" t="s">
        <v>735</v>
      </c>
      <c r="F94" s="37">
        <v>131994.79999999999</v>
      </c>
      <c r="G94" t="s">
        <v>748</v>
      </c>
      <c r="H94" t="s">
        <v>753</v>
      </c>
    </row>
    <row r="95" spans="1:8">
      <c r="A95" s="41">
        <v>46079.451422071797</v>
      </c>
      <c r="B95" t="s">
        <v>809</v>
      </c>
      <c r="C95" t="s">
        <v>185</v>
      </c>
      <c r="D95" t="s">
        <v>810</v>
      </c>
      <c r="E95" t="s">
        <v>728</v>
      </c>
      <c r="F95" s="37">
        <v>75899.973100000003</v>
      </c>
      <c r="G95" t="s">
        <v>748</v>
      </c>
      <c r="H95" t="s">
        <v>753</v>
      </c>
    </row>
    <row r="96" spans="1:8">
      <c r="A96" s="41">
        <v>46079.682637534701</v>
      </c>
      <c r="B96" t="s">
        <v>811</v>
      </c>
      <c r="C96" t="s">
        <v>405</v>
      </c>
      <c r="D96" t="s">
        <v>812</v>
      </c>
      <c r="E96" t="s">
        <v>728</v>
      </c>
      <c r="F96" s="37">
        <v>337399.95030000003</v>
      </c>
      <c r="G96" t="s">
        <v>748</v>
      </c>
      <c r="H96" t="s">
        <v>753</v>
      </c>
    </row>
    <row r="97" spans="1:8">
      <c r="A97" s="41">
        <v>46079.691275543999</v>
      </c>
      <c r="B97" t="s">
        <v>813</v>
      </c>
      <c r="C97" t="s">
        <v>61</v>
      </c>
      <c r="D97" t="s">
        <v>814</v>
      </c>
      <c r="E97" t="s">
        <v>728</v>
      </c>
      <c r="F97" s="37">
        <v>92199.974300000002</v>
      </c>
      <c r="G97" t="s">
        <v>748</v>
      </c>
      <c r="H97" t="s">
        <v>753</v>
      </c>
    </row>
    <row r="98" spans="1:8">
      <c r="A98" s="41">
        <v>46080.468502974501</v>
      </c>
      <c r="B98" t="s">
        <v>815</v>
      </c>
      <c r="C98" t="s">
        <v>301</v>
      </c>
      <c r="D98" t="s">
        <v>816</v>
      </c>
      <c r="E98" t="s">
        <v>727</v>
      </c>
      <c r="F98" s="37">
        <v>736402.94</v>
      </c>
      <c r="G98" t="s">
        <v>748</v>
      </c>
      <c r="H98" t="s">
        <v>753</v>
      </c>
    </row>
    <row r="99" spans="1:8">
      <c r="A99" s="41">
        <v>46083.444348263904</v>
      </c>
      <c r="B99" t="s">
        <v>817</v>
      </c>
      <c r="C99" t="s">
        <v>273</v>
      </c>
      <c r="D99" t="s">
        <v>818</v>
      </c>
      <c r="E99" t="s">
        <v>727</v>
      </c>
      <c r="F99" s="37">
        <v>263781.34999999998</v>
      </c>
      <c r="G99" t="s">
        <v>748</v>
      </c>
      <c r="H99" t="s">
        <v>753</v>
      </c>
    </row>
    <row r="100" spans="1:8">
      <c r="A100" s="41">
        <v>46083.486454513899</v>
      </c>
      <c r="B100" t="s">
        <v>819</v>
      </c>
      <c r="C100" t="s">
        <v>356</v>
      </c>
      <c r="D100" t="s">
        <v>820</v>
      </c>
      <c r="E100" t="s">
        <v>821</v>
      </c>
      <c r="F100" s="37">
        <v>669327.4</v>
      </c>
      <c r="G100" t="s">
        <v>748</v>
      </c>
      <c r="H100" t="s">
        <v>753</v>
      </c>
    </row>
    <row r="101" spans="1:8">
      <c r="A101" s="41">
        <v>46083.500426041697</v>
      </c>
      <c r="B101" t="s">
        <v>822</v>
      </c>
      <c r="C101" t="s">
        <v>321</v>
      </c>
      <c r="D101" t="s">
        <v>823</v>
      </c>
      <c r="E101" t="s">
        <v>727</v>
      </c>
      <c r="F101" s="37">
        <v>237325.27</v>
      </c>
      <c r="G101" t="s">
        <v>748</v>
      </c>
      <c r="H101" t="s">
        <v>753</v>
      </c>
    </row>
    <row r="102" spans="1:8">
      <c r="A102" s="41">
        <v>46083.514697685197</v>
      </c>
      <c r="B102" t="s">
        <v>824</v>
      </c>
      <c r="C102" t="s">
        <v>93</v>
      </c>
      <c r="D102" t="s">
        <v>825</v>
      </c>
      <c r="E102" t="s">
        <v>731</v>
      </c>
      <c r="F102" s="37">
        <v>2116390.0099999998</v>
      </c>
      <c r="G102" t="s">
        <v>748</v>
      </c>
      <c r="H102" t="s">
        <v>753</v>
      </c>
    </row>
    <row r="103" spans="1:8">
      <c r="A103" s="41">
        <v>46083.550651423597</v>
      </c>
      <c r="B103" t="s">
        <v>826</v>
      </c>
      <c r="C103" t="s">
        <v>91</v>
      </c>
      <c r="D103" t="s">
        <v>827</v>
      </c>
      <c r="E103" t="s">
        <v>728</v>
      </c>
      <c r="F103" s="37">
        <v>26999.91</v>
      </c>
      <c r="G103" t="s">
        <v>748</v>
      </c>
      <c r="H103" t="s">
        <v>753</v>
      </c>
    </row>
    <row r="104" spans="1:8">
      <c r="A104" s="41">
        <v>46083.615776238403</v>
      </c>
      <c r="B104" t="s">
        <v>828</v>
      </c>
      <c r="C104" t="s">
        <v>182</v>
      </c>
      <c r="D104" t="s">
        <v>829</v>
      </c>
      <c r="E104" t="s">
        <v>731</v>
      </c>
      <c r="F104" s="37">
        <v>458830.68</v>
      </c>
      <c r="G104" t="s">
        <v>748</v>
      </c>
      <c r="H104" t="s">
        <v>753</v>
      </c>
    </row>
    <row r="105" spans="1:8">
      <c r="A105" s="41">
        <v>46083.669711955998</v>
      </c>
      <c r="B105" t="s">
        <v>830</v>
      </c>
      <c r="C105" t="s">
        <v>618</v>
      </c>
      <c r="D105" t="s">
        <v>831</v>
      </c>
      <c r="E105" t="s">
        <v>734</v>
      </c>
      <c r="F105" s="37">
        <v>312029.90000000002</v>
      </c>
      <c r="G105" t="s">
        <v>748</v>
      </c>
      <c r="H105" t="s">
        <v>753</v>
      </c>
    </row>
    <row r="106" spans="1:8">
      <c r="A106" s="41">
        <v>46084.554178669001</v>
      </c>
      <c r="B106" t="s">
        <v>832</v>
      </c>
      <c r="C106" t="s">
        <v>431</v>
      </c>
      <c r="D106" t="s">
        <v>833</v>
      </c>
      <c r="E106" t="s">
        <v>727</v>
      </c>
      <c r="F106" s="37">
        <v>237325.27</v>
      </c>
      <c r="G106" t="s">
        <v>748</v>
      </c>
      <c r="H106" t="s">
        <v>753</v>
      </c>
    </row>
    <row r="107" spans="1:8">
      <c r="A107" s="41">
        <v>46084.6612838773</v>
      </c>
      <c r="B107" t="s">
        <v>834</v>
      </c>
      <c r="C107" t="s">
        <v>364</v>
      </c>
      <c r="D107" t="s">
        <v>835</v>
      </c>
      <c r="E107" t="s">
        <v>727</v>
      </c>
      <c r="F107" s="37">
        <v>115923.85</v>
      </c>
      <c r="G107" t="s">
        <v>748</v>
      </c>
      <c r="H107" t="s">
        <v>753</v>
      </c>
    </row>
    <row r="108" spans="1:8">
      <c r="A108" s="41">
        <v>46084.6612838773</v>
      </c>
      <c r="B108" t="s">
        <v>834</v>
      </c>
      <c r="C108" t="s">
        <v>306</v>
      </c>
      <c r="D108" t="s">
        <v>835</v>
      </c>
      <c r="E108" t="s">
        <v>727</v>
      </c>
      <c r="F108" s="37">
        <v>115923.85</v>
      </c>
      <c r="G108" t="s">
        <v>748</v>
      </c>
      <c r="H108" t="s">
        <v>753</v>
      </c>
    </row>
    <row r="109" spans="1:8">
      <c r="A109" s="41">
        <v>46084.685665543999</v>
      </c>
      <c r="B109" t="s">
        <v>836</v>
      </c>
      <c r="C109" t="s">
        <v>837</v>
      </c>
      <c r="D109" t="s">
        <v>838</v>
      </c>
      <c r="E109" t="s">
        <v>727</v>
      </c>
      <c r="F109" s="37">
        <v>63816.13</v>
      </c>
      <c r="G109" t="s">
        <v>748</v>
      </c>
      <c r="H109" t="s">
        <v>753</v>
      </c>
    </row>
    <row r="110" spans="1:8">
      <c r="A110" s="41">
        <v>46084.6933587616</v>
      </c>
      <c r="B110" t="s">
        <v>839</v>
      </c>
      <c r="C110" t="s">
        <v>339</v>
      </c>
      <c r="D110" t="s">
        <v>840</v>
      </c>
      <c r="E110" t="s">
        <v>727</v>
      </c>
      <c r="F110" s="37">
        <v>204885.87</v>
      </c>
      <c r="G110" t="s">
        <v>748</v>
      </c>
      <c r="H110" t="s">
        <v>753</v>
      </c>
    </row>
    <row r="111" spans="1:8">
      <c r="A111" s="41">
        <v>46085.464667673601</v>
      </c>
      <c r="B111" t="s">
        <v>841</v>
      </c>
      <c r="C111" t="s">
        <v>288</v>
      </c>
      <c r="D111" t="s">
        <v>842</v>
      </c>
      <c r="E111" t="s">
        <v>734</v>
      </c>
      <c r="F111" s="37">
        <v>211515.36</v>
      </c>
      <c r="G111" t="s">
        <v>748</v>
      </c>
      <c r="H111" t="s">
        <v>753</v>
      </c>
    </row>
    <row r="112" spans="1:8">
      <c r="A112" s="41">
        <v>46085.498313113399</v>
      </c>
      <c r="B112" t="s">
        <v>843</v>
      </c>
      <c r="C112" t="s">
        <v>427</v>
      </c>
      <c r="D112" t="s">
        <v>844</v>
      </c>
      <c r="E112" t="s">
        <v>727</v>
      </c>
      <c r="F112" s="37">
        <v>450580.41</v>
      </c>
      <c r="G112" t="s">
        <v>748</v>
      </c>
      <c r="H112" t="s">
        <v>753</v>
      </c>
    </row>
    <row r="113" spans="1:8">
      <c r="A113" s="41">
        <v>46085.547314004602</v>
      </c>
      <c r="B113" t="s">
        <v>845</v>
      </c>
      <c r="C113" t="s">
        <v>305</v>
      </c>
      <c r="D113" t="s">
        <v>846</v>
      </c>
      <c r="E113" t="s">
        <v>727</v>
      </c>
      <c r="F113" s="37">
        <v>496871.41</v>
      </c>
      <c r="G113" t="s">
        <v>748</v>
      </c>
      <c r="H113" t="s">
        <v>753</v>
      </c>
    </row>
    <row r="114" spans="1:8">
      <c r="A114" s="41">
        <v>46085.559944872701</v>
      </c>
      <c r="B114" t="s">
        <v>847</v>
      </c>
      <c r="C114" t="s">
        <v>387</v>
      </c>
      <c r="D114" t="s">
        <v>848</v>
      </c>
      <c r="E114" t="s">
        <v>727</v>
      </c>
      <c r="F114" s="37">
        <v>289773.33</v>
      </c>
      <c r="G114" t="s">
        <v>748</v>
      </c>
      <c r="H114" t="s">
        <v>753</v>
      </c>
    </row>
    <row r="115" spans="1:8">
      <c r="A115" s="41">
        <v>46085.626711226898</v>
      </c>
      <c r="B115" t="s">
        <v>849</v>
      </c>
      <c r="C115" t="s">
        <v>12</v>
      </c>
      <c r="D115" t="s">
        <v>850</v>
      </c>
      <c r="E115" t="s">
        <v>727</v>
      </c>
      <c r="F115" s="37">
        <v>199255.98</v>
      </c>
      <c r="G115" t="s">
        <v>748</v>
      </c>
      <c r="H115" t="s">
        <v>753</v>
      </c>
    </row>
    <row r="116" spans="1:8">
      <c r="A116" s="41">
        <v>46085.664697835702</v>
      </c>
      <c r="B116" t="s">
        <v>851</v>
      </c>
      <c r="C116" t="s">
        <v>258</v>
      </c>
      <c r="D116" t="s">
        <v>852</v>
      </c>
      <c r="E116" t="s">
        <v>734</v>
      </c>
      <c r="F116" s="37">
        <v>360956.75</v>
      </c>
      <c r="G116" t="s">
        <v>748</v>
      </c>
      <c r="H116" t="s">
        <v>753</v>
      </c>
    </row>
    <row r="117" spans="1:8">
      <c r="A117" s="41">
        <v>46086.416198495397</v>
      </c>
      <c r="B117" t="s">
        <v>853</v>
      </c>
      <c r="D117" t="s">
        <v>854</v>
      </c>
      <c r="E117" t="s">
        <v>728</v>
      </c>
      <c r="F117" s="37">
        <v>18800.036499999998</v>
      </c>
      <c r="G117" t="s">
        <v>752</v>
      </c>
      <c r="H117" t="s">
        <v>753</v>
      </c>
    </row>
    <row r="118" spans="1:8">
      <c r="A118" s="41">
        <v>46086.422014780102</v>
      </c>
      <c r="B118" t="s">
        <v>855</v>
      </c>
      <c r="C118" t="s">
        <v>301</v>
      </c>
      <c r="D118" t="s">
        <v>856</v>
      </c>
      <c r="E118" t="s">
        <v>728</v>
      </c>
      <c r="F118" s="37">
        <v>26999.91</v>
      </c>
      <c r="G118" t="s">
        <v>748</v>
      </c>
      <c r="H118" t="s">
        <v>753</v>
      </c>
    </row>
    <row r="119" spans="1:8">
      <c r="A119" s="41">
        <v>46086.422014780102</v>
      </c>
      <c r="B119" t="s">
        <v>855</v>
      </c>
      <c r="C119" t="s">
        <v>288</v>
      </c>
      <c r="D119" t="s">
        <v>856</v>
      </c>
      <c r="E119" t="s">
        <v>728</v>
      </c>
      <c r="F119" s="37">
        <v>26999.91</v>
      </c>
      <c r="G119" t="s">
        <v>748</v>
      </c>
      <c r="H119" t="s">
        <v>753</v>
      </c>
    </row>
    <row r="120" spans="1:8">
      <c r="A120" s="41">
        <v>46086.516942939801</v>
      </c>
      <c r="B120" t="s">
        <v>857</v>
      </c>
      <c r="C120" t="s">
        <v>549</v>
      </c>
      <c r="D120" t="s">
        <v>858</v>
      </c>
      <c r="E120" t="s">
        <v>734</v>
      </c>
      <c r="F120" s="37">
        <v>300335.77</v>
      </c>
      <c r="G120" t="s">
        <v>748</v>
      </c>
      <c r="H120" t="s">
        <v>753</v>
      </c>
    </row>
    <row r="121" spans="1:8">
      <c r="A121" s="41">
        <v>46086.626455555597</v>
      </c>
      <c r="B121" t="s">
        <v>859</v>
      </c>
      <c r="C121" t="s">
        <v>559</v>
      </c>
      <c r="D121" t="s">
        <v>860</v>
      </c>
      <c r="E121" t="s">
        <v>728</v>
      </c>
      <c r="F121" s="37">
        <v>40499.972099999999</v>
      </c>
      <c r="G121" t="s">
        <v>748</v>
      </c>
      <c r="H121" t="s">
        <v>753</v>
      </c>
    </row>
    <row r="122" spans="1:8">
      <c r="A122" s="41">
        <v>46086.684334803198</v>
      </c>
      <c r="B122" t="s">
        <v>861</v>
      </c>
      <c r="C122" t="s">
        <v>414</v>
      </c>
      <c r="D122" t="s">
        <v>862</v>
      </c>
      <c r="E122" t="s">
        <v>727</v>
      </c>
      <c r="F122" s="37">
        <v>321247.64</v>
      </c>
      <c r="G122" t="s">
        <v>748</v>
      </c>
      <c r="H122" t="s">
        <v>753</v>
      </c>
    </row>
    <row r="123" spans="1:8">
      <c r="A123" s="41">
        <v>46086.696630439801</v>
      </c>
      <c r="B123" t="s">
        <v>863</v>
      </c>
      <c r="C123" t="s">
        <v>278</v>
      </c>
      <c r="D123" t="s">
        <v>864</v>
      </c>
      <c r="E123" t="s">
        <v>727</v>
      </c>
      <c r="F123" s="37">
        <v>255083.64</v>
      </c>
      <c r="G123" t="s">
        <v>748</v>
      </c>
      <c r="H123" t="s">
        <v>753</v>
      </c>
    </row>
    <row r="124" spans="1:8">
      <c r="A124" s="41">
        <v>46086.701264432901</v>
      </c>
      <c r="B124" t="s">
        <v>865</v>
      </c>
      <c r="C124" t="s">
        <v>396</v>
      </c>
      <c r="D124" t="s">
        <v>866</v>
      </c>
      <c r="E124" t="s">
        <v>727</v>
      </c>
      <c r="F124" s="37">
        <v>283936.38</v>
      </c>
      <c r="G124" t="s">
        <v>748</v>
      </c>
      <c r="H124" t="s">
        <v>753</v>
      </c>
    </row>
    <row r="125" spans="1:8">
      <c r="A125" s="41">
        <v>46086.705769826403</v>
      </c>
      <c r="B125" t="s">
        <v>867</v>
      </c>
      <c r="C125" t="s">
        <v>106</v>
      </c>
      <c r="D125" t="s">
        <v>868</v>
      </c>
      <c r="E125" t="s">
        <v>727</v>
      </c>
      <c r="F125" s="37">
        <v>222792.99</v>
      </c>
      <c r="G125" t="s">
        <v>748</v>
      </c>
      <c r="H125" t="s">
        <v>753</v>
      </c>
    </row>
    <row r="126" spans="1:8">
      <c r="A126" s="41">
        <v>46086.710126585698</v>
      </c>
      <c r="B126" t="s">
        <v>869</v>
      </c>
      <c r="C126" t="s">
        <v>447</v>
      </c>
      <c r="D126" t="s">
        <v>870</v>
      </c>
      <c r="E126" t="s">
        <v>727</v>
      </c>
      <c r="F126" s="37">
        <v>133882.14000000001</v>
      </c>
      <c r="G126" t="s">
        <v>748</v>
      </c>
      <c r="H126" t="s">
        <v>753</v>
      </c>
    </row>
    <row r="127" spans="1:8">
      <c r="A127" s="41">
        <v>46086.750033020799</v>
      </c>
      <c r="B127" t="s">
        <v>871</v>
      </c>
      <c r="C127" t="s">
        <v>424</v>
      </c>
      <c r="D127" t="s">
        <v>872</v>
      </c>
      <c r="E127" t="s">
        <v>727</v>
      </c>
      <c r="F127" s="37">
        <v>206424.54</v>
      </c>
      <c r="G127" t="s">
        <v>748</v>
      </c>
      <c r="H127" t="s">
        <v>753</v>
      </c>
    </row>
    <row r="128" spans="1:8">
      <c r="A128" s="41">
        <v>46087.498166435202</v>
      </c>
      <c r="B128" t="s">
        <v>873</v>
      </c>
      <c r="C128" t="s">
        <v>874</v>
      </c>
      <c r="D128" t="s">
        <v>875</v>
      </c>
      <c r="E128" t="s">
        <v>792</v>
      </c>
      <c r="F128" s="37">
        <v>506350.95</v>
      </c>
      <c r="G128" t="s">
        <v>748</v>
      </c>
      <c r="H128" t="s">
        <v>753</v>
      </c>
    </row>
    <row r="129" spans="1:8">
      <c r="A129" s="41">
        <v>46091.371380127297</v>
      </c>
      <c r="B129" t="s">
        <v>876</v>
      </c>
      <c r="C129" t="s">
        <v>665</v>
      </c>
      <c r="D129" t="s">
        <v>877</v>
      </c>
      <c r="E129" t="s">
        <v>727</v>
      </c>
      <c r="F129" s="37">
        <v>111593.44</v>
      </c>
      <c r="G129" t="s">
        <v>748</v>
      </c>
      <c r="H129" t="s">
        <v>753</v>
      </c>
    </row>
    <row r="130" spans="1:8">
      <c r="A130" s="41">
        <v>46091.475044826402</v>
      </c>
      <c r="B130" t="s">
        <v>878</v>
      </c>
      <c r="C130" t="s">
        <v>207</v>
      </c>
      <c r="D130" t="s">
        <v>879</v>
      </c>
      <c r="E130" t="s">
        <v>728</v>
      </c>
      <c r="F130" s="37">
        <v>31799.977299999999</v>
      </c>
      <c r="G130" t="s">
        <v>748</v>
      </c>
      <c r="H130" t="s">
        <v>753</v>
      </c>
    </row>
    <row r="131" spans="1:8">
      <c r="A131" s="41">
        <v>46091.502018518499</v>
      </c>
      <c r="B131" t="s">
        <v>880</v>
      </c>
      <c r="D131" t="s">
        <v>881</v>
      </c>
      <c r="E131" t="s">
        <v>882</v>
      </c>
      <c r="F131" s="37">
        <v>419696.04249999998</v>
      </c>
      <c r="G131" t="s">
        <v>752</v>
      </c>
      <c r="H131" t="s">
        <v>753</v>
      </c>
    </row>
    <row r="132" spans="1:8">
      <c r="A132" s="41">
        <v>46092.556124456001</v>
      </c>
      <c r="B132" t="s">
        <v>883</v>
      </c>
      <c r="C132" t="s">
        <v>665</v>
      </c>
      <c r="D132" t="s">
        <v>884</v>
      </c>
      <c r="E132" t="s">
        <v>727</v>
      </c>
      <c r="F132" s="37">
        <v>119511.7</v>
      </c>
      <c r="G132" t="s">
        <v>748</v>
      </c>
      <c r="H132" t="s">
        <v>753</v>
      </c>
    </row>
    <row r="133" spans="1:8">
      <c r="A133" s="41">
        <v>46093.364912696801</v>
      </c>
      <c r="B133" t="s">
        <v>885</v>
      </c>
      <c r="C133" t="s">
        <v>81</v>
      </c>
      <c r="D133" t="s">
        <v>886</v>
      </c>
      <c r="E133" t="s">
        <v>735</v>
      </c>
      <c r="F133" s="37">
        <v>170432.99</v>
      </c>
      <c r="G133" t="s">
        <v>748</v>
      </c>
      <c r="H133" t="s">
        <v>753</v>
      </c>
    </row>
    <row r="134" spans="1:8">
      <c r="A134" s="41">
        <v>46093.447327395799</v>
      </c>
      <c r="B134" t="s">
        <v>887</v>
      </c>
      <c r="D134" t="s">
        <v>888</v>
      </c>
      <c r="E134" t="s">
        <v>728</v>
      </c>
      <c r="F134" s="37">
        <v>6023.5280000000002</v>
      </c>
      <c r="G134" t="s">
        <v>756</v>
      </c>
      <c r="H134" t="s">
        <v>753</v>
      </c>
    </row>
    <row r="135" spans="1:8">
      <c r="A135" s="41">
        <v>46093.447327395799</v>
      </c>
      <c r="B135" t="s">
        <v>887</v>
      </c>
      <c r="C135" t="s">
        <v>25</v>
      </c>
      <c r="D135" t="s">
        <v>888</v>
      </c>
      <c r="E135" t="s">
        <v>728</v>
      </c>
      <c r="F135" s="37">
        <v>6023.5280000000002</v>
      </c>
      <c r="G135" t="s">
        <v>756</v>
      </c>
      <c r="H135" t="s">
        <v>753</v>
      </c>
    </row>
    <row r="136" spans="1:8">
      <c r="A136" s="41">
        <v>46093.447327395799</v>
      </c>
      <c r="B136" t="s">
        <v>887</v>
      </c>
      <c r="C136" t="s">
        <v>29</v>
      </c>
      <c r="D136" t="s">
        <v>888</v>
      </c>
      <c r="E136" t="s">
        <v>728</v>
      </c>
      <c r="F136" s="37">
        <v>6023.5280000000002</v>
      </c>
      <c r="G136" t="s">
        <v>756</v>
      </c>
      <c r="H136" t="s">
        <v>753</v>
      </c>
    </row>
    <row r="137" spans="1:8">
      <c r="A137" s="41">
        <v>46093.447327395799</v>
      </c>
      <c r="B137" t="s">
        <v>887</v>
      </c>
      <c r="C137" t="s">
        <v>32</v>
      </c>
      <c r="D137" t="s">
        <v>888</v>
      </c>
      <c r="E137" t="s">
        <v>728</v>
      </c>
      <c r="F137" s="37">
        <v>6023.5280000000002</v>
      </c>
      <c r="G137" t="s">
        <v>756</v>
      </c>
      <c r="H137" t="s">
        <v>753</v>
      </c>
    </row>
    <row r="138" spans="1:8">
      <c r="A138" s="41">
        <v>46093.447327395799</v>
      </c>
      <c r="B138" t="s">
        <v>887</v>
      </c>
      <c r="D138" t="s">
        <v>888</v>
      </c>
      <c r="E138" t="s">
        <v>728</v>
      </c>
      <c r="F138" s="37">
        <v>6023.5280000000002</v>
      </c>
      <c r="G138" t="s">
        <v>756</v>
      </c>
      <c r="H138" t="s">
        <v>753</v>
      </c>
    </row>
    <row r="139" spans="1:8">
      <c r="A139" s="41">
        <v>46093.447327395799</v>
      </c>
      <c r="B139" t="s">
        <v>887</v>
      </c>
      <c r="C139" t="s">
        <v>38</v>
      </c>
      <c r="D139" t="s">
        <v>888</v>
      </c>
      <c r="E139" t="s">
        <v>728</v>
      </c>
      <c r="F139" s="37">
        <v>6023.5280000000002</v>
      </c>
      <c r="G139" t="s">
        <v>756</v>
      </c>
      <c r="H139" t="s">
        <v>753</v>
      </c>
    </row>
    <row r="140" spans="1:8">
      <c r="A140" s="41">
        <v>46093.447327395799</v>
      </c>
      <c r="B140" t="s">
        <v>887</v>
      </c>
      <c r="C140" t="s">
        <v>86</v>
      </c>
      <c r="D140" t="s">
        <v>888</v>
      </c>
      <c r="E140" t="s">
        <v>728</v>
      </c>
      <c r="F140" s="37">
        <v>6023.5280000000002</v>
      </c>
      <c r="G140" t="s">
        <v>756</v>
      </c>
      <c r="H140" t="s">
        <v>753</v>
      </c>
    </row>
    <row r="141" spans="1:8">
      <c r="A141" s="41">
        <v>46093.447327395799</v>
      </c>
      <c r="B141" t="s">
        <v>887</v>
      </c>
      <c r="C141" t="s">
        <v>89</v>
      </c>
      <c r="D141" t="s">
        <v>888</v>
      </c>
      <c r="E141" t="s">
        <v>728</v>
      </c>
      <c r="F141" s="37">
        <v>6023.5280000000002</v>
      </c>
      <c r="G141" t="s">
        <v>756</v>
      </c>
      <c r="H141" t="s">
        <v>753</v>
      </c>
    </row>
    <row r="142" spans="1:8">
      <c r="A142" s="41">
        <v>46093.447327395799</v>
      </c>
      <c r="B142" t="s">
        <v>887</v>
      </c>
      <c r="C142" t="s">
        <v>91</v>
      </c>
      <c r="D142" t="s">
        <v>888</v>
      </c>
      <c r="E142" t="s">
        <v>728</v>
      </c>
      <c r="F142" s="37">
        <v>6023.5280000000002</v>
      </c>
      <c r="G142" t="s">
        <v>756</v>
      </c>
      <c r="H142" t="s">
        <v>753</v>
      </c>
    </row>
    <row r="143" spans="1:8">
      <c r="A143" s="41">
        <v>46093.447327395799</v>
      </c>
      <c r="B143" t="s">
        <v>887</v>
      </c>
      <c r="C143" t="s">
        <v>93</v>
      </c>
      <c r="D143" t="s">
        <v>888</v>
      </c>
      <c r="E143" t="s">
        <v>728</v>
      </c>
      <c r="F143" s="37">
        <v>6023.5280000000002</v>
      </c>
      <c r="G143" t="s">
        <v>756</v>
      </c>
      <c r="H143" t="s">
        <v>753</v>
      </c>
    </row>
    <row r="144" spans="1:8">
      <c r="A144" s="41">
        <v>46093.447327395799</v>
      </c>
      <c r="B144" t="s">
        <v>887</v>
      </c>
      <c r="C144" t="s">
        <v>96</v>
      </c>
      <c r="D144" t="s">
        <v>888</v>
      </c>
      <c r="E144" t="s">
        <v>728</v>
      </c>
      <c r="F144" s="37">
        <v>6023.5280000000002</v>
      </c>
      <c r="G144" t="s">
        <v>756</v>
      </c>
      <c r="H144" t="s">
        <v>753</v>
      </c>
    </row>
    <row r="145" spans="1:8">
      <c r="A145" s="41">
        <v>46093.447327395799</v>
      </c>
      <c r="B145" t="s">
        <v>887</v>
      </c>
      <c r="C145" t="s">
        <v>169</v>
      </c>
      <c r="D145" t="s">
        <v>888</v>
      </c>
      <c r="E145" t="s">
        <v>728</v>
      </c>
      <c r="F145" s="37">
        <v>6023.5280000000002</v>
      </c>
      <c r="G145" t="s">
        <v>756</v>
      </c>
      <c r="H145" t="s">
        <v>753</v>
      </c>
    </row>
    <row r="146" spans="1:8">
      <c r="A146" s="41">
        <v>46093.447327395799</v>
      </c>
      <c r="B146" t="s">
        <v>887</v>
      </c>
      <c r="C146" t="s">
        <v>171</v>
      </c>
      <c r="D146" t="s">
        <v>888</v>
      </c>
      <c r="E146" t="s">
        <v>728</v>
      </c>
      <c r="F146" s="37">
        <v>6023.5280000000002</v>
      </c>
      <c r="G146" t="s">
        <v>756</v>
      </c>
      <c r="H146" t="s">
        <v>753</v>
      </c>
    </row>
    <row r="147" spans="1:8">
      <c r="A147" s="41">
        <v>46093.447327395799</v>
      </c>
      <c r="B147" t="s">
        <v>887</v>
      </c>
      <c r="C147" t="s">
        <v>173</v>
      </c>
      <c r="D147" t="s">
        <v>888</v>
      </c>
      <c r="E147" t="s">
        <v>728</v>
      </c>
      <c r="F147" s="37">
        <v>6023.5280000000002</v>
      </c>
      <c r="G147" t="s">
        <v>756</v>
      </c>
      <c r="H147" t="s">
        <v>753</v>
      </c>
    </row>
    <row r="148" spans="1:8">
      <c r="A148" s="41">
        <v>46093.447327395799</v>
      </c>
      <c r="B148" t="s">
        <v>887</v>
      </c>
      <c r="C148" t="s">
        <v>175</v>
      </c>
      <c r="D148" t="s">
        <v>888</v>
      </c>
      <c r="E148" t="s">
        <v>728</v>
      </c>
      <c r="F148" s="37">
        <v>6023.5280000000002</v>
      </c>
      <c r="G148" t="s">
        <v>756</v>
      </c>
      <c r="H148" t="s">
        <v>753</v>
      </c>
    </row>
    <row r="149" spans="1:8">
      <c r="A149" s="41">
        <v>46093.447327395799</v>
      </c>
      <c r="B149" t="s">
        <v>887</v>
      </c>
      <c r="C149" t="s">
        <v>177</v>
      </c>
      <c r="D149" t="s">
        <v>888</v>
      </c>
      <c r="E149" t="s">
        <v>728</v>
      </c>
      <c r="F149" s="37">
        <v>6023.5280000000002</v>
      </c>
      <c r="G149" t="s">
        <v>756</v>
      </c>
      <c r="H149" t="s">
        <v>753</v>
      </c>
    </row>
    <row r="150" spans="1:8">
      <c r="A150" s="41">
        <v>46093.447327395799</v>
      </c>
      <c r="B150" t="s">
        <v>887</v>
      </c>
      <c r="C150" t="s">
        <v>182</v>
      </c>
      <c r="D150" t="s">
        <v>888</v>
      </c>
      <c r="E150" t="s">
        <v>728</v>
      </c>
      <c r="F150" s="37">
        <v>6023.5280000000002</v>
      </c>
      <c r="G150" t="s">
        <v>756</v>
      </c>
      <c r="H150" t="s">
        <v>753</v>
      </c>
    </row>
    <row r="151" spans="1:8">
      <c r="A151" s="41">
        <v>46093.460116550901</v>
      </c>
      <c r="B151" t="s">
        <v>889</v>
      </c>
      <c r="D151" t="s">
        <v>890</v>
      </c>
      <c r="E151" t="s">
        <v>728</v>
      </c>
      <c r="F151" s="37">
        <v>8847.0535999999993</v>
      </c>
      <c r="G151" t="s">
        <v>756</v>
      </c>
      <c r="H151" t="s">
        <v>753</v>
      </c>
    </row>
    <row r="152" spans="1:8">
      <c r="A152" s="41">
        <v>46093.460116550901</v>
      </c>
      <c r="B152" t="s">
        <v>889</v>
      </c>
      <c r="C152" t="s">
        <v>25</v>
      </c>
      <c r="D152" t="s">
        <v>890</v>
      </c>
      <c r="E152" t="s">
        <v>728</v>
      </c>
      <c r="F152" s="37">
        <v>8847.0535999999993</v>
      </c>
      <c r="G152" t="s">
        <v>756</v>
      </c>
      <c r="H152" t="s">
        <v>753</v>
      </c>
    </row>
    <row r="153" spans="1:8">
      <c r="A153" s="41">
        <v>46093.460116550901</v>
      </c>
      <c r="B153" t="s">
        <v>889</v>
      </c>
      <c r="C153" t="s">
        <v>29</v>
      </c>
      <c r="D153" t="s">
        <v>890</v>
      </c>
      <c r="E153" t="s">
        <v>728</v>
      </c>
      <c r="F153" s="37">
        <v>8847.0535999999993</v>
      </c>
      <c r="G153" t="s">
        <v>756</v>
      </c>
      <c r="H153" t="s">
        <v>753</v>
      </c>
    </row>
    <row r="154" spans="1:8">
      <c r="A154" s="41">
        <v>46093.460116550901</v>
      </c>
      <c r="B154" t="s">
        <v>889</v>
      </c>
      <c r="C154" t="s">
        <v>32</v>
      </c>
      <c r="D154" t="s">
        <v>890</v>
      </c>
      <c r="E154" t="s">
        <v>728</v>
      </c>
      <c r="F154" s="37">
        <v>8847.0535999999993</v>
      </c>
      <c r="G154" t="s">
        <v>756</v>
      </c>
      <c r="H154" t="s">
        <v>753</v>
      </c>
    </row>
    <row r="155" spans="1:8">
      <c r="A155" s="41">
        <v>46093.460116550901</v>
      </c>
      <c r="B155" t="s">
        <v>889</v>
      </c>
      <c r="D155" t="s">
        <v>890</v>
      </c>
      <c r="E155" t="s">
        <v>728</v>
      </c>
      <c r="F155" s="37">
        <v>8847.0535999999993</v>
      </c>
      <c r="G155" t="s">
        <v>756</v>
      </c>
      <c r="H155" t="s">
        <v>753</v>
      </c>
    </row>
    <row r="156" spans="1:8">
      <c r="A156" s="41">
        <v>46093.460116550901</v>
      </c>
      <c r="B156" t="s">
        <v>889</v>
      </c>
      <c r="C156" t="s">
        <v>38</v>
      </c>
      <c r="D156" t="s">
        <v>890</v>
      </c>
      <c r="E156" t="s">
        <v>728</v>
      </c>
      <c r="F156" s="37">
        <v>8847.0535999999993</v>
      </c>
      <c r="G156" t="s">
        <v>756</v>
      </c>
      <c r="H156" t="s">
        <v>753</v>
      </c>
    </row>
    <row r="157" spans="1:8">
      <c r="A157" s="41">
        <v>46093.460116550901</v>
      </c>
      <c r="B157" t="s">
        <v>889</v>
      </c>
      <c r="C157" t="s">
        <v>86</v>
      </c>
      <c r="D157" t="s">
        <v>890</v>
      </c>
      <c r="E157" t="s">
        <v>728</v>
      </c>
      <c r="F157" s="37">
        <v>8847.0535999999993</v>
      </c>
      <c r="G157" t="s">
        <v>756</v>
      </c>
      <c r="H157" t="s">
        <v>753</v>
      </c>
    </row>
    <row r="158" spans="1:8">
      <c r="A158" s="41">
        <v>46093.460116550901</v>
      </c>
      <c r="B158" t="s">
        <v>889</v>
      </c>
      <c r="C158" t="s">
        <v>89</v>
      </c>
      <c r="D158" t="s">
        <v>890</v>
      </c>
      <c r="E158" t="s">
        <v>728</v>
      </c>
      <c r="F158" s="37">
        <v>8847.0535999999993</v>
      </c>
      <c r="G158" t="s">
        <v>756</v>
      </c>
      <c r="H158" t="s">
        <v>753</v>
      </c>
    </row>
    <row r="159" spans="1:8">
      <c r="A159" s="41">
        <v>46093.460116550901</v>
      </c>
      <c r="B159" t="s">
        <v>889</v>
      </c>
      <c r="C159" t="s">
        <v>91</v>
      </c>
      <c r="D159" t="s">
        <v>890</v>
      </c>
      <c r="E159" t="s">
        <v>728</v>
      </c>
      <c r="F159" s="37">
        <v>8847.0535999999993</v>
      </c>
      <c r="G159" t="s">
        <v>756</v>
      </c>
      <c r="H159" t="s">
        <v>753</v>
      </c>
    </row>
    <row r="160" spans="1:8">
      <c r="A160" s="41">
        <v>46093.460116550901</v>
      </c>
      <c r="B160" t="s">
        <v>889</v>
      </c>
      <c r="C160" t="s">
        <v>93</v>
      </c>
      <c r="D160" t="s">
        <v>890</v>
      </c>
      <c r="E160" t="s">
        <v>728</v>
      </c>
      <c r="F160" s="37">
        <v>8847.0535999999993</v>
      </c>
      <c r="G160" t="s">
        <v>756</v>
      </c>
      <c r="H160" t="s">
        <v>753</v>
      </c>
    </row>
    <row r="161" spans="1:8">
      <c r="A161" s="41">
        <v>46093.460116550901</v>
      </c>
      <c r="B161" t="s">
        <v>889</v>
      </c>
      <c r="C161" t="s">
        <v>96</v>
      </c>
      <c r="D161" t="s">
        <v>890</v>
      </c>
      <c r="E161" t="s">
        <v>728</v>
      </c>
      <c r="F161" s="37">
        <v>8847.0535999999993</v>
      </c>
      <c r="G161" t="s">
        <v>756</v>
      </c>
      <c r="H161" t="s">
        <v>753</v>
      </c>
    </row>
    <row r="162" spans="1:8">
      <c r="A162" s="41">
        <v>46093.460116550901</v>
      </c>
      <c r="B162" t="s">
        <v>889</v>
      </c>
      <c r="C162" t="s">
        <v>169</v>
      </c>
      <c r="D162" t="s">
        <v>890</v>
      </c>
      <c r="E162" t="s">
        <v>728</v>
      </c>
      <c r="F162" s="37">
        <v>8847.0535999999993</v>
      </c>
      <c r="G162" t="s">
        <v>756</v>
      </c>
      <c r="H162" t="s">
        <v>753</v>
      </c>
    </row>
    <row r="163" spans="1:8">
      <c r="A163" s="41">
        <v>46093.460116550901</v>
      </c>
      <c r="B163" t="s">
        <v>889</v>
      </c>
      <c r="C163" t="s">
        <v>171</v>
      </c>
      <c r="D163" t="s">
        <v>890</v>
      </c>
      <c r="E163" t="s">
        <v>728</v>
      </c>
      <c r="F163" s="37">
        <v>8847.0535999999993</v>
      </c>
      <c r="G163" t="s">
        <v>756</v>
      </c>
      <c r="H163" t="s">
        <v>753</v>
      </c>
    </row>
    <row r="164" spans="1:8">
      <c r="A164" s="41">
        <v>46093.460116550901</v>
      </c>
      <c r="B164" t="s">
        <v>889</v>
      </c>
      <c r="C164" t="s">
        <v>173</v>
      </c>
      <c r="D164" t="s">
        <v>890</v>
      </c>
      <c r="E164" t="s">
        <v>728</v>
      </c>
      <c r="F164" s="37">
        <v>8847.0535999999993</v>
      </c>
      <c r="G164" t="s">
        <v>756</v>
      </c>
      <c r="H164" t="s">
        <v>753</v>
      </c>
    </row>
    <row r="165" spans="1:8">
      <c r="A165" s="41">
        <v>46093.460116550901</v>
      </c>
      <c r="B165" t="s">
        <v>889</v>
      </c>
      <c r="C165" t="s">
        <v>175</v>
      </c>
      <c r="D165" t="s">
        <v>890</v>
      </c>
      <c r="E165" t="s">
        <v>728</v>
      </c>
      <c r="F165" s="37">
        <v>8847.0535999999993</v>
      </c>
      <c r="G165" t="s">
        <v>756</v>
      </c>
      <c r="H165" t="s">
        <v>753</v>
      </c>
    </row>
    <row r="166" spans="1:8">
      <c r="A166" s="41">
        <v>46093.460116550901</v>
      </c>
      <c r="B166" t="s">
        <v>889</v>
      </c>
      <c r="C166" t="s">
        <v>177</v>
      </c>
      <c r="D166" t="s">
        <v>890</v>
      </c>
      <c r="E166" t="s">
        <v>728</v>
      </c>
      <c r="F166" s="37">
        <v>8847.0535999999993</v>
      </c>
      <c r="G166" t="s">
        <v>756</v>
      </c>
      <c r="H166" t="s">
        <v>753</v>
      </c>
    </row>
    <row r="167" spans="1:8">
      <c r="A167" s="41">
        <v>46093.460116550901</v>
      </c>
      <c r="B167" t="s">
        <v>889</v>
      </c>
      <c r="C167" t="s">
        <v>182</v>
      </c>
      <c r="D167" t="s">
        <v>890</v>
      </c>
      <c r="E167" t="s">
        <v>728</v>
      </c>
      <c r="F167" s="37">
        <v>8847.0535999999993</v>
      </c>
      <c r="G167" t="s">
        <v>756</v>
      </c>
      <c r="H167" t="s">
        <v>753</v>
      </c>
    </row>
    <row r="168" spans="1:8">
      <c r="A168" s="41">
        <v>46093.467881979203</v>
      </c>
      <c r="B168" t="s">
        <v>891</v>
      </c>
      <c r="C168" t="s">
        <v>892</v>
      </c>
      <c r="D168" t="s">
        <v>893</v>
      </c>
      <c r="E168" t="s">
        <v>734</v>
      </c>
      <c r="F168" s="37">
        <v>300335.77</v>
      </c>
      <c r="G168" t="s">
        <v>748</v>
      </c>
      <c r="H168" t="s">
        <v>753</v>
      </c>
    </row>
    <row r="169" spans="1:8">
      <c r="A169" s="41">
        <v>46093.472586689801</v>
      </c>
      <c r="B169" t="s">
        <v>894</v>
      </c>
      <c r="C169" t="s">
        <v>608</v>
      </c>
      <c r="D169" t="s">
        <v>895</v>
      </c>
      <c r="E169" t="s">
        <v>728</v>
      </c>
      <c r="F169" s="37">
        <v>38549.9</v>
      </c>
      <c r="G169" t="s">
        <v>752</v>
      </c>
      <c r="H169" t="s">
        <v>753</v>
      </c>
    </row>
    <row r="170" spans="1:8">
      <c r="A170" s="41">
        <v>46093.485688888897</v>
      </c>
      <c r="B170" t="s">
        <v>896</v>
      </c>
      <c r="C170" t="s">
        <v>44</v>
      </c>
      <c r="D170" t="s">
        <v>897</v>
      </c>
      <c r="E170" t="s">
        <v>735</v>
      </c>
      <c r="F170" s="37">
        <v>170432.99</v>
      </c>
      <c r="G170" t="s">
        <v>748</v>
      </c>
      <c r="H170" t="s">
        <v>753</v>
      </c>
    </row>
    <row r="171" spans="1:8">
      <c r="A171" s="41">
        <v>46093.625469872699</v>
      </c>
      <c r="B171" t="s">
        <v>898</v>
      </c>
      <c r="C171" t="s">
        <v>665</v>
      </c>
      <c r="D171" t="s">
        <v>899</v>
      </c>
      <c r="E171" t="s">
        <v>728</v>
      </c>
      <c r="F171" s="37">
        <v>397399.97639999999</v>
      </c>
      <c r="G171" t="s">
        <v>748</v>
      </c>
      <c r="H171" t="s">
        <v>753</v>
      </c>
    </row>
    <row r="172" spans="1:8">
      <c r="A172" s="41">
        <v>46093.632126932898</v>
      </c>
      <c r="B172" t="s">
        <v>900</v>
      </c>
      <c r="C172" t="s">
        <v>275</v>
      </c>
      <c r="D172" t="s">
        <v>901</v>
      </c>
      <c r="E172" t="s">
        <v>734</v>
      </c>
      <c r="F172" s="37">
        <v>397094.67</v>
      </c>
      <c r="G172" t="s">
        <v>748</v>
      </c>
      <c r="H172" t="s">
        <v>753</v>
      </c>
    </row>
    <row r="173" spans="1:8">
      <c r="A173" s="41">
        <v>46093.6329742245</v>
      </c>
      <c r="B173" t="s">
        <v>902</v>
      </c>
      <c r="C173" t="s">
        <v>258</v>
      </c>
      <c r="D173" t="s">
        <v>903</v>
      </c>
      <c r="E173" t="s">
        <v>734</v>
      </c>
      <c r="F173" s="37">
        <v>360959.13</v>
      </c>
      <c r="G173" t="s">
        <v>748</v>
      </c>
      <c r="H173" t="s">
        <v>753</v>
      </c>
    </row>
    <row r="174" spans="1:8">
      <c r="A174" s="41">
        <v>46093.649381215298</v>
      </c>
      <c r="B174" t="s">
        <v>904</v>
      </c>
      <c r="C174" t="s">
        <v>178</v>
      </c>
      <c r="D174" t="s">
        <v>905</v>
      </c>
      <c r="E174" t="s">
        <v>735</v>
      </c>
      <c r="F174" s="37">
        <v>170432.99</v>
      </c>
      <c r="G174" t="s">
        <v>748</v>
      </c>
      <c r="H174" t="s">
        <v>753</v>
      </c>
    </row>
    <row r="175" spans="1:8">
      <c r="A175" s="43">
        <v>46093.717566053201</v>
      </c>
      <c r="B175" s="44" t="s">
        <v>906</v>
      </c>
      <c r="C175" s="44" t="s">
        <v>249</v>
      </c>
      <c r="D175" s="44" t="s">
        <v>907</v>
      </c>
      <c r="E175" s="44" t="s">
        <v>728</v>
      </c>
      <c r="F175" s="46">
        <v>319799.99310000002</v>
      </c>
      <c r="G175" s="44" t="s">
        <v>748</v>
      </c>
      <c r="H175" s="44" t="s">
        <v>753</v>
      </c>
    </row>
    <row r="176" spans="1:8">
      <c r="A176" s="43">
        <v>46093.724767326399</v>
      </c>
      <c r="B176" s="44" t="s">
        <v>908</v>
      </c>
      <c r="C176" s="44" t="s">
        <v>238</v>
      </c>
      <c r="D176" s="44" t="s">
        <v>909</v>
      </c>
      <c r="E176" s="44" t="s">
        <v>727</v>
      </c>
      <c r="F176" s="46">
        <v>559290.48</v>
      </c>
      <c r="G176" s="44" t="s">
        <v>748</v>
      </c>
      <c r="H176" s="44" t="s">
        <v>753</v>
      </c>
    </row>
    <row r="177" spans="1:8">
      <c r="A177" s="43">
        <v>46094.669263854201</v>
      </c>
      <c r="B177" s="44" t="s">
        <v>910</v>
      </c>
      <c r="C177" s="44" t="s">
        <v>382</v>
      </c>
      <c r="D177" s="44" t="s">
        <v>911</v>
      </c>
      <c r="E177" s="44" t="s">
        <v>728</v>
      </c>
      <c r="F177" s="46">
        <v>89099.976699999999</v>
      </c>
      <c r="G177" s="44" t="s">
        <v>748</v>
      </c>
      <c r="H177" s="44" t="s">
        <v>912</v>
      </c>
    </row>
    <row r="178" spans="1:8" ht="15.75" customHeight="1">
      <c r="A178" s="43">
        <v>46101</v>
      </c>
      <c r="B178" s="45" t="s">
        <v>913</v>
      </c>
      <c r="C178" s="44" t="s">
        <v>339</v>
      </c>
      <c r="D178" s="44" t="s">
        <v>914</v>
      </c>
      <c r="E178" s="44" t="s">
        <v>728</v>
      </c>
      <c r="F178" s="46">
        <v>164899.99</v>
      </c>
      <c r="G178" s="44" t="s">
        <v>748</v>
      </c>
      <c r="H178" s="44" t="s">
        <v>753</v>
      </c>
    </row>
    <row r="179" spans="1:8" ht="15.75" customHeight="1">
      <c r="A179" s="43">
        <v>46100</v>
      </c>
      <c r="B179" s="45" t="s">
        <v>915</v>
      </c>
      <c r="C179" s="44" t="s">
        <v>916</v>
      </c>
      <c r="D179" s="44" t="s">
        <v>917</v>
      </c>
      <c r="E179" s="44" t="s">
        <v>728</v>
      </c>
      <c r="F179" s="46">
        <v>91699.98</v>
      </c>
      <c r="G179" s="44" t="s">
        <v>748</v>
      </c>
      <c r="H179" s="44" t="s">
        <v>753</v>
      </c>
    </row>
    <row r="180" spans="1:8" ht="15.75" customHeight="1">
      <c r="A180" s="43">
        <v>46100</v>
      </c>
      <c r="B180" s="45" t="s">
        <v>918</v>
      </c>
      <c r="C180" s="44"/>
      <c r="D180" s="44" t="s">
        <v>919</v>
      </c>
      <c r="E180" s="44" t="s">
        <v>731</v>
      </c>
      <c r="F180" s="46">
        <v>85871.59</v>
      </c>
      <c r="G180" s="44"/>
      <c r="H180" s="44" t="s">
        <v>753</v>
      </c>
    </row>
    <row r="181" spans="1:8" ht="15.75" customHeight="1">
      <c r="A181" s="43">
        <v>46100</v>
      </c>
      <c r="B181" s="45" t="s">
        <v>920</v>
      </c>
      <c r="C181" s="44" t="s">
        <v>359</v>
      </c>
      <c r="D181" s="44" t="s">
        <v>921</v>
      </c>
      <c r="E181" s="44" t="s">
        <v>727</v>
      </c>
      <c r="F181" s="46">
        <v>68582.080000000002</v>
      </c>
      <c r="G181" s="44" t="s">
        <v>748</v>
      </c>
      <c r="H181" s="44" t="s">
        <v>753</v>
      </c>
    </row>
    <row r="182" spans="1:8" ht="15.75" customHeight="1">
      <c r="A182" s="43">
        <v>46100</v>
      </c>
      <c r="B182" s="45" t="s">
        <v>922</v>
      </c>
      <c r="C182" s="44" t="s">
        <v>202</v>
      </c>
      <c r="D182" s="44" t="s">
        <v>923</v>
      </c>
      <c r="E182" s="44" t="s">
        <v>727</v>
      </c>
      <c r="F182" s="46">
        <v>149298.59</v>
      </c>
      <c r="G182" s="44" t="s">
        <v>748</v>
      </c>
      <c r="H182" s="44" t="s">
        <v>753</v>
      </c>
    </row>
    <row r="183" spans="1:8" ht="15.75" customHeight="1">
      <c r="A183" s="43">
        <v>46100</v>
      </c>
      <c r="B183" s="45" t="s">
        <v>924</v>
      </c>
      <c r="C183" s="44" t="s">
        <v>333</v>
      </c>
      <c r="D183" s="44" t="s">
        <v>925</v>
      </c>
      <c r="E183" s="44" t="s">
        <v>730</v>
      </c>
      <c r="F183" s="46">
        <v>228336.01</v>
      </c>
      <c r="G183" s="44" t="s">
        <v>748</v>
      </c>
      <c r="H183" s="44" t="s">
        <v>753</v>
      </c>
    </row>
    <row r="184" spans="1:8" ht="15.75" customHeight="1">
      <c r="A184" s="43">
        <v>46100</v>
      </c>
      <c r="B184" s="45" t="s">
        <v>926</v>
      </c>
      <c r="C184" s="44" t="s">
        <v>68</v>
      </c>
      <c r="D184" s="44" t="s">
        <v>927</v>
      </c>
      <c r="E184" s="44" t="s">
        <v>734</v>
      </c>
      <c r="F184" s="46">
        <v>121145.57</v>
      </c>
      <c r="G184" s="44" t="s">
        <v>748</v>
      </c>
      <c r="H184" s="44" t="s">
        <v>753</v>
      </c>
    </row>
    <row r="185" spans="1:8" ht="15.75" customHeight="1">
      <c r="A185" s="43">
        <v>46100</v>
      </c>
      <c r="B185" s="45" t="s">
        <v>928</v>
      </c>
      <c r="C185" s="44" t="s">
        <v>417</v>
      </c>
      <c r="D185" s="44" t="s">
        <v>929</v>
      </c>
      <c r="E185" s="44" t="s">
        <v>728</v>
      </c>
      <c r="F185" s="46">
        <v>234799.89</v>
      </c>
      <c r="G185" s="44" t="s">
        <v>748</v>
      </c>
      <c r="H185" s="44" t="s">
        <v>753</v>
      </c>
    </row>
    <row r="186" spans="1:8" ht="15.75" customHeight="1">
      <c r="A186" s="43">
        <v>46100</v>
      </c>
      <c r="B186" s="45" t="s">
        <v>930</v>
      </c>
      <c r="C186" s="44" t="s">
        <v>634</v>
      </c>
      <c r="D186" s="44" t="s">
        <v>931</v>
      </c>
      <c r="E186" s="44" t="s">
        <v>734</v>
      </c>
      <c r="F186" s="46">
        <v>392089.53</v>
      </c>
      <c r="G186" s="44" t="s">
        <v>748</v>
      </c>
      <c r="H186" s="44" t="s">
        <v>753</v>
      </c>
    </row>
    <row r="187" spans="1:8" ht="15.75" customHeight="1">
      <c r="A187" s="43">
        <v>46100</v>
      </c>
      <c r="B187" s="45" t="s">
        <v>932</v>
      </c>
      <c r="C187" s="44" t="s">
        <v>552</v>
      </c>
      <c r="D187" s="44" t="s">
        <v>933</v>
      </c>
      <c r="E187" s="44" t="s">
        <v>734</v>
      </c>
      <c r="F187" s="46">
        <v>440390.44</v>
      </c>
      <c r="G187" s="44" t="s">
        <v>748</v>
      </c>
      <c r="H187" s="44" t="s">
        <v>753</v>
      </c>
    </row>
    <row r="188" spans="1:8" ht="15.75" customHeight="1">
      <c r="A188" s="43">
        <v>46100</v>
      </c>
      <c r="B188" s="45" t="s">
        <v>934</v>
      </c>
      <c r="C188" s="44" t="s">
        <v>535</v>
      </c>
      <c r="D188" s="44" t="s">
        <v>935</v>
      </c>
      <c r="E188" s="44" t="s">
        <v>734</v>
      </c>
      <c r="F188" s="46">
        <v>580385.61</v>
      </c>
      <c r="G188" s="44" t="s">
        <v>748</v>
      </c>
      <c r="H188" s="44" t="s">
        <v>753</v>
      </c>
    </row>
    <row r="189" spans="1:8" ht="15.75" customHeight="1">
      <c r="A189" s="43">
        <v>46099</v>
      </c>
      <c r="B189" s="45" t="s">
        <v>936</v>
      </c>
      <c r="C189" s="44" t="s">
        <v>417</v>
      </c>
      <c r="D189" s="44" t="s">
        <v>937</v>
      </c>
      <c r="E189" s="44" t="s">
        <v>730</v>
      </c>
      <c r="F189" s="46">
        <v>228128.95</v>
      </c>
      <c r="G189" s="44" t="s">
        <v>748</v>
      </c>
      <c r="H189" s="44" t="s">
        <v>766</v>
      </c>
    </row>
    <row r="190" spans="1:8" ht="15.75" customHeight="1">
      <c r="A190" s="43">
        <v>46099</v>
      </c>
      <c r="B190" s="45" t="s">
        <v>938</v>
      </c>
      <c r="C190" s="44" t="s">
        <v>97</v>
      </c>
      <c r="D190" s="44" t="s">
        <v>939</v>
      </c>
      <c r="E190" s="44" t="s">
        <v>734</v>
      </c>
      <c r="F190" s="46">
        <v>103590.69</v>
      </c>
      <c r="G190" s="44" t="s">
        <v>748</v>
      </c>
      <c r="H190" s="44" t="s">
        <v>912</v>
      </c>
    </row>
    <row r="191" spans="1:8" ht="15.75" customHeight="1">
      <c r="A191" s="43">
        <v>46098</v>
      </c>
      <c r="B191" s="45" t="s">
        <v>940</v>
      </c>
      <c r="C191" s="44"/>
      <c r="D191" s="44" t="s">
        <v>941</v>
      </c>
      <c r="E191" s="44" t="s">
        <v>727</v>
      </c>
      <c r="F191" s="37">
        <v>238478.38</v>
      </c>
      <c r="G191" s="44" t="s">
        <v>748</v>
      </c>
      <c r="H191" s="44" t="s">
        <v>753</v>
      </c>
    </row>
    <row r="192" spans="1:8" ht="15.75" customHeight="1">
      <c r="A192" s="43">
        <v>46098</v>
      </c>
      <c r="B192" s="45" t="s">
        <v>942</v>
      </c>
      <c r="C192" s="44"/>
      <c r="D192" s="44" t="s">
        <v>943</v>
      </c>
      <c r="E192" s="44" t="s">
        <v>734</v>
      </c>
      <c r="F192" s="37">
        <v>360959.13</v>
      </c>
      <c r="G192" s="44" t="s">
        <v>748</v>
      </c>
      <c r="H192" s="44" t="s">
        <v>944</v>
      </c>
    </row>
    <row r="193" spans="1:8" ht="15.75" customHeight="1">
      <c r="A193" s="43">
        <v>46098</v>
      </c>
      <c r="B193" s="45" t="s">
        <v>945</v>
      </c>
      <c r="C193" s="44" t="s">
        <v>611</v>
      </c>
      <c r="D193" s="44" t="s">
        <v>946</v>
      </c>
      <c r="E193" s="44" t="s">
        <v>728</v>
      </c>
      <c r="F193" s="37">
        <v>38549.9</v>
      </c>
      <c r="G193" s="44" t="s">
        <v>748</v>
      </c>
      <c r="H193" s="44" t="s">
        <v>753</v>
      </c>
    </row>
    <row r="194" spans="1:8">
      <c r="A194" s="43">
        <v>46105.635110648102</v>
      </c>
      <c r="B194" s="47" t="s">
        <v>947</v>
      </c>
      <c r="C194" s="44" t="s">
        <v>210</v>
      </c>
      <c r="D194" s="48" t="s">
        <v>948</v>
      </c>
      <c r="E194" s="54" t="s">
        <v>727</v>
      </c>
      <c r="F194" s="37">
        <v>126877.8</v>
      </c>
      <c r="G194" s="44" t="s">
        <v>748</v>
      </c>
      <c r="H194" s="45" t="s">
        <v>753</v>
      </c>
    </row>
    <row r="195" spans="1:8" ht="15" customHeight="1">
      <c r="A195" s="43">
        <v>46105.635110648102</v>
      </c>
      <c r="B195" s="47" t="s">
        <v>949</v>
      </c>
      <c r="C195" s="44" t="s">
        <v>359</v>
      </c>
      <c r="D195" s="48" t="s">
        <v>950</v>
      </c>
      <c r="E195" s="54" t="s">
        <v>730</v>
      </c>
      <c r="F195" s="37">
        <v>55490.89</v>
      </c>
      <c r="G195" s="44" t="s">
        <v>748</v>
      </c>
      <c r="H195" s="45" t="s">
        <v>766</v>
      </c>
    </row>
    <row r="196" spans="1:8" ht="15" customHeight="1">
      <c r="A196" s="43">
        <v>46105.629484409699</v>
      </c>
      <c r="B196" s="47" t="s">
        <v>951</v>
      </c>
      <c r="C196" s="44" t="s">
        <v>530</v>
      </c>
      <c r="D196" s="48" t="s">
        <v>952</v>
      </c>
      <c r="E196" s="54" t="s">
        <v>734</v>
      </c>
      <c r="F196" s="37">
        <v>831174.54</v>
      </c>
      <c r="G196" s="44" t="s">
        <v>748</v>
      </c>
      <c r="H196" s="45" t="s">
        <v>753</v>
      </c>
    </row>
    <row r="197" spans="1:8" ht="15" customHeight="1">
      <c r="A197" s="43">
        <v>46104.734478391198</v>
      </c>
      <c r="B197" s="47" t="s">
        <v>953</v>
      </c>
      <c r="C197" s="44" t="s">
        <v>130</v>
      </c>
      <c r="D197" s="48" t="s">
        <v>954</v>
      </c>
      <c r="E197" s="54" t="s">
        <v>727</v>
      </c>
      <c r="F197" s="37">
        <v>305483.71000000002</v>
      </c>
      <c r="G197" s="44" t="s">
        <v>748</v>
      </c>
      <c r="H197" s="45" t="s">
        <v>753</v>
      </c>
    </row>
    <row r="198" spans="1:8" ht="15" customHeight="1">
      <c r="A198" s="43">
        <v>46104.729813854203</v>
      </c>
      <c r="B198" s="47" t="s">
        <v>955</v>
      </c>
      <c r="C198" s="44" t="s">
        <v>246</v>
      </c>
      <c r="D198" s="48" t="s">
        <v>956</v>
      </c>
      <c r="E198" s="54" t="s">
        <v>727</v>
      </c>
      <c r="F198" s="37">
        <v>77369.039999999994</v>
      </c>
      <c r="G198" s="44"/>
      <c r="H198" s="45" t="s">
        <v>753</v>
      </c>
    </row>
    <row r="199" spans="1:8" ht="15" customHeight="1">
      <c r="A199" s="43">
        <v>46104.621280289401</v>
      </c>
      <c r="B199" s="47" t="s">
        <v>957</v>
      </c>
      <c r="C199" s="44" t="s">
        <v>152</v>
      </c>
      <c r="D199" s="48" t="s">
        <v>958</v>
      </c>
      <c r="E199" s="54" t="s">
        <v>728</v>
      </c>
      <c r="F199" s="37">
        <v>381399.96230000001</v>
      </c>
      <c r="G199" s="44" t="s">
        <v>748</v>
      </c>
      <c r="H199" s="45" t="s">
        <v>753</v>
      </c>
    </row>
    <row r="200" spans="1:8" ht="15" customHeight="1">
      <c r="A200" s="43">
        <v>46104.470781678203</v>
      </c>
      <c r="B200" s="47" t="s">
        <v>959</v>
      </c>
      <c r="C200" s="44" t="s">
        <v>424</v>
      </c>
      <c r="D200" s="48" t="s">
        <v>960</v>
      </c>
      <c r="E200" s="54" t="s">
        <v>961</v>
      </c>
      <c r="F200" s="37">
        <v>99901.69</v>
      </c>
      <c r="G200" s="44" t="s">
        <v>748</v>
      </c>
      <c r="H200" s="45" t="s">
        <v>962</v>
      </c>
    </row>
    <row r="201" spans="1:8" ht="15" customHeight="1">
      <c r="A201" s="43">
        <v>46104.430481481497</v>
      </c>
      <c r="B201" s="47" t="s">
        <v>963</v>
      </c>
      <c r="C201" s="44" t="s">
        <v>396</v>
      </c>
      <c r="D201" s="48" t="s">
        <v>964</v>
      </c>
      <c r="E201" s="54" t="s">
        <v>728</v>
      </c>
      <c r="F201" s="37">
        <v>14500.15</v>
      </c>
      <c r="G201" s="44" t="s">
        <v>748</v>
      </c>
      <c r="H201" s="45" t="s">
        <v>753</v>
      </c>
    </row>
    <row r="202" spans="1:8" ht="15" customHeight="1">
      <c r="A202" s="43">
        <v>46104.427122835601</v>
      </c>
      <c r="B202" s="47" t="s">
        <v>965</v>
      </c>
      <c r="C202" s="44" t="s">
        <v>608</v>
      </c>
      <c r="D202" s="48" t="s">
        <v>966</v>
      </c>
      <c r="E202" s="54" t="s">
        <v>728</v>
      </c>
      <c r="F202" s="37">
        <v>23599.960999999999</v>
      </c>
      <c r="G202" s="44" t="s">
        <v>748</v>
      </c>
      <c r="H202" s="45" t="s">
        <v>753</v>
      </c>
    </row>
    <row r="203" spans="1:8" ht="15" customHeight="1">
      <c r="A203" s="43">
        <v>46104.379210416701</v>
      </c>
      <c r="B203" s="47" t="s">
        <v>967</v>
      </c>
      <c r="C203" s="44" t="s">
        <v>278</v>
      </c>
      <c r="D203" s="48" t="s">
        <v>968</v>
      </c>
      <c r="E203" s="54" t="s">
        <v>728</v>
      </c>
      <c r="F203" s="37">
        <v>110299.9814</v>
      </c>
      <c r="G203" s="44" t="s">
        <v>748</v>
      </c>
      <c r="H203" s="45" t="s">
        <v>753</v>
      </c>
    </row>
    <row r="204" spans="1:8" ht="15" customHeight="1">
      <c r="A204" s="53">
        <v>46114</v>
      </c>
      <c r="B204" s="54" t="s">
        <v>969</v>
      </c>
      <c r="D204" s="54" t="s">
        <v>970</v>
      </c>
      <c r="E204" s="54" t="s">
        <v>734</v>
      </c>
      <c r="F204" s="37" t="s">
        <v>971</v>
      </c>
      <c r="G204" s="44"/>
      <c r="H204" s="45" t="s">
        <v>753</v>
      </c>
    </row>
    <row r="205" spans="1:8" ht="15" customHeight="1">
      <c r="A205" s="53">
        <v>46114</v>
      </c>
      <c r="B205" s="54" t="s">
        <v>972</v>
      </c>
      <c r="C205" t="s">
        <v>249</v>
      </c>
      <c r="D205" s="54" t="s">
        <v>973</v>
      </c>
      <c r="E205" s="54" t="s">
        <v>728</v>
      </c>
      <c r="F205" s="37" t="s">
        <v>974</v>
      </c>
      <c r="G205" s="44" t="s">
        <v>748</v>
      </c>
      <c r="H205" s="45" t="s">
        <v>753</v>
      </c>
    </row>
    <row r="206" spans="1:8" ht="15" customHeight="1">
      <c r="A206" s="53">
        <v>46113</v>
      </c>
      <c r="B206" s="54" t="s">
        <v>975</v>
      </c>
      <c r="C206" t="s">
        <v>234</v>
      </c>
      <c r="D206" s="54" t="s">
        <v>976</v>
      </c>
      <c r="E206" s="54" t="s">
        <v>728</v>
      </c>
      <c r="F206" s="37" t="s">
        <v>977</v>
      </c>
      <c r="G206" s="44" t="s">
        <v>748</v>
      </c>
      <c r="H206" s="45" t="s">
        <v>753</v>
      </c>
    </row>
    <row r="207" spans="1:8" ht="15" customHeight="1">
      <c r="A207" s="53">
        <v>46113</v>
      </c>
      <c r="B207" s="54" t="s">
        <v>978</v>
      </c>
      <c r="C207" t="s">
        <v>408</v>
      </c>
      <c r="D207" s="54" t="s">
        <v>979</v>
      </c>
      <c r="E207" s="54" t="s">
        <v>980</v>
      </c>
      <c r="F207" s="37" t="s">
        <v>981</v>
      </c>
      <c r="G207" s="44" t="s">
        <v>748</v>
      </c>
      <c r="H207" s="45" t="s">
        <v>753</v>
      </c>
    </row>
    <row r="208" spans="1:8" ht="15" customHeight="1">
      <c r="A208" s="53">
        <v>46111</v>
      </c>
      <c r="B208" s="54" t="s">
        <v>982</v>
      </c>
      <c r="C208" t="s">
        <v>551</v>
      </c>
      <c r="D208" s="54" t="s">
        <v>983</v>
      </c>
      <c r="E208" s="54" t="s">
        <v>734</v>
      </c>
      <c r="F208" s="37" t="s">
        <v>984</v>
      </c>
      <c r="G208" s="44" t="s">
        <v>748</v>
      </c>
      <c r="H208" s="45" t="s">
        <v>753</v>
      </c>
    </row>
    <row r="209" spans="1:8" ht="15" customHeight="1">
      <c r="A209" s="53">
        <v>46111</v>
      </c>
      <c r="B209" s="54" t="s">
        <v>985</v>
      </c>
      <c r="C209" t="s">
        <v>299</v>
      </c>
      <c r="D209" s="54" t="s">
        <v>986</v>
      </c>
      <c r="E209" s="54" t="s">
        <v>961</v>
      </c>
      <c r="F209" s="37">
        <v>775405.19</v>
      </c>
      <c r="G209" s="44" t="s">
        <v>748</v>
      </c>
      <c r="H209" s="45" t="s">
        <v>753</v>
      </c>
    </row>
    <row r="210" spans="1:8" ht="15" customHeight="1">
      <c r="A210" s="53">
        <v>46106</v>
      </c>
      <c r="B210" s="54" t="s">
        <v>987</v>
      </c>
      <c r="C210" t="s">
        <v>440</v>
      </c>
      <c r="D210" s="54" t="s">
        <v>988</v>
      </c>
      <c r="E210" s="54" t="s">
        <v>734</v>
      </c>
      <c r="F210" s="37" t="s">
        <v>989</v>
      </c>
      <c r="G210" s="44" t="s">
        <v>748</v>
      </c>
      <c r="H210" s="45" t="s">
        <v>753</v>
      </c>
    </row>
    <row r="211" spans="1:8" ht="15" customHeight="1">
      <c r="A211" s="53">
        <v>46106</v>
      </c>
      <c r="B211" s="54" t="s">
        <v>990</v>
      </c>
      <c r="C211" t="s">
        <v>451</v>
      </c>
      <c r="D211" s="54" t="s">
        <v>991</v>
      </c>
      <c r="E211" s="54" t="s">
        <v>765</v>
      </c>
      <c r="F211" s="37"/>
      <c r="G211" s="44"/>
      <c r="H211" s="45" t="s">
        <v>753</v>
      </c>
    </row>
    <row r="212" spans="1:8" ht="15" customHeight="1">
      <c r="A212" s="53">
        <v>46106</v>
      </c>
      <c r="B212" s="54" t="s">
        <v>990</v>
      </c>
      <c r="C212" t="s">
        <v>290</v>
      </c>
      <c r="D212" s="54" t="s">
        <v>991</v>
      </c>
      <c r="E212" s="54" t="s">
        <v>765</v>
      </c>
      <c r="F212" s="37" t="s">
        <v>992</v>
      </c>
      <c r="G212" s="44"/>
      <c r="H212" s="45" t="s">
        <v>753</v>
      </c>
    </row>
    <row r="213" spans="1:8" ht="15" customHeight="1">
      <c r="A213" s="53">
        <v>46106</v>
      </c>
      <c r="B213" s="54" t="s">
        <v>993</v>
      </c>
      <c r="C213" t="s">
        <v>420</v>
      </c>
      <c r="D213" s="54" t="s">
        <v>994</v>
      </c>
      <c r="E213" s="54" t="s">
        <v>765</v>
      </c>
      <c r="F213" s="37"/>
      <c r="G213" s="44"/>
      <c r="H213" s="45" t="s">
        <v>753</v>
      </c>
    </row>
    <row r="214" spans="1:8" ht="15" customHeight="1">
      <c r="A214" s="53">
        <v>46106</v>
      </c>
      <c r="B214" s="54" t="s">
        <v>993</v>
      </c>
      <c r="C214" t="s">
        <v>427</v>
      </c>
      <c r="D214" s="54" t="s">
        <v>994</v>
      </c>
      <c r="E214" s="54" t="s">
        <v>765</v>
      </c>
      <c r="F214" s="37" t="s">
        <v>995</v>
      </c>
      <c r="G214" s="44"/>
      <c r="H214" s="45" t="s">
        <v>753</v>
      </c>
    </row>
    <row r="215" spans="1:8" ht="15" customHeight="1">
      <c r="A215" s="53">
        <v>46105</v>
      </c>
      <c r="B215" s="54" t="s">
        <v>947</v>
      </c>
      <c r="C215" t="s">
        <v>210</v>
      </c>
      <c r="D215" s="54" t="s">
        <v>948</v>
      </c>
      <c r="E215" s="54" t="s">
        <v>727</v>
      </c>
      <c r="F215" s="37" t="s">
        <v>996</v>
      </c>
      <c r="G215" s="44" t="s">
        <v>748</v>
      </c>
      <c r="H215" s="45" t="s">
        <v>753</v>
      </c>
    </row>
    <row r="216" spans="1:8" ht="15" customHeight="1">
      <c r="A216" s="53">
        <v>46105</v>
      </c>
      <c r="B216" s="54" t="s">
        <v>949</v>
      </c>
      <c r="C216" t="s">
        <v>359</v>
      </c>
      <c r="D216" s="54" t="s">
        <v>950</v>
      </c>
      <c r="E216" s="54" t="s">
        <v>997</v>
      </c>
      <c r="F216" s="37" t="s">
        <v>998</v>
      </c>
      <c r="G216" s="44" t="s">
        <v>748</v>
      </c>
      <c r="H216" s="45" t="s">
        <v>753</v>
      </c>
    </row>
    <row r="217" spans="1:8" ht="15" customHeight="1">
      <c r="A217" s="53">
        <v>46105</v>
      </c>
      <c r="B217" s="54" t="s">
        <v>951</v>
      </c>
      <c r="C217" t="s">
        <v>530</v>
      </c>
      <c r="D217" s="54" t="s">
        <v>952</v>
      </c>
      <c r="E217" s="54" t="s">
        <v>734</v>
      </c>
      <c r="F217" s="37" t="s">
        <v>999</v>
      </c>
      <c r="G217" s="44" t="s">
        <v>748</v>
      </c>
      <c r="H217" s="45" t="s">
        <v>753</v>
      </c>
    </row>
    <row r="218" spans="1:8" ht="15" customHeight="1">
      <c r="A218" s="53">
        <v>46105</v>
      </c>
      <c r="B218" s="54" t="s">
        <v>1000</v>
      </c>
      <c r="C218" t="s">
        <v>485</v>
      </c>
      <c r="D218" s="54" t="s">
        <v>1001</v>
      </c>
      <c r="E218" s="54" t="s">
        <v>1002</v>
      </c>
      <c r="F218" s="37" t="s">
        <v>1003</v>
      </c>
      <c r="G218" s="44" t="s">
        <v>748</v>
      </c>
      <c r="H218" s="45" t="s">
        <v>753</v>
      </c>
    </row>
    <row r="219" spans="1:8" ht="15" customHeight="1">
      <c r="A219" s="41">
        <v>46118</v>
      </c>
      <c r="B219" t="s">
        <v>1004</v>
      </c>
      <c r="C219" t="s">
        <v>353</v>
      </c>
      <c r="D219" s="54" t="s">
        <v>1005</v>
      </c>
      <c r="E219" s="54" t="s">
        <v>727</v>
      </c>
      <c r="F219" s="37">
        <v>268361.65999999997</v>
      </c>
      <c r="G219" s="44" t="s">
        <v>748</v>
      </c>
      <c r="H219" s="45" t="s">
        <v>753</v>
      </c>
    </row>
    <row r="220" spans="1:8" ht="15" customHeight="1">
      <c r="A220" s="6">
        <v>46128.519272141202</v>
      </c>
      <c r="B220" t="s">
        <v>1159</v>
      </c>
      <c r="C220" t="s">
        <v>61</v>
      </c>
      <c r="D220" s="54" t="s">
        <v>1167</v>
      </c>
      <c r="E220" s="54" t="s">
        <v>728</v>
      </c>
      <c r="F220" s="37">
        <v>13800.43</v>
      </c>
      <c r="G220" s="44" t="s">
        <v>748</v>
      </c>
      <c r="H220" s="45" t="s">
        <v>753</v>
      </c>
    </row>
    <row r="221" spans="1:8" ht="15" customHeight="1">
      <c r="A221" s="6">
        <v>46128.371488044002</v>
      </c>
      <c r="B221" t="s">
        <v>1160</v>
      </c>
      <c r="C221" t="s">
        <v>41</v>
      </c>
      <c r="D221" s="54" t="s">
        <v>1168</v>
      </c>
      <c r="E221" s="54" t="s">
        <v>728</v>
      </c>
      <c r="F221" s="37">
        <v>178599.96356999999</v>
      </c>
      <c r="G221" s="44" t="s">
        <v>748</v>
      </c>
      <c r="H221" s="45" t="s">
        <v>753</v>
      </c>
    </row>
    <row r="222" spans="1:8" ht="15" customHeight="1">
      <c r="A222" s="6">
        <v>46127.531458333331</v>
      </c>
      <c r="B222" t="s">
        <v>1161</v>
      </c>
      <c r="D222" s="54" t="s">
        <v>1169</v>
      </c>
      <c r="E222" s="54" t="s">
        <v>728</v>
      </c>
      <c r="F222" s="37">
        <v>244999.69899999999</v>
      </c>
      <c r="G222" s="44"/>
      <c r="H222" s="45" t="s">
        <v>753</v>
      </c>
    </row>
    <row r="223" spans="1:8" ht="15" customHeight="1">
      <c r="A223" s="6">
        <v>46122.500261539397</v>
      </c>
      <c r="B223" t="s">
        <v>1162</v>
      </c>
      <c r="C223" t="s">
        <v>608</v>
      </c>
      <c r="D223" s="54" t="s">
        <v>1170</v>
      </c>
      <c r="E223" s="54" t="s">
        <v>728</v>
      </c>
      <c r="F223" s="37">
        <v>9799.65</v>
      </c>
      <c r="G223" s="44" t="s">
        <v>748</v>
      </c>
      <c r="H223" s="45" t="s">
        <v>753</v>
      </c>
    </row>
    <row r="224" spans="1:8" ht="15" customHeight="1">
      <c r="A224" s="6">
        <v>46121.485532835701</v>
      </c>
      <c r="B224" t="s">
        <v>1163</v>
      </c>
      <c r="C224" t="s">
        <v>227</v>
      </c>
      <c r="D224" s="54" t="s">
        <v>1171</v>
      </c>
      <c r="E224" s="54" t="s">
        <v>728</v>
      </c>
      <c r="F224" s="37">
        <v>39400.9</v>
      </c>
      <c r="G224" s="44" t="s">
        <v>748</v>
      </c>
      <c r="H224" s="45" t="s">
        <v>753</v>
      </c>
    </row>
    <row r="225" spans="1:8" ht="15" customHeight="1">
      <c r="A225" s="6">
        <v>46119.461431099502</v>
      </c>
      <c r="B225" t="s">
        <v>1164</v>
      </c>
      <c r="C225" t="s">
        <v>126</v>
      </c>
      <c r="D225" s="54" t="s">
        <v>1172</v>
      </c>
      <c r="E225" s="54" t="s">
        <v>728</v>
      </c>
      <c r="F225" s="37">
        <v>54299.973700000002</v>
      </c>
      <c r="G225" s="44" t="s">
        <v>748</v>
      </c>
      <c r="H225" s="45" t="s">
        <v>753</v>
      </c>
    </row>
    <row r="226" spans="1:8" ht="15" customHeight="1">
      <c r="A226" s="6">
        <v>46119.430838807901</v>
      </c>
      <c r="B226" t="s">
        <v>1165</v>
      </c>
      <c r="D226" s="54" t="s">
        <v>1173</v>
      </c>
      <c r="E226" s="54" t="s">
        <v>728</v>
      </c>
      <c r="F226" s="37">
        <v>61199.938800000004</v>
      </c>
    </row>
    <row r="227" spans="1:8" ht="15" customHeight="1">
      <c r="A227" s="6">
        <v>46118.408281215299</v>
      </c>
      <c r="B227" t="s">
        <v>1166</v>
      </c>
      <c r="C227" t="s">
        <v>520</v>
      </c>
      <c r="D227" s="54" t="s">
        <v>1174</v>
      </c>
      <c r="E227" s="54" t="s">
        <v>728</v>
      </c>
      <c r="F227" s="37">
        <v>24399.973999999998</v>
      </c>
      <c r="G227" t="s">
        <v>748</v>
      </c>
    </row>
    <row r="228" spans="1:8" ht="15" customHeight="1">
      <c r="A228" s="6">
        <v>46128.535379282403</v>
      </c>
      <c r="B228" t="s">
        <v>1175</v>
      </c>
      <c r="C228" t="s">
        <v>128</v>
      </c>
      <c r="D228" s="54" t="s">
        <v>1178</v>
      </c>
      <c r="E228" s="54" t="s">
        <v>727</v>
      </c>
      <c r="F228" s="37">
        <v>223858.04</v>
      </c>
      <c r="G228" t="s">
        <v>748</v>
      </c>
      <c r="H228" t="s">
        <v>753</v>
      </c>
    </row>
    <row r="229" spans="1:8" ht="15" customHeight="1">
      <c r="A229" s="6">
        <v>46119.349964039298</v>
      </c>
      <c r="B229" t="s">
        <v>1176</v>
      </c>
      <c r="C229" t="s">
        <v>65</v>
      </c>
      <c r="D229" s="54" t="s">
        <v>1179</v>
      </c>
      <c r="E229" s="54" t="s">
        <v>727</v>
      </c>
      <c r="F229" s="37">
        <v>147899.15</v>
      </c>
      <c r="G229" t="s">
        <v>748</v>
      </c>
      <c r="H229" t="s">
        <v>753</v>
      </c>
    </row>
    <row r="230" spans="1:8" ht="15" customHeight="1">
      <c r="A230" s="6">
        <v>46118.4804357986</v>
      </c>
      <c r="B230" t="s">
        <v>1177</v>
      </c>
      <c r="C230" t="s">
        <v>314</v>
      </c>
      <c r="D230" s="54" t="s">
        <v>1180</v>
      </c>
      <c r="E230" s="54" t="s">
        <v>727</v>
      </c>
      <c r="F230" s="37">
        <v>634845.96</v>
      </c>
      <c r="G230" t="s">
        <v>748</v>
      </c>
      <c r="H230" t="s">
        <v>753</v>
      </c>
    </row>
    <row r="231" spans="1:8" ht="15" customHeight="1">
      <c r="A231" s="6">
        <v>46118.426777118097</v>
      </c>
      <c r="B231" t="s">
        <v>1004</v>
      </c>
      <c r="C231" t="s">
        <v>353</v>
      </c>
      <c r="D231" s="54" t="s">
        <v>1005</v>
      </c>
      <c r="E231" s="54" t="s">
        <v>727</v>
      </c>
      <c r="F231" s="37">
        <v>268361.65999999997</v>
      </c>
      <c r="G231" t="s">
        <v>748</v>
      </c>
      <c r="H231" t="s">
        <v>753</v>
      </c>
    </row>
    <row r="232" spans="1:8" ht="15" customHeight="1">
      <c r="A232" s="41">
        <v>46118.408281215299</v>
      </c>
      <c r="B232" t="s">
        <v>1166</v>
      </c>
      <c r="C232" t="s">
        <v>501</v>
      </c>
      <c r="D232" s="54" t="s">
        <v>1174</v>
      </c>
      <c r="E232" s="54" t="s">
        <v>728</v>
      </c>
      <c r="F232" s="37">
        <v>24399.973999999998</v>
      </c>
      <c r="G232" t="s">
        <v>748</v>
      </c>
      <c r="H232" t="s">
        <v>753</v>
      </c>
    </row>
    <row r="233" spans="1:8" ht="15" customHeight="1">
      <c r="A233" s="41">
        <v>46118.408281215299</v>
      </c>
      <c r="B233" t="s">
        <v>1166</v>
      </c>
      <c r="C233" t="s">
        <v>506</v>
      </c>
      <c r="D233" s="54" t="s">
        <v>1174</v>
      </c>
      <c r="E233" s="54" t="s">
        <v>728</v>
      </c>
      <c r="F233" s="37">
        <v>24399.973999999998</v>
      </c>
      <c r="G233" t="s">
        <v>748</v>
      </c>
      <c r="H233" t="s">
        <v>753</v>
      </c>
    </row>
    <row r="234" spans="1:8" ht="15" customHeight="1">
      <c r="A234" s="41">
        <v>46118.408281215299</v>
      </c>
      <c r="B234" t="s">
        <v>1166</v>
      </c>
      <c r="C234" t="s">
        <v>508</v>
      </c>
      <c r="D234" s="54" t="s">
        <v>1174</v>
      </c>
      <c r="E234" s="54" t="s">
        <v>728</v>
      </c>
      <c r="F234" s="37">
        <v>24399.973999999998</v>
      </c>
      <c r="G234" t="s">
        <v>748</v>
      </c>
      <c r="H234" t="s">
        <v>753</v>
      </c>
    </row>
    <row r="235" spans="1:8" ht="15" customHeight="1">
      <c r="A235" s="41">
        <v>46118</v>
      </c>
      <c r="B235" t="s">
        <v>1166</v>
      </c>
      <c r="C235" t="s">
        <v>510</v>
      </c>
      <c r="D235" s="54" t="s">
        <v>1174</v>
      </c>
      <c r="E235" s="54" t="s">
        <v>728</v>
      </c>
      <c r="F235" s="37">
        <v>24399.973999999998</v>
      </c>
      <c r="G235" t="s">
        <v>748</v>
      </c>
      <c r="H235" t="s">
        <v>753</v>
      </c>
    </row>
    <row r="236" spans="1:8" ht="15" customHeight="1">
      <c r="A236" s="41">
        <v>46118</v>
      </c>
      <c r="B236" t="s">
        <v>1166</v>
      </c>
      <c r="C236" t="s">
        <v>512</v>
      </c>
      <c r="D236" s="54" t="s">
        <v>1174</v>
      </c>
      <c r="E236" s="54" t="s">
        <v>728</v>
      </c>
      <c r="F236" s="37">
        <v>24399.973999999998</v>
      </c>
      <c r="G236" t="s">
        <v>748</v>
      </c>
      <c r="H236" t="s">
        <v>753</v>
      </c>
    </row>
    <row r="237" spans="1:8" ht="15" customHeight="1">
      <c r="A237" s="41">
        <v>46118</v>
      </c>
      <c r="B237" t="s">
        <v>1166</v>
      </c>
      <c r="C237" t="s">
        <v>514</v>
      </c>
      <c r="D237" s="54" t="s">
        <v>1174</v>
      </c>
      <c r="E237" s="54" t="s">
        <v>728</v>
      </c>
      <c r="F237" s="37">
        <v>24399.973999999998</v>
      </c>
      <c r="G237" t="s">
        <v>748</v>
      </c>
      <c r="H237" t="s">
        <v>753</v>
      </c>
    </row>
    <row r="238" spans="1:8" ht="15" customHeight="1">
      <c r="A238" s="41">
        <v>46118</v>
      </c>
      <c r="B238" t="s">
        <v>1166</v>
      </c>
      <c r="C238" t="s">
        <v>515</v>
      </c>
      <c r="D238" s="54" t="s">
        <v>1174</v>
      </c>
      <c r="E238" s="54" t="s">
        <v>728</v>
      </c>
      <c r="F238" s="37">
        <v>24399.973999999998</v>
      </c>
      <c r="G238" t="s">
        <v>748</v>
      </c>
      <c r="H238" t="s">
        <v>753</v>
      </c>
    </row>
    <row r="239" spans="1:8" ht="15" customHeight="1">
      <c r="A239" s="41">
        <v>46118</v>
      </c>
      <c r="B239" t="s">
        <v>1166</v>
      </c>
      <c r="C239" t="s">
        <v>517</v>
      </c>
      <c r="D239" s="54" t="s">
        <v>1174</v>
      </c>
      <c r="E239" s="54" t="s">
        <v>728</v>
      </c>
      <c r="F239" s="37">
        <v>24399.973999999998</v>
      </c>
      <c r="G239" t="s">
        <v>748</v>
      </c>
      <c r="H239" t="s">
        <v>753</v>
      </c>
    </row>
    <row r="240" spans="1:8" ht="15" customHeight="1">
      <c r="A240" s="41">
        <v>46118</v>
      </c>
      <c r="B240" t="s">
        <v>1166</v>
      </c>
      <c r="C240" t="s">
        <v>518</v>
      </c>
      <c r="D240" s="54" t="s">
        <v>1174</v>
      </c>
      <c r="E240" s="54" t="s">
        <v>728</v>
      </c>
      <c r="F240" s="37">
        <v>24399.973999999998</v>
      </c>
      <c r="G240" t="s">
        <v>748</v>
      </c>
      <c r="H240" t="s">
        <v>753</v>
      </c>
    </row>
    <row r="241" spans="1:8" ht="15" customHeight="1">
      <c r="A241" s="41">
        <v>46127</v>
      </c>
      <c r="B241" t="s">
        <v>1161</v>
      </c>
      <c r="C241" t="s">
        <v>616</v>
      </c>
      <c r="D241" s="54" t="s">
        <v>1169</v>
      </c>
      <c r="E241" s="54" t="s">
        <v>728</v>
      </c>
      <c r="F241" s="37">
        <v>24499.97</v>
      </c>
      <c r="G241" t="s">
        <v>748</v>
      </c>
      <c r="H241" t="s">
        <v>753</v>
      </c>
    </row>
    <row r="242" spans="1:8" ht="15" customHeight="1">
      <c r="A242" s="41">
        <v>46127</v>
      </c>
      <c r="B242" t="s">
        <v>1161</v>
      </c>
      <c r="C242" t="s">
        <v>618</v>
      </c>
      <c r="D242" s="54" t="s">
        <v>1169</v>
      </c>
      <c r="E242" s="54" t="s">
        <v>728</v>
      </c>
      <c r="F242" s="37">
        <v>24499.97</v>
      </c>
      <c r="G242" t="s">
        <v>748</v>
      </c>
      <c r="H242" t="s">
        <v>753</v>
      </c>
    </row>
    <row r="243" spans="1:8" ht="15" customHeight="1">
      <c r="A243" s="41">
        <v>46127</v>
      </c>
      <c r="B243" t="s">
        <v>1161</v>
      </c>
      <c r="C243" t="s">
        <v>620</v>
      </c>
      <c r="D243" s="54" t="s">
        <v>1169</v>
      </c>
      <c r="E243" s="54" t="s">
        <v>728</v>
      </c>
      <c r="F243" s="37">
        <v>24499.97</v>
      </c>
      <c r="G243" t="s">
        <v>748</v>
      </c>
      <c r="H243" t="s">
        <v>753</v>
      </c>
    </row>
    <row r="244" spans="1:8" ht="15" customHeight="1">
      <c r="A244" s="41">
        <v>46127</v>
      </c>
      <c r="B244" t="s">
        <v>1161</v>
      </c>
      <c r="C244" t="s">
        <v>622</v>
      </c>
      <c r="D244" s="54" t="s">
        <v>1169</v>
      </c>
      <c r="E244" s="54" t="s">
        <v>728</v>
      </c>
      <c r="F244" s="37">
        <v>24499.97</v>
      </c>
      <c r="G244" t="s">
        <v>748</v>
      </c>
      <c r="H244" t="s">
        <v>753</v>
      </c>
    </row>
    <row r="245" spans="1:8" ht="15" customHeight="1">
      <c r="A245" s="41">
        <v>46127</v>
      </c>
      <c r="B245" t="s">
        <v>1161</v>
      </c>
      <c r="C245" t="s">
        <v>624</v>
      </c>
      <c r="D245" s="54" t="s">
        <v>1169</v>
      </c>
      <c r="E245" s="54" t="s">
        <v>728</v>
      </c>
      <c r="F245" s="37">
        <v>24499.97</v>
      </c>
      <c r="G245" t="s">
        <v>748</v>
      </c>
      <c r="H245" t="s">
        <v>753</v>
      </c>
    </row>
    <row r="246" spans="1:8" ht="15" customHeight="1">
      <c r="A246" s="41">
        <v>46127</v>
      </c>
      <c r="B246" t="s">
        <v>1161</v>
      </c>
      <c r="C246" t="s">
        <v>626</v>
      </c>
      <c r="D246" s="54" t="s">
        <v>1169</v>
      </c>
      <c r="E246" s="54" t="s">
        <v>728</v>
      </c>
      <c r="F246" s="37">
        <v>24499.97</v>
      </c>
      <c r="G246" t="s">
        <v>748</v>
      </c>
      <c r="H246" t="s">
        <v>753</v>
      </c>
    </row>
    <row r="247" spans="1:8" ht="15" customHeight="1">
      <c r="A247" s="41">
        <v>46127</v>
      </c>
      <c r="B247" t="s">
        <v>1161</v>
      </c>
      <c r="C247" t="s">
        <v>628</v>
      </c>
      <c r="D247" s="54" t="s">
        <v>1169</v>
      </c>
      <c r="E247" s="54" t="s">
        <v>728</v>
      </c>
      <c r="F247" s="37">
        <v>24499.97</v>
      </c>
      <c r="G247" t="s">
        <v>748</v>
      </c>
      <c r="H247" t="s">
        <v>753</v>
      </c>
    </row>
    <row r="248" spans="1:8" ht="15" customHeight="1">
      <c r="A248" s="41">
        <v>46127</v>
      </c>
      <c r="B248" t="s">
        <v>1161</v>
      </c>
      <c r="C248" t="s">
        <v>630</v>
      </c>
      <c r="D248" s="54" t="s">
        <v>1169</v>
      </c>
      <c r="E248" s="54" t="s">
        <v>728</v>
      </c>
      <c r="F248" s="37">
        <v>24499.97</v>
      </c>
      <c r="G248" t="s">
        <v>748</v>
      </c>
      <c r="H248" t="s">
        <v>753</v>
      </c>
    </row>
    <row r="249" spans="1:8" ht="15" customHeight="1">
      <c r="A249" s="41">
        <v>46127</v>
      </c>
      <c r="B249" t="s">
        <v>1161</v>
      </c>
      <c r="C249" t="s">
        <v>632</v>
      </c>
      <c r="D249" s="54" t="s">
        <v>1169</v>
      </c>
      <c r="E249" s="54" t="s">
        <v>728</v>
      </c>
      <c r="F249" s="37">
        <v>24499.97</v>
      </c>
      <c r="G249" t="s">
        <v>748</v>
      </c>
      <c r="H249" t="s">
        <v>753</v>
      </c>
    </row>
    <row r="250" spans="1:8" ht="15" customHeight="1">
      <c r="A250" s="41">
        <v>46127</v>
      </c>
      <c r="B250" t="s">
        <v>1161</v>
      </c>
      <c r="C250" t="s">
        <v>634</v>
      </c>
      <c r="D250" s="54" t="s">
        <v>1169</v>
      </c>
      <c r="E250" s="54" t="s">
        <v>728</v>
      </c>
      <c r="F250" s="37">
        <v>24499.97</v>
      </c>
      <c r="G250" t="s">
        <v>748</v>
      </c>
      <c r="H250" t="s">
        <v>753</v>
      </c>
    </row>
  </sheetData>
  <mergeCells count="1">
    <mergeCell ref="A1:H1"/>
  </mergeCells>
  <phoneticPr fontId="16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7"/>
  <sheetViews>
    <sheetView zoomScaleNormal="100" workbookViewId="0">
      <pane ySplit="3" topLeftCell="A99" activePane="bottomLeft" state="frozen"/>
      <selection pane="bottomLeft" activeCell="H118" sqref="H118"/>
    </sheetView>
  </sheetViews>
  <sheetFormatPr baseColWidth="10" defaultColWidth="9.140625" defaultRowHeight="15" customHeight="1"/>
  <cols>
    <col min="1" max="1" width="10" customWidth="1"/>
    <col min="2" max="2" width="10.7109375" customWidth="1"/>
    <col min="3" max="3" width="11.7109375" customWidth="1"/>
    <col min="4" max="4" width="18.140625" customWidth="1"/>
    <col min="5" max="5" width="22.140625" customWidth="1"/>
    <col min="6" max="6" width="12.42578125" customWidth="1"/>
    <col min="7" max="7" width="47.140625" customWidth="1"/>
    <col min="8" max="8" width="11.7109375" customWidth="1"/>
  </cols>
  <sheetData>
    <row r="1" spans="1:8" ht="18.75" customHeight="1">
      <c r="A1" s="85" t="s">
        <v>1006</v>
      </c>
      <c r="B1" s="85"/>
      <c r="C1" s="85"/>
      <c r="D1" s="85"/>
      <c r="E1" s="85"/>
      <c r="F1" s="85"/>
      <c r="G1" s="85"/>
      <c r="H1" s="85"/>
    </row>
    <row r="3" spans="1:8">
      <c r="A3" s="1" t="s">
        <v>692</v>
      </c>
      <c r="B3" s="1" t="s">
        <v>656</v>
      </c>
      <c r="C3" s="1" t="s">
        <v>1007</v>
      </c>
      <c r="D3" s="1" t="s">
        <v>1008</v>
      </c>
      <c r="E3" s="1" t="s">
        <v>1009</v>
      </c>
      <c r="F3" s="1" t="s">
        <v>1010</v>
      </c>
      <c r="G3" s="1" t="s">
        <v>1011</v>
      </c>
      <c r="H3" s="1" t="s">
        <v>1</v>
      </c>
    </row>
    <row r="4" spans="1:8">
      <c r="A4">
        <v>18005</v>
      </c>
      <c r="B4" s="13">
        <v>46062</v>
      </c>
      <c r="C4" t="s">
        <v>68</v>
      </c>
      <c r="D4" t="s">
        <v>1012</v>
      </c>
      <c r="E4" t="s">
        <v>1013</v>
      </c>
      <c r="F4" t="s">
        <v>36</v>
      </c>
      <c r="G4" t="s">
        <v>1014</v>
      </c>
      <c r="H4" t="s">
        <v>68</v>
      </c>
    </row>
    <row r="5" spans="1:8">
      <c r="A5">
        <v>18053</v>
      </c>
      <c r="B5" s="13">
        <v>46065</v>
      </c>
      <c r="C5" t="s">
        <v>379</v>
      </c>
      <c r="D5" t="s">
        <v>1015</v>
      </c>
      <c r="E5" t="s">
        <v>1016</v>
      </c>
      <c r="F5" t="s">
        <v>39</v>
      </c>
      <c r="H5" t="s">
        <v>379</v>
      </c>
    </row>
    <row r="6" spans="1:8">
      <c r="A6">
        <v>18039</v>
      </c>
      <c r="B6" s="13">
        <v>46071</v>
      </c>
      <c r="C6" t="s">
        <v>495</v>
      </c>
      <c r="D6" t="s">
        <v>1017</v>
      </c>
      <c r="E6" t="s">
        <v>1018</v>
      </c>
      <c r="F6" t="s">
        <v>36</v>
      </c>
      <c r="H6" t="s">
        <v>495</v>
      </c>
    </row>
    <row r="7" spans="1:8">
      <c r="A7">
        <v>18043</v>
      </c>
      <c r="B7" s="13">
        <v>46072</v>
      </c>
      <c r="C7" t="s">
        <v>514</v>
      </c>
      <c r="D7" t="s">
        <v>1017</v>
      </c>
      <c r="E7" t="s">
        <v>313</v>
      </c>
      <c r="F7" t="s">
        <v>36</v>
      </c>
      <c r="H7" t="s">
        <v>514</v>
      </c>
    </row>
    <row r="8" spans="1:8">
      <c r="A8">
        <v>18093</v>
      </c>
      <c r="B8" s="13">
        <v>46072</v>
      </c>
      <c r="C8" t="s">
        <v>514</v>
      </c>
      <c r="D8" t="s">
        <v>1015</v>
      </c>
      <c r="E8" t="s">
        <v>1019</v>
      </c>
      <c r="F8" t="s">
        <v>36</v>
      </c>
      <c r="H8" t="s">
        <v>514</v>
      </c>
    </row>
    <row r="9" spans="1:8">
      <c r="A9">
        <v>18093</v>
      </c>
      <c r="B9" s="13">
        <v>46072</v>
      </c>
      <c r="C9" t="s">
        <v>517</v>
      </c>
      <c r="D9" t="s">
        <v>1015</v>
      </c>
      <c r="E9" t="s">
        <v>1019</v>
      </c>
      <c r="F9" t="s">
        <v>36</v>
      </c>
      <c r="H9" t="s">
        <v>517</v>
      </c>
    </row>
    <row r="10" spans="1:8">
      <c r="A10">
        <v>18206</v>
      </c>
      <c r="B10" s="13">
        <v>46073</v>
      </c>
      <c r="C10" t="s">
        <v>572</v>
      </c>
      <c r="D10" t="s">
        <v>1017</v>
      </c>
      <c r="E10" t="s">
        <v>629</v>
      </c>
      <c r="F10" t="s">
        <v>663</v>
      </c>
      <c r="H10" t="s">
        <v>572</v>
      </c>
    </row>
    <row r="11" spans="1:8">
      <c r="A11">
        <v>18207</v>
      </c>
      <c r="B11" s="13">
        <v>46073</v>
      </c>
      <c r="C11" t="s">
        <v>324</v>
      </c>
      <c r="D11" t="s">
        <v>1017</v>
      </c>
      <c r="E11" t="s">
        <v>629</v>
      </c>
      <c r="F11" t="s">
        <v>663</v>
      </c>
      <c r="H11" t="s">
        <v>324</v>
      </c>
    </row>
    <row r="12" spans="1:8">
      <c r="A12">
        <v>18208</v>
      </c>
      <c r="B12" s="13">
        <v>46073</v>
      </c>
      <c r="C12" t="s">
        <v>330</v>
      </c>
      <c r="D12" t="s">
        <v>1012</v>
      </c>
      <c r="E12" t="s">
        <v>629</v>
      </c>
      <c r="F12" t="s">
        <v>663</v>
      </c>
      <c r="H12" t="s">
        <v>330</v>
      </c>
    </row>
    <row r="13" spans="1:8">
      <c r="A13">
        <v>18049</v>
      </c>
      <c r="B13" s="13">
        <v>46073</v>
      </c>
      <c r="C13" t="s">
        <v>501</v>
      </c>
      <c r="D13" t="s">
        <v>1017</v>
      </c>
      <c r="E13" t="s">
        <v>313</v>
      </c>
      <c r="F13" t="s">
        <v>36</v>
      </c>
      <c r="H13" t="s">
        <v>501</v>
      </c>
    </row>
    <row r="14" spans="1:8">
      <c r="A14">
        <v>18253</v>
      </c>
      <c r="B14" s="13">
        <v>46073</v>
      </c>
      <c r="C14" t="s">
        <v>155</v>
      </c>
      <c r="D14" t="s">
        <v>1020</v>
      </c>
      <c r="E14" t="s">
        <v>313</v>
      </c>
      <c r="F14" t="s">
        <v>36</v>
      </c>
      <c r="G14" t="s">
        <v>1021</v>
      </c>
      <c r="H14" t="s">
        <v>155</v>
      </c>
    </row>
    <row r="15" spans="1:8">
      <c r="A15">
        <v>18225</v>
      </c>
      <c r="B15" s="13">
        <v>46077</v>
      </c>
      <c r="C15" t="s">
        <v>169</v>
      </c>
      <c r="D15" t="s">
        <v>1022</v>
      </c>
      <c r="E15" t="s">
        <v>629</v>
      </c>
      <c r="F15" t="s">
        <v>33</v>
      </c>
      <c r="H15" t="s">
        <v>169</v>
      </c>
    </row>
    <row r="16" spans="1:8">
      <c r="A16">
        <v>18226</v>
      </c>
      <c r="B16" s="13">
        <v>46077</v>
      </c>
      <c r="C16" t="s">
        <v>556</v>
      </c>
      <c r="D16" t="s">
        <v>1015</v>
      </c>
      <c r="E16" t="s">
        <v>1023</v>
      </c>
      <c r="F16" t="s">
        <v>272</v>
      </c>
      <c r="H16" t="s">
        <v>556</v>
      </c>
    </row>
    <row r="17" spans="1:8">
      <c r="A17">
        <v>18230</v>
      </c>
      <c r="B17" s="13">
        <v>46077</v>
      </c>
      <c r="C17" t="s">
        <v>420</v>
      </c>
      <c r="D17" t="s">
        <v>1015</v>
      </c>
      <c r="F17" t="s">
        <v>300</v>
      </c>
      <c r="H17" t="s">
        <v>420</v>
      </c>
    </row>
    <row r="18" spans="1:8">
      <c r="A18">
        <v>18236</v>
      </c>
      <c r="B18" s="13">
        <v>46078</v>
      </c>
      <c r="C18" t="s">
        <v>354</v>
      </c>
      <c r="D18" t="s">
        <v>1017</v>
      </c>
      <c r="E18" t="s">
        <v>1024</v>
      </c>
      <c r="F18" t="s">
        <v>33</v>
      </c>
      <c r="H18" t="s">
        <v>354</v>
      </c>
    </row>
    <row r="19" spans="1:8">
      <c r="A19">
        <v>18236</v>
      </c>
      <c r="B19" s="13">
        <v>46078</v>
      </c>
      <c r="C19" t="s">
        <v>378</v>
      </c>
      <c r="D19" t="s">
        <v>1017</v>
      </c>
      <c r="E19" t="s">
        <v>1024</v>
      </c>
      <c r="F19" t="s">
        <v>33</v>
      </c>
      <c r="H19" t="s">
        <v>378</v>
      </c>
    </row>
    <row r="20" spans="1:8">
      <c r="A20">
        <v>18264</v>
      </c>
      <c r="B20" s="13">
        <v>46078</v>
      </c>
      <c r="C20" t="s">
        <v>510</v>
      </c>
      <c r="D20" t="s">
        <v>1017</v>
      </c>
      <c r="E20" t="s">
        <v>313</v>
      </c>
      <c r="F20" t="s">
        <v>36</v>
      </c>
      <c r="H20" t="s">
        <v>510</v>
      </c>
    </row>
    <row r="21" spans="1:8">
      <c r="A21">
        <v>18246</v>
      </c>
      <c r="B21" s="13">
        <v>46079</v>
      </c>
      <c r="C21" t="s">
        <v>365</v>
      </c>
      <c r="D21" t="s">
        <v>1017</v>
      </c>
      <c r="E21" t="s">
        <v>1019</v>
      </c>
      <c r="F21" t="s">
        <v>666</v>
      </c>
      <c r="H21" t="s">
        <v>365</v>
      </c>
    </row>
    <row r="22" spans="1:8">
      <c r="A22">
        <v>18302</v>
      </c>
      <c r="B22" s="13">
        <v>46080</v>
      </c>
      <c r="C22" t="s">
        <v>93</v>
      </c>
      <c r="D22" t="s">
        <v>1015</v>
      </c>
      <c r="E22" t="s">
        <v>1019</v>
      </c>
      <c r="F22" t="s">
        <v>300</v>
      </c>
      <c r="H22" t="s">
        <v>93</v>
      </c>
    </row>
    <row r="23" spans="1:8">
      <c r="A23">
        <v>18304</v>
      </c>
      <c r="B23" s="13">
        <v>46080</v>
      </c>
      <c r="C23" t="s">
        <v>89</v>
      </c>
      <c r="D23" t="s">
        <v>1015</v>
      </c>
      <c r="F23" t="s">
        <v>272</v>
      </c>
      <c r="H23" t="s">
        <v>89</v>
      </c>
    </row>
    <row r="24" spans="1:8">
      <c r="A24">
        <v>18304</v>
      </c>
      <c r="B24" s="13">
        <v>46080</v>
      </c>
      <c r="C24" t="s">
        <v>86</v>
      </c>
      <c r="D24" t="s">
        <v>1015</v>
      </c>
      <c r="F24" t="s">
        <v>272</v>
      </c>
      <c r="H24" t="s">
        <v>86</v>
      </c>
    </row>
    <row r="25" spans="1:8">
      <c r="A25">
        <v>18305</v>
      </c>
      <c r="B25" s="13">
        <v>46080</v>
      </c>
      <c r="C25" t="s">
        <v>443</v>
      </c>
      <c r="D25" t="s">
        <v>1015</v>
      </c>
      <c r="F25" t="s">
        <v>272</v>
      </c>
      <c r="H25" t="s">
        <v>443</v>
      </c>
    </row>
    <row r="26" spans="1:8">
      <c r="A26">
        <v>18306</v>
      </c>
      <c r="B26" s="13">
        <v>46080</v>
      </c>
      <c r="C26" t="s">
        <v>138</v>
      </c>
      <c r="D26" t="s">
        <v>1015</v>
      </c>
      <c r="F26" t="s">
        <v>272</v>
      </c>
      <c r="H26" t="s">
        <v>138</v>
      </c>
    </row>
    <row r="27" spans="1:8">
      <c r="A27">
        <v>18307</v>
      </c>
      <c r="B27" s="13">
        <v>46080</v>
      </c>
      <c r="C27" t="s">
        <v>305</v>
      </c>
      <c r="D27" t="s">
        <v>1015</v>
      </c>
      <c r="F27" t="s">
        <v>272</v>
      </c>
      <c r="H27" t="s">
        <v>305</v>
      </c>
    </row>
    <row r="28" spans="1:8">
      <c r="A28">
        <v>18308</v>
      </c>
      <c r="B28" s="13">
        <v>46080</v>
      </c>
      <c r="C28" t="s">
        <v>447</v>
      </c>
      <c r="D28" t="s">
        <v>1012</v>
      </c>
      <c r="F28" t="s">
        <v>300</v>
      </c>
      <c r="G28" t="s">
        <v>1025</v>
      </c>
      <c r="H28" t="s">
        <v>447</v>
      </c>
    </row>
    <row r="29" spans="1:8">
      <c r="A29">
        <v>18310</v>
      </c>
      <c r="B29" s="13">
        <v>46080</v>
      </c>
      <c r="C29" t="s">
        <v>520</v>
      </c>
      <c r="D29" t="s">
        <v>1015</v>
      </c>
      <c r="F29" t="s">
        <v>272</v>
      </c>
      <c r="H29" t="s">
        <v>520</v>
      </c>
    </row>
    <row r="30" spans="1:8">
      <c r="A30">
        <v>18276</v>
      </c>
      <c r="B30" s="13">
        <v>46080</v>
      </c>
      <c r="C30" t="s">
        <v>97</v>
      </c>
      <c r="D30" t="s">
        <v>1012</v>
      </c>
      <c r="E30" t="s">
        <v>1026</v>
      </c>
      <c r="G30" t="s">
        <v>1027</v>
      </c>
      <c r="H30" t="s">
        <v>97</v>
      </c>
    </row>
    <row r="31" spans="1:8">
      <c r="A31">
        <v>18280</v>
      </c>
      <c r="B31" s="13">
        <v>46083</v>
      </c>
      <c r="C31" t="s">
        <v>346</v>
      </c>
      <c r="D31" t="s">
        <v>1017</v>
      </c>
      <c r="F31" t="s">
        <v>33</v>
      </c>
      <c r="H31" t="s">
        <v>346</v>
      </c>
    </row>
    <row r="32" spans="1:8">
      <c r="A32">
        <v>18284</v>
      </c>
      <c r="B32" s="13">
        <v>46083</v>
      </c>
      <c r="C32" t="s">
        <v>449</v>
      </c>
      <c r="D32" t="s">
        <v>1015</v>
      </c>
      <c r="E32" t="s">
        <v>1028</v>
      </c>
      <c r="F32" t="s">
        <v>84</v>
      </c>
      <c r="H32" t="s">
        <v>449</v>
      </c>
    </row>
    <row r="33" spans="1:8">
      <c r="A33">
        <v>18288</v>
      </c>
      <c r="B33" s="13">
        <v>46083</v>
      </c>
      <c r="C33" t="s">
        <v>443</v>
      </c>
      <c r="D33" t="s">
        <v>1017</v>
      </c>
      <c r="F33" t="s">
        <v>33</v>
      </c>
      <c r="H33" t="s">
        <v>443</v>
      </c>
    </row>
    <row r="34" spans="1:8">
      <c r="A34">
        <v>18289</v>
      </c>
      <c r="B34" s="13">
        <v>46083</v>
      </c>
      <c r="C34" t="s">
        <v>455</v>
      </c>
      <c r="D34" t="s">
        <v>1020</v>
      </c>
      <c r="E34" t="s">
        <v>487</v>
      </c>
      <c r="F34" t="s">
        <v>663</v>
      </c>
      <c r="H34" t="s">
        <v>455</v>
      </c>
    </row>
    <row r="35" spans="1:8">
      <c r="A35">
        <v>18322</v>
      </c>
      <c r="B35" s="13">
        <v>46084</v>
      </c>
      <c r="C35" t="s">
        <v>38</v>
      </c>
      <c r="D35" t="s">
        <v>1012</v>
      </c>
      <c r="E35" t="s">
        <v>313</v>
      </c>
      <c r="F35" t="s">
        <v>36</v>
      </c>
      <c r="G35" t="s">
        <v>1029</v>
      </c>
      <c r="H35" t="s">
        <v>38</v>
      </c>
    </row>
    <row r="36" spans="1:8">
      <c r="A36">
        <v>18332</v>
      </c>
      <c r="B36" s="13">
        <v>46085</v>
      </c>
      <c r="C36" t="s">
        <v>165</v>
      </c>
      <c r="D36" t="s">
        <v>1015</v>
      </c>
      <c r="E36" t="s">
        <v>1019</v>
      </c>
      <c r="F36" t="s">
        <v>300</v>
      </c>
      <c r="H36" t="s">
        <v>165</v>
      </c>
    </row>
    <row r="37" spans="1:8">
      <c r="A37">
        <v>18332</v>
      </c>
      <c r="B37" s="13">
        <v>46085</v>
      </c>
      <c r="C37" t="s">
        <v>496</v>
      </c>
      <c r="D37" t="s">
        <v>1015</v>
      </c>
      <c r="E37" t="s">
        <v>1019</v>
      </c>
      <c r="F37" t="s">
        <v>300</v>
      </c>
      <c r="H37" t="s">
        <v>496</v>
      </c>
    </row>
    <row r="38" spans="1:8">
      <c r="A38">
        <v>18337</v>
      </c>
      <c r="B38" s="13">
        <v>46085</v>
      </c>
      <c r="C38" t="s">
        <v>321</v>
      </c>
      <c r="D38" t="s">
        <v>1017</v>
      </c>
      <c r="E38" t="s">
        <v>1030</v>
      </c>
      <c r="F38" t="s">
        <v>531</v>
      </c>
      <c r="H38" t="s">
        <v>321</v>
      </c>
    </row>
    <row r="39" spans="1:8">
      <c r="A39">
        <v>18341</v>
      </c>
      <c r="B39" s="13">
        <v>46085</v>
      </c>
      <c r="C39" t="s">
        <v>301</v>
      </c>
      <c r="D39" t="s">
        <v>1015</v>
      </c>
      <c r="F39" t="s">
        <v>84</v>
      </c>
      <c r="H39" t="s">
        <v>301</v>
      </c>
    </row>
    <row r="40" spans="1:8">
      <c r="A40">
        <v>18360</v>
      </c>
      <c r="B40" s="13">
        <v>46087</v>
      </c>
      <c r="C40" t="s">
        <v>301</v>
      </c>
      <c r="D40" t="s">
        <v>1031</v>
      </c>
      <c r="E40" t="s">
        <v>1030</v>
      </c>
      <c r="F40" t="s">
        <v>84</v>
      </c>
      <c r="H40" t="s">
        <v>301</v>
      </c>
    </row>
    <row r="41" spans="1:8">
      <c r="A41">
        <v>18360</v>
      </c>
      <c r="B41" s="13">
        <v>46087</v>
      </c>
      <c r="C41" t="s">
        <v>515</v>
      </c>
      <c r="D41" t="s">
        <v>1015</v>
      </c>
      <c r="E41" t="s">
        <v>1030</v>
      </c>
      <c r="F41" t="s">
        <v>84</v>
      </c>
      <c r="H41" t="s">
        <v>515</v>
      </c>
    </row>
    <row r="42" spans="1:8">
      <c r="A42">
        <v>18361</v>
      </c>
      <c r="B42" s="13">
        <v>46087</v>
      </c>
      <c r="C42" t="s">
        <v>465</v>
      </c>
      <c r="D42" t="s">
        <v>1015</v>
      </c>
      <c r="E42" t="s">
        <v>1018</v>
      </c>
      <c r="H42" t="s">
        <v>465</v>
      </c>
    </row>
    <row r="43" spans="1:8">
      <c r="A43">
        <v>18408</v>
      </c>
      <c r="B43" s="13">
        <v>46087</v>
      </c>
      <c r="C43" t="s">
        <v>159</v>
      </c>
      <c r="D43" t="s">
        <v>1015</v>
      </c>
      <c r="E43" t="s">
        <v>629</v>
      </c>
      <c r="F43" t="s">
        <v>33</v>
      </c>
      <c r="H43" t="s">
        <v>159</v>
      </c>
    </row>
    <row r="44" spans="1:8">
      <c r="A44">
        <v>18409</v>
      </c>
      <c r="B44" s="13">
        <v>46087</v>
      </c>
      <c r="C44" t="s">
        <v>364</v>
      </c>
      <c r="D44" t="s">
        <v>1015</v>
      </c>
      <c r="E44" t="s">
        <v>629</v>
      </c>
      <c r="F44" t="s">
        <v>33</v>
      </c>
      <c r="H44" t="s">
        <v>364</v>
      </c>
    </row>
    <row r="45" spans="1:8">
      <c r="A45">
        <v>18409</v>
      </c>
      <c r="B45" s="13">
        <v>46087</v>
      </c>
      <c r="C45" t="s">
        <v>499</v>
      </c>
      <c r="D45" t="s">
        <v>1015</v>
      </c>
      <c r="E45" t="s">
        <v>629</v>
      </c>
      <c r="F45" t="s">
        <v>33</v>
      </c>
      <c r="H45" t="s">
        <v>499</v>
      </c>
    </row>
    <row r="46" spans="1:8">
      <c r="A46">
        <v>18410</v>
      </c>
      <c r="B46" s="13">
        <v>46087</v>
      </c>
      <c r="C46" t="s">
        <v>295</v>
      </c>
      <c r="D46" t="s">
        <v>1015</v>
      </c>
      <c r="E46" t="s">
        <v>629</v>
      </c>
      <c r="F46" t="s">
        <v>33</v>
      </c>
      <c r="H46" t="s">
        <v>295</v>
      </c>
    </row>
    <row r="47" spans="1:8">
      <c r="A47">
        <v>18411</v>
      </c>
      <c r="B47" s="13">
        <v>46087</v>
      </c>
      <c r="C47" t="s">
        <v>121</v>
      </c>
      <c r="D47" t="s">
        <v>1015</v>
      </c>
      <c r="E47" t="s">
        <v>629</v>
      </c>
      <c r="F47" t="s">
        <v>33</v>
      </c>
      <c r="H47" t="s">
        <v>121</v>
      </c>
    </row>
    <row r="48" spans="1:8">
      <c r="A48">
        <v>18418</v>
      </c>
      <c r="B48" s="13">
        <v>46090</v>
      </c>
      <c r="C48" t="s">
        <v>138</v>
      </c>
      <c r="D48" t="s">
        <v>1012</v>
      </c>
      <c r="E48" t="s">
        <v>1032</v>
      </c>
      <c r="F48" t="s">
        <v>272</v>
      </c>
      <c r="G48" t="s">
        <v>1033</v>
      </c>
      <c r="H48" t="s">
        <v>138</v>
      </c>
    </row>
    <row r="49" spans="1:8">
      <c r="A49">
        <v>18430</v>
      </c>
      <c r="B49" s="13">
        <v>46090</v>
      </c>
      <c r="C49" t="s">
        <v>393</v>
      </c>
      <c r="D49" t="s">
        <v>1012</v>
      </c>
      <c r="E49" t="s">
        <v>1034</v>
      </c>
      <c r="F49" t="s">
        <v>113</v>
      </c>
      <c r="G49" t="s">
        <v>1035</v>
      </c>
      <c r="H49" t="s">
        <v>393</v>
      </c>
    </row>
    <row r="50" spans="1:8">
      <c r="A50">
        <v>18438</v>
      </c>
      <c r="B50" s="13">
        <v>46090</v>
      </c>
      <c r="C50" t="s">
        <v>396</v>
      </c>
      <c r="D50" t="s">
        <v>1015</v>
      </c>
      <c r="E50" t="s">
        <v>313</v>
      </c>
      <c r="F50" t="s">
        <v>663</v>
      </c>
      <c r="H50" t="s">
        <v>396</v>
      </c>
    </row>
    <row r="51" spans="1:8">
      <c r="A51">
        <v>18265</v>
      </c>
      <c r="B51" s="14">
        <v>46086</v>
      </c>
      <c r="C51" t="s">
        <v>171</v>
      </c>
      <c r="D51" t="s">
        <v>1015</v>
      </c>
      <c r="E51" t="s">
        <v>80</v>
      </c>
      <c r="F51" t="s">
        <v>300</v>
      </c>
      <c r="H51" t="s">
        <v>171</v>
      </c>
    </row>
    <row r="52" spans="1:8">
      <c r="A52">
        <v>18390</v>
      </c>
      <c r="B52" s="41">
        <v>46097</v>
      </c>
      <c r="C52" t="s">
        <v>175</v>
      </c>
      <c r="D52" t="s">
        <v>1015</v>
      </c>
      <c r="E52" t="s">
        <v>1036</v>
      </c>
      <c r="F52" t="s">
        <v>33</v>
      </c>
      <c r="H52" t="s">
        <v>175</v>
      </c>
    </row>
    <row r="53" spans="1:8">
      <c r="A53">
        <v>18390</v>
      </c>
      <c r="B53" s="41">
        <v>46097</v>
      </c>
      <c r="C53" t="s">
        <v>182</v>
      </c>
      <c r="D53" t="s">
        <v>1015</v>
      </c>
      <c r="E53" t="s">
        <v>1036</v>
      </c>
      <c r="F53" t="s">
        <v>33</v>
      </c>
      <c r="H53" t="s">
        <v>182</v>
      </c>
    </row>
    <row r="54" spans="1:8">
      <c r="A54">
        <v>18389</v>
      </c>
      <c r="B54" s="41">
        <v>46097</v>
      </c>
      <c r="C54" t="s">
        <v>190</v>
      </c>
      <c r="D54" t="s">
        <v>1015</v>
      </c>
      <c r="E54" t="s">
        <v>1036</v>
      </c>
      <c r="F54" t="s">
        <v>33</v>
      </c>
      <c r="H54" t="s">
        <v>190</v>
      </c>
    </row>
    <row r="55" spans="1:8">
      <c r="A55">
        <v>18389</v>
      </c>
      <c r="B55" s="41">
        <v>46097</v>
      </c>
      <c r="C55" t="s">
        <v>185</v>
      </c>
      <c r="D55" t="s">
        <v>1015</v>
      </c>
      <c r="E55" t="s">
        <v>1036</v>
      </c>
      <c r="F55" t="s">
        <v>33</v>
      </c>
      <c r="H55" t="s">
        <v>185</v>
      </c>
    </row>
    <row r="56" spans="1:8">
      <c r="A56">
        <v>18387</v>
      </c>
      <c r="B56" s="41">
        <v>46097</v>
      </c>
      <c r="C56" t="s">
        <v>414</v>
      </c>
      <c r="D56" t="s">
        <v>1015</v>
      </c>
      <c r="E56" t="s">
        <v>1036</v>
      </c>
      <c r="F56" t="s">
        <v>33</v>
      </c>
      <c r="H56" t="s">
        <v>414</v>
      </c>
    </row>
    <row r="57" spans="1:8">
      <c r="A57">
        <v>18386</v>
      </c>
      <c r="B57" s="41">
        <v>46097</v>
      </c>
      <c r="C57" t="s">
        <v>378</v>
      </c>
      <c r="D57" t="s">
        <v>1015</v>
      </c>
      <c r="E57" t="s">
        <v>1036</v>
      </c>
      <c r="F57" t="s">
        <v>33</v>
      </c>
      <c r="H57" t="s">
        <v>378</v>
      </c>
    </row>
    <row r="58" spans="1:8">
      <c r="A58">
        <v>18384</v>
      </c>
      <c r="B58" s="41">
        <v>46094</v>
      </c>
      <c r="C58" t="s">
        <v>359</v>
      </c>
      <c r="D58" t="s">
        <v>1015</v>
      </c>
      <c r="E58" t="s">
        <v>1037</v>
      </c>
      <c r="F58" t="s">
        <v>84</v>
      </c>
      <c r="H58" t="s">
        <v>359</v>
      </c>
    </row>
    <row r="59" spans="1:8">
      <c r="A59">
        <v>18457</v>
      </c>
      <c r="B59" s="41">
        <v>46093</v>
      </c>
      <c r="C59" t="s">
        <v>431</v>
      </c>
      <c r="D59" t="s">
        <v>1015</v>
      </c>
      <c r="E59" t="s">
        <v>1019</v>
      </c>
      <c r="F59" t="s">
        <v>300</v>
      </c>
      <c r="H59" t="s">
        <v>431</v>
      </c>
    </row>
    <row r="60" spans="1:8">
      <c r="A60">
        <v>18458</v>
      </c>
      <c r="B60" s="41">
        <v>46093</v>
      </c>
      <c r="C60" t="s">
        <v>273</v>
      </c>
      <c r="D60" t="s">
        <v>1015</v>
      </c>
      <c r="E60" t="s">
        <v>1019</v>
      </c>
      <c r="F60" t="s">
        <v>300</v>
      </c>
      <c r="H60" t="s">
        <v>273</v>
      </c>
    </row>
    <row r="61" spans="1:8">
      <c r="A61">
        <v>18466</v>
      </c>
      <c r="B61" s="41">
        <v>46093</v>
      </c>
      <c r="C61" t="s">
        <v>254</v>
      </c>
      <c r="D61" t="s">
        <v>1015</v>
      </c>
      <c r="E61" t="s">
        <v>1038</v>
      </c>
      <c r="F61" t="s">
        <v>39</v>
      </c>
      <c r="H61" t="s">
        <v>665</v>
      </c>
    </row>
    <row r="62" spans="1:8">
      <c r="A62">
        <v>18398</v>
      </c>
      <c r="B62" s="41">
        <v>46099</v>
      </c>
      <c r="C62" t="s">
        <v>512</v>
      </c>
      <c r="D62" t="s">
        <v>1015</v>
      </c>
      <c r="E62" t="s">
        <v>1030</v>
      </c>
      <c r="F62" t="s">
        <v>36</v>
      </c>
      <c r="H62" t="s">
        <v>512</v>
      </c>
    </row>
    <row r="63" spans="1:8">
      <c r="A63">
        <v>18397</v>
      </c>
      <c r="B63" s="41">
        <v>46099</v>
      </c>
      <c r="C63" t="s">
        <v>518</v>
      </c>
      <c r="D63" t="s">
        <v>1015</v>
      </c>
      <c r="E63" t="s">
        <v>1039</v>
      </c>
      <c r="F63" t="s">
        <v>36</v>
      </c>
      <c r="H63" t="s">
        <v>518</v>
      </c>
    </row>
    <row r="64" spans="1:8">
      <c r="A64">
        <v>18400</v>
      </c>
      <c r="B64" s="41">
        <v>46104</v>
      </c>
      <c r="C64" t="s">
        <v>1040</v>
      </c>
      <c r="D64" t="s">
        <v>1015</v>
      </c>
      <c r="E64" t="s">
        <v>1030</v>
      </c>
      <c r="F64" t="s">
        <v>36</v>
      </c>
      <c r="H64" t="s">
        <v>1040</v>
      </c>
    </row>
    <row r="65" spans="1:8" ht="15" customHeight="1">
      <c r="B65" s="41">
        <v>46105</v>
      </c>
      <c r="C65" t="s">
        <v>306</v>
      </c>
      <c r="D65" t="s">
        <v>1015</v>
      </c>
      <c r="E65" t="s">
        <v>1041</v>
      </c>
      <c r="F65" t="s">
        <v>667</v>
      </c>
      <c r="H65" t="s">
        <v>306</v>
      </c>
    </row>
    <row r="66" spans="1:8" ht="15" customHeight="1">
      <c r="B66" s="41">
        <v>46105</v>
      </c>
      <c r="C66" t="s">
        <v>339</v>
      </c>
      <c r="D66" t="s">
        <v>1015</v>
      </c>
      <c r="E66" t="s">
        <v>1041</v>
      </c>
      <c r="F66" t="s">
        <v>84</v>
      </c>
      <c r="H66" t="s">
        <v>339</v>
      </c>
    </row>
    <row r="67" spans="1:8" ht="15" customHeight="1">
      <c r="B67" s="41">
        <v>46105</v>
      </c>
      <c r="C67" t="s">
        <v>316</v>
      </c>
      <c r="D67" t="s">
        <v>1015</v>
      </c>
      <c r="E67" t="s">
        <v>1041</v>
      </c>
      <c r="F67" t="s">
        <v>531</v>
      </c>
      <c r="H67" t="s">
        <v>316</v>
      </c>
    </row>
    <row r="68" spans="1:8" ht="15" customHeight="1">
      <c r="B68" s="41">
        <v>46105</v>
      </c>
      <c r="C68" t="s">
        <v>234</v>
      </c>
      <c r="D68" t="s">
        <v>1015</v>
      </c>
      <c r="E68" t="s">
        <v>1016</v>
      </c>
      <c r="F68" t="s">
        <v>33</v>
      </c>
      <c r="H68" t="s">
        <v>234</v>
      </c>
    </row>
    <row r="69" spans="1:8" ht="15" customHeight="1">
      <c r="B69" s="41">
        <v>46105</v>
      </c>
      <c r="C69" t="s">
        <v>249</v>
      </c>
      <c r="D69" t="s">
        <v>1015</v>
      </c>
      <c r="E69" t="s">
        <v>1016</v>
      </c>
      <c r="F69" t="s">
        <v>33</v>
      </c>
      <c r="H69" t="s">
        <v>249</v>
      </c>
    </row>
    <row r="70" spans="1:8" ht="15" customHeight="1">
      <c r="B70" s="41">
        <v>46105</v>
      </c>
      <c r="C70" t="s">
        <v>32</v>
      </c>
      <c r="D70" t="s">
        <v>1015</v>
      </c>
      <c r="E70" t="s">
        <v>1016</v>
      </c>
      <c r="F70" t="s">
        <v>33</v>
      </c>
      <c r="H70" t="s">
        <v>32</v>
      </c>
    </row>
    <row r="71" spans="1:8" ht="15" customHeight="1">
      <c r="B71" s="41">
        <v>46105</v>
      </c>
      <c r="C71" t="s">
        <v>173</v>
      </c>
      <c r="D71" t="s">
        <v>1015</v>
      </c>
      <c r="E71" t="s">
        <v>1016</v>
      </c>
      <c r="F71" t="s">
        <v>33</v>
      </c>
      <c r="H71" t="s">
        <v>173</v>
      </c>
    </row>
    <row r="72" spans="1:8" ht="15" customHeight="1">
      <c r="B72" s="41">
        <v>46104</v>
      </c>
      <c r="C72" t="s">
        <v>207</v>
      </c>
      <c r="D72" t="s">
        <v>1015</v>
      </c>
      <c r="E72" t="s">
        <v>487</v>
      </c>
      <c r="F72" t="s">
        <v>33</v>
      </c>
      <c r="H72" t="s">
        <v>207</v>
      </c>
    </row>
    <row r="73" spans="1:8" ht="15" customHeight="1">
      <c r="B73" s="41">
        <v>46118</v>
      </c>
      <c r="C73" t="s">
        <v>469</v>
      </c>
      <c r="D73" t="s">
        <v>1015</v>
      </c>
      <c r="F73" t="s">
        <v>36</v>
      </c>
      <c r="H73" t="s">
        <v>469</v>
      </c>
    </row>
    <row r="74" spans="1:8" ht="15" customHeight="1">
      <c r="B74" s="41">
        <v>46118</v>
      </c>
      <c r="C74" t="s">
        <v>574</v>
      </c>
      <c r="D74" t="s">
        <v>1015</v>
      </c>
      <c r="F74" t="s">
        <v>36</v>
      </c>
      <c r="H74" t="s">
        <v>574</v>
      </c>
    </row>
    <row r="75" spans="1:8" ht="15" customHeight="1">
      <c r="B75" s="41">
        <v>46118</v>
      </c>
      <c r="C75" t="s">
        <v>598</v>
      </c>
      <c r="D75" t="s">
        <v>1015</v>
      </c>
      <c r="F75" t="s">
        <v>36</v>
      </c>
      <c r="H75" t="s">
        <v>598</v>
      </c>
    </row>
    <row r="76" spans="1:8" ht="15" customHeight="1">
      <c r="B76" s="41">
        <v>46118</v>
      </c>
      <c r="C76" t="s">
        <v>508</v>
      </c>
      <c r="D76" t="s">
        <v>1015</v>
      </c>
      <c r="F76" t="s">
        <v>36</v>
      </c>
      <c r="H76" t="s">
        <v>508</v>
      </c>
    </row>
    <row r="77" spans="1:8" ht="15" customHeight="1">
      <c r="B77" s="41">
        <v>46118</v>
      </c>
      <c r="C77" t="s">
        <v>624</v>
      </c>
      <c r="D77" t="s">
        <v>1015</v>
      </c>
      <c r="F77" t="s">
        <v>36</v>
      </c>
      <c r="H77" t="s">
        <v>624</v>
      </c>
    </row>
    <row r="78" spans="1:8" ht="15" customHeight="1">
      <c r="B78" s="41">
        <v>46119</v>
      </c>
      <c r="C78" t="s">
        <v>614</v>
      </c>
      <c r="D78" t="s">
        <v>1015</v>
      </c>
      <c r="F78" t="s">
        <v>667</v>
      </c>
      <c r="H78" t="s">
        <v>614</v>
      </c>
    </row>
    <row r="79" spans="1:8" ht="15" customHeight="1">
      <c r="A79">
        <v>18560</v>
      </c>
      <c r="B79" s="41">
        <v>46106</v>
      </c>
      <c r="C79" t="s">
        <v>1155</v>
      </c>
      <c r="D79" t="s">
        <v>1015</v>
      </c>
      <c r="F79" t="s">
        <v>36</v>
      </c>
      <c r="H79" t="s">
        <v>1155</v>
      </c>
    </row>
    <row r="80" spans="1:8" ht="15" customHeight="1">
      <c r="A80">
        <v>18561</v>
      </c>
      <c r="B80" s="41">
        <v>46106</v>
      </c>
      <c r="C80" t="s">
        <v>384</v>
      </c>
      <c r="D80" t="s">
        <v>1015</v>
      </c>
      <c r="F80" t="s">
        <v>1156</v>
      </c>
      <c r="H80" t="s">
        <v>384</v>
      </c>
    </row>
    <row r="81" spans="1:8" ht="15" customHeight="1">
      <c r="A81">
        <v>18570</v>
      </c>
      <c r="B81" s="41">
        <v>46111</v>
      </c>
      <c r="C81" t="s">
        <v>386</v>
      </c>
      <c r="D81" t="s">
        <v>1015</v>
      </c>
      <c r="E81" t="s">
        <v>1037</v>
      </c>
      <c r="F81" t="s">
        <v>1156</v>
      </c>
      <c r="H81" t="s">
        <v>386</v>
      </c>
    </row>
    <row r="82" spans="1:8" ht="15" customHeight="1">
      <c r="A82">
        <v>18585</v>
      </c>
      <c r="B82" s="41">
        <v>46118</v>
      </c>
      <c r="C82" t="s">
        <v>594</v>
      </c>
      <c r="D82" t="s">
        <v>1015</v>
      </c>
      <c r="E82" t="s">
        <v>1030</v>
      </c>
      <c r="F82" t="s">
        <v>1156</v>
      </c>
      <c r="H82" t="s">
        <v>594</v>
      </c>
    </row>
    <row r="83" spans="1:8" ht="15" customHeight="1">
      <c r="A83">
        <v>18589</v>
      </c>
      <c r="B83" s="41">
        <v>46119</v>
      </c>
      <c r="C83" t="s">
        <v>501</v>
      </c>
      <c r="D83" t="s">
        <v>1015</v>
      </c>
      <c r="E83" t="s">
        <v>1157</v>
      </c>
      <c r="F83" t="s">
        <v>1156</v>
      </c>
      <c r="H83" t="s">
        <v>501</v>
      </c>
    </row>
    <row r="84" spans="1:8" ht="15" customHeight="1">
      <c r="A84">
        <v>18592</v>
      </c>
      <c r="B84" s="41">
        <v>46125</v>
      </c>
      <c r="C84" t="s">
        <v>620</v>
      </c>
      <c r="D84" t="s">
        <v>1015</v>
      </c>
      <c r="F84" t="s">
        <v>1156</v>
      </c>
      <c r="H84" t="s">
        <v>620</v>
      </c>
    </row>
    <row r="85" spans="1:8" ht="15" customHeight="1">
      <c r="A85">
        <v>18908</v>
      </c>
      <c r="B85" s="41">
        <v>46126</v>
      </c>
      <c r="C85" t="s">
        <v>624</v>
      </c>
      <c r="D85" t="s">
        <v>1015</v>
      </c>
      <c r="E85" t="s">
        <v>1158</v>
      </c>
      <c r="F85" t="s">
        <v>1156</v>
      </c>
      <c r="H85" t="s">
        <v>624</v>
      </c>
    </row>
    <row r="86" spans="1:8" ht="15" customHeight="1">
      <c r="A86">
        <v>18912</v>
      </c>
      <c r="B86" s="41">
        <v>46126</v>
      </c>
      <c r="C86" t="s">
        <v>495</v>
      </c>
      <c r="D86" t="s">
        <v>1015</v>
      </c>
      <c r="E86" t="s">
        <v>1018</v>
      </c>
      <c r="F86" t="s">
        <v>1156</v>
      </c>
      <c r="H86" t="s">
        <v>495</v>
      </c>
    </row>
    <row r="87" spans="1:8" ht="15" customHeight="1">
      <c r="A87">
        <v>18943</v>
      </c>
      <c r="B87" s="41">
        <v>46129</v>
      </c>
      <c r="C87" t="s">
        <v>593</v>
      </c>
      <c r="D87" t="s">
        <v>1015</v>
      </c>
      <c r="E87" t="s">
        <v>1030</v>
      </c>
      <c r="F87" t="s">
        <v>1156</v>
      </c>
      <c r="H87" t="s">
        <v>593</v>
      </c>
    </row>
    <row r="88" spans="1:8" ht="15" customHeight="1">
      <c r="A88">
        <v>18945</v>
      </c>
      <c r="B88" s="41">
        <v>46129</v>
      </c>
      <c r="C88" t="s">
        <v>106</v>
      </c>
      <c r="D88" t="s">
        <v>1015</v>
      </c>
      <c r="E88" t="s">
        <v>1037</v>
      </c>
      <c r="F88" t="s">
        <v>1156</v>
      </c>
      <c r="H88" t="s">
        <v>106</v>
      </c>
    </row>
    <row r="89" spans="1:8" ht="15" customHeight="1">
      <c r="B89" s="41">
        <v>46118</v>
      </c>
      <c r="C89" t="s">
        <v>608</v>
      </c>
      <c r="D89" t="s">
        <v>1015</v>
      </c>
      <c r="F89" t="s">
        <v>36</v>
      </c>
      <c r="H89" t="s">
        <v>608</v>
      </c>
    </row>
    <row r="90" spans="1:8" ht="15" customHeight="1">
      <c r="B90" s="41">
        <v>46119</v>
      </c>
      <c r="C90" t="s">
        <v>611</v>
      </c>
      <c r="D90" t="s">
        <v>1015</v>
      </c>
      <c r="F90" t="s">
        <v>36</v>
      </c>
      <c r="H90" t="s">
        <v>611</v>
      </c>
    </row>
    <row r="91" spans="1:8" ht="15" customHeight="1">
      <c r="B91" s="41">
        <v>46101</v>
      </c>
      <c r="C91" t="s">
        <v>50</v>
      </c>
      <c r="D91" t="s">
        <v>1015</v>
      </c>
      <c r="F91" t="s">
        <v>36</v>
      </c>
      <c r="H91" t="s">
        <v>50</v>
      </c>
    </row>
    <row r="92" spans="1:8" ht="15" customHeight="1">
      <c r="B92" s="41">
        <v>46120</v>
      </c>
      <c r="C92" t="s">
        <v>275</v>
      </c>
      <c r="D92" t="s">
        <v>1015</v>
      </c>
      <c r="F92" t="s">
        <v>36</v>
      </c>
      <c r="H92" t="s">
        <v>275</v>
      </c>
    </row>
    <row r="93" spans="1:8" ht="15" customHeight="1">
      <c r="B93" s="41">
        <v>46113</v>
      </c>
      <c r="C93" t="s">
        <v>12</v>
      </c>
      <c r="D93" t="s">
        <v>1015</v>
      </c>
      <c r="F93" t="s">
        <v>36</v>
      </c>
      <c r="H93" t="s">
        <v>12</v>
      </c>
    </row>
    <row r="94" spans="1:8" ht="15" customHeight="1">
      <c r="B94" s="41">
        <v>46101</v>
      </c>
      <c r="C94" t="s">
        <v>427</v>
      </c>
      <c r="D94" t="s">
        <v>1015</v>
      </c>
      <c r="F94" t="s">
        <v>36</v>
      </c>
      <c r="H94" t="s">
        <v>427</v>
      </c>
    </row>
    <row r="95" spans="1:8" ht="15" customHeight="1">
      <c r="B95" s="41">
        <v>46094</v>
      </c>
      <c r="C95" t="s">
        <v>382</v>
      </c>
      <c r="D95" t="s">
        <v>1015</v>
      </c>
      <c r="F95" t="s">
        <v>36</v>
      </c>
      <c r="H95" t="s">
        <v>382</v>
      </c>
    </row>
    <row r="96" spans="1:8" ht="15" customHeight="1">
      <c r="B96" s="41">
        <v>46100</v>
      </c>
      <c r="C96" t="s">
        <v>405</v>
      </c>
      <c r="D96" t="s">
        <v>1015</v>
      </c>
      <c r="F96" t="s">
        <v>36</v>
      </c>
      <c r="H96" t="s">
        <v>405</v>
      </c>
    </row>
    <row r="97" spans="2:8" ht="15" customHeight="1">
      <c r="B97" s="41">
        <v>46121</v>
      </c>
      <c r="C97" t="s">
        <v>126</v>
      </c>
      <c r="D97" t="s">
        <v>1015</v>
      </c>
      <c r="F97" t="s">
        <v>36</v>
      </c>
      <c r="H97" t="s">
        <v>126</v>
      </c>
    </row>
    <row r="98" spans="2:8" ht="15" customHeight="1">
      <c r="B98" s="41">
        <v>46111</v>
      </c>
      <c r="C98" t="s">
        <v>258</v>
      </c>
      <c r="D98" t="s">
        <v>1015</v>
      </c>
      <c r="F98" t="s">
        <v>36</v>
      </c>
      <c r="H98" t="s">
        <v>258</v>
      </c>
    </row>
    <row r="99" spans="2:8" ht="15" customHeight="1">
      <c r="B99" s="41">
        <v>46057</v>
      </c>
      <c r="C99" t="s">
        <v>356</v>
      </c>
      <c r="D99" t="s">
        <v>1015</v>
      </c>
      <c r="F99" t="s">
        <v>36</v>
      </c>
      <c r="H99" t="s">
        <v>356</v>
      </c>
    </row>
    <row r="100" spans="2:8" ht="15" customHeight="1">
      <c r="B100" s="41">
        <v>46086</v>
      </c>
      <c r="C100" t="s">
        <v>559</v>
      </c>
      <c r="D100" t="s">
        <v>1015</v>
      </c>
      <c r="F100" t="s">
        <v>36</v>
      </c>
      <c r="H100" t="s">
        <v>559</v>
      </c>
    </row>
    <row r="101" spans="2:8" ht="15" customHeight="1">
      <c r="B101" s="41">
        <v>46104</v>
      </c>
      <c r="C101" t="s">
        <v>417</v>
      </c>
      <c r="D101" t="s">
        <v>1015</v>
      </c>
      <c r="F101" t="s">
        <v>36</v>
      </c>
      <c r="H101" t="s">
        <v>417</v>
      </c>
    </row>
    <row r="102" spans="2:8" ht="15" customHeight="1">
      <c r="B102" s="41">
        <v>46101</v>
      </c>
      <c r="C102" t="s">
        <v>408</v>
      </c>
      <c r="D102" t="s">
        <v>1015</v>
      </c>
      <c r="F102" t="s">
        <v>33</v>
      </c>
      <c r="H102" t="s">
        <v>408</v>
      </c>
    </row>
    <row r="103" spans="2:8" ht="15" customHeight="1">
      <c r="B103" s="41">
        <v>46091</v>
      </c>
      <c r="C103" t="s">
        <v>44</v>
      </c>
      <c r="D103" t="s">
        <v>1015</v>
      </c>
      <c r="H103" t="s">
        <v>44</v>
      </c>
    </row>
    <row r="104" spans="2:8" ht="15" customHeight="1">
      <c r="B104" s="41">
        <v>46101</v>
      </c>
      <c r="C104" t="s">
        <v>628</v>
      </c>
      <c r="D104" t="s">
        <v>1015</v>
      </c>
      <c r="H104" t="s">
        <v>628</v>
      </c>
    </row>
    <row r="105" spans="2:8" ht="15" customHeight="1">
      <c r="B105" s="41">
        <v>46118</v>
      </c>
      <c r="C105" t="s">
        <v>630</v>
      </c>
      <c r="D105" t="s">
        <v>1015</v>
      </c>
      <c r="H105" t="s">
        <v>630</v>
      </c>
    </row>
    <row r="106" spans="2:8" ht="15" customHeight="1">
      <c r="B106" s="41">
        <v>46083</v>
      </c>
      <c r="C106" t="s">
        <v>616</v>
      </c>
      <c r="D106" t="s">
        <v>1015</v>
      </c>
      <c r="F106" t="s">
        <v>33</v>
      </c>
      <c r="H106" t="s">
        <v>616</v>
      </c>
    </row>
    <row r="107" spans="2:8" ht="15" customHeight="1">
      <c r="B107" s="41">
        <v>46093</v>
      </c>
      <c r="C107" t="s">
        <v>227</v>
      </c>
      <c r="D107" t="s">
        <v>1015</v>
      </c>
      <c r="F107" t="s">
        <v>84</v>
      </c>
      <c r="H107" t="s">
        <v>227</v>
      </c>
    </row>
    <row r="108" spans="2:8" ht="15" customHeight="1">
      <c r="B108" s="41">
        <v>46093</v>
      </c>
      <c r="C108" t="s">
        <v>634</v>
      </c>
      <c r="D108" t="s">
        <v>1015</v>
      </c>
      <c r="F108" t="s">
        <v>36</v>
      </c>
      <c r="H108" t="s">
        <v>634</v>
      </c>
    </row>
    <row r="109" spans="2:8" ht="15" customHeight="1">
      <c r="B109" s="41">
        <v>46093</v>
      </c>
      <c r="C109" t="s">
        <v>91</v>
      </c>
      <c r="D109" t="s">
        <v>1015</v>
      </c>
      <c r="H109" t="s">
        <v>91</v>
      </c>
    </row>
    <row r="110" spans="2:8" ht="15" customHeight="1">
      <c r="B110" s="41">
        <v>46086</v>
      </c>
      <c r="C110" t="s">
        <v>288</v>
      </c>
      <c r="D110" t="s">
        <v>1015</v>
      </c>
      <c r="H110" t="s">
        <v>288</v>
      </c>
    </row>
    <row r="111" spans="2:8" ht="15" customHeight="1">
      <c r="B111" s="41">
        <v>46121</v>
      </c>
      <c r="C111" t="s">
        <v>202</v>
      </c>
      <c r="D111" t="s">
        <v>1015</v>
      </c>
      <c r="H111" t="s">
        <v>202</v>
      </c>
    </row>
    <row r="112" spans="2:8" ht="15" customHeight="1">
      <c r="B112" s="41">
        <v>46098</v>
      </c>
      <c r="C112" t="s">
        <v>387</v>
      </c>
      <c r="D112" t="s">
        <v>1015</v>
      </c>
      <c r="H112" t="s">
        <v>387</v>
      </c>
    </row>
    <row r="113" spans="2:8" ht="15" customHeight="1">
      <c r="B113" s="41">
        <v>46099</v>
      </c>
      <c r="C113" t="s">
        <v>81</v>
      </c>
      <c r="D113" t="s">
        <v>1015</v>
      </c>
      <c r="H113" t="s">
        <v>81</v>
      </c>
    </row>
    <row r="114" spans="2:8" ht="15" customHeight="1">
      <c r="B114" s="41">
        <v>46058</v>
      </c>
      <c r="C114" t="s">
        <v>299</v>
      </c>
      <c r="D114" t="s">
        <v>1015</v>
      </c>
      <c r="H114" t="s">
        <v>299</v>
      </c>
    </row>
    <row r="115" spans="2:8" ht="15" customHeight="1">
      <c r="B115" s="41">
        <v>46060</v>
      </c>
      <c r="C115" t="s">
        <v>29</v>
      </c>
      <c r="D115" t="s">
        <v>1015</v>
      </c>
      <c r="H115" t="s">
        <v>29</v>
      </c>
    </row>
    <row r="116" spans="2:8" ht="15" customHeight="1">
      <c r="B116" s="41">
        <v>46135</v>
      </c>
      <c r="C116" t="s">
        <v>537</v>
      </c>
      <c r="D116" t="s">
        <v>1015</v>
      </c>
      <c r="H116" t="s">
        <v>537</v>
      </c>
    </row>
    <row r="117" spans="2:8" ht="15" customHeight="1">
      <c r="B117" s="41">
        <v>46133</v>
      </c>
      <c r="C117" t="s">
        <v>354</v>
      </c>
      <c r="D117" t="s">
        <v>1017</v>
      </c>
      <c r="F117" t="s">
        <v>300</v>
      </c>
      <c r="H117" t="s">
        <v>354</v>
      </c>
    </row>
  </sheetData>
  <mergeCells count="1">
    <mergeCell ref="A1:H1"/>
  </mergeCells>
  <phoneticPr fontId="16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-0.249977111117893"/>
  </sheetPr>
  <dimension ref="A1:AJ247"/>
  <sheetViews>
    <sheetView tabSelected="1" zoomScaleNormal="100" workbookViewId="0">
      <pane ySplit="3" topLeftCell="A4" activePane="bottomLeft" state="frozen"/>
      <selection activeCell="T1" sqref="T1"/>
      <selection pane="bottomLeft" activeCell="N195" sqref="N195"/>
    </sheetView>
  </sheetViews>
  <sheetFormatPr baseColWidth="10" defaultColWidth="9.140625" defaultRowHeight="15" customHeight="1"/>
  <cols>
    <col min="1" max="1" width="12" customWidth="1"/>
    <col min="2" max="2" width="24.85546875" customWidth="1"/>
    <col min="3" max="3" width="17.85546875" customWidth="1"/>
    <col min="4" max="4" width="12" customWidth="1"/>
    <col min="5" max="5" width="19.42578125" customWidth="1"/>
    <col min="6" max="6" width="8.42578125" customWidth="1"/>
    <col min="7" max="7" width="14.28515625" bestFit="1" customWidth="1"/>
    <col min="8" max="8" width="15" hidden="1" customWidth="1"/>
    <col min="9" max="9" width="14.42578125" customWidth="1"/>
    <col min="10" max="10" width="15.42578125" customWidth="1"/>
    <col min="11" max="11" width="17.7109375" customWidth="1"/>
    <col min="12" max="12" width="21.85546875" customWidth="1"/>
    <col min="13" max="13" width="20" style="83" customWidth="1"/>
    <col min="14" max="14" width="22" style="79" customWidth="1"/>
    <col min="15" max="15" width="18" style="79" customWidth="1"/>
    <col min="16" max="16" width="19" customWidth="1"/>
    <col min="17" max="17" width="23.5703125" customWidth="1"/>
    <col min="18" max="18" width="21" customWidth="1"/>
    <col min="19" max="20" width="24" customWidth="1"/>
    <col min="21" max="21" width="22" customWidth="1"/>
    <col min="22" max="22" width="21.5703125" customWidth="1"/>
    <col min="23" max="23" width="18.140625" customWidth="1"/>
    <col min="24" max="24" width="24" customWidth="1"/>
    <col min="25" max="25" width="20" style="41" customWidth="1"/>
    <col min="26" max="26" width="19.28515625" customWidth="1"/>
    <col min="27" max="27" width="21.28515625" customWidth="1"/>
    <col min="28" max="28" width="31" customWidth="1"/>
    <col min="29" max="29" width="30.5703125" customWidth="1"/>
    <col min="30" max="30" width="29.85546875" customWidth="1"/>
    <col min="31" max="31" width="20" customWidth="1"/>
    <col min="32" max="32" width="16" customWidth="1"/>
    <col min="33" max="33" width="38.42578125" customWidth="1"/>
    <col min="34" max="35" width="13" hidden="1" customWidth="1"/>
  </cols>
  <sheetData>
    <row r="1" spans="1:36" ht="30.75" customHeight="1">
      <c r="A1" s="86" t="s">
        <v>1042</v>
      </c>
      <c r="B1" s="86"/>
      <c r="C1" s="86"/>
      <c r="D1" s="86"/>
      <c r="E1" s="86"/>
      <c r="F1" s="86"/>
      <c r="G1" s="15"/>
      <c r="H1" s="15"/>
      <c r="I1" s="15"/>
      <c r="J1" s="15"/>
      <c r="K1" s="15"/>
      <c r="L1" s="15"/>
    </row>
    <row r="2" spans="1:36">
      <c r="A2" s="86"/>
      <c r="B2" s="86"/>
      <c r="C2" s="86"/>
      <c r="D2" s="86"/>
      <c r="E2" s="86"/>
      <c r="F2" s="86"/>
      <c r="G2" s="15"/>
      <c r="H2" s="15"/>
      <c r="I2" s="15"/>
      <c r="J2" s="15"/>
      <c r="K2" s="15"/>
      <c r="L2" s="15"/>
    </row>
    <row r="3" spans="1:36">
      <c r="A3" s="16" t="s">
        <v>1</v>
      </c>
      <c r="B3" s="16" t="s">
        <v>2</v>
      </c>
      <c r="C3" s="16" t="s">
        <v>1043</v>
      </c>
      <c r="D3" s="16" t="s">
        <v>3</v>
      </c>
      <c r="E3" s="16" t="s">
        <v>4</v>
      </c>
      <c r="F3" s="17" t="s">
        <v>5</v>
      </c>
      <c r="G3" s="16" t="s">
        <v>6</v>
      </c>
      <c r="H3" s="16" t="s">
        <v>7</v>
      </c>
      <c r="I3" s="16" t="s">
        <v>9</v>
      </c>
      <c r="J3" s="16" t="s">
        <v>10</v>
      </c>
      <c r="K3" s="16" t="s">
        <v>11</v>
      </c>
      <c r="L3" s="16" t="s">
        <v>1044</v>
      </c>
      <c r="M3" s="84" t="s">
        <v>1045</v>
      </c>
      <c r="N3" s="80" t="s">
        <v>1046</v>
      </c>
      <c r="O3" s="80" t="s">
        <v>1047</v>
      </c>
      <c r="P3" s="17" t="s">
        <v>1048</v>
      </c>
      <c r="Q3" s="16" t="s">
        <v>1049</v>
      </c>
      <c r="R3" s="16" t="s">
        <v>1050</v>
      </c>
      <c r="S3" s="16" t="s">
        <v>1051</v>
      </c>
      <c r="T3" s="17" t="s">
        <v>1052</v>
      </c>
      <c r="U3" s="16" t="s">
        <v>1053</v>
      </c>
      <c r="V3" s="17" t="s">
        <v>1054</v>
      </c>
      <c r="W3" s="17" t="s">
        <v>1055</v>
      </c>
      <c r="X3" s="17" t="s">
        <v>1056</v>
      </c>
      <c r="Y3" s="57" t="s">
        <v>1057</v>
      </c>
      <c r="Z3" s="38" t="s">
        <v>1058</v>
      </c>
      <c r="AA3" s="39" t="s">
        <v>1059</v>
      </c>
      <c r="AB3" s="38" t="s">
        <v>1060</v>
      </c>
      <c r="AC3" s="40" t="s">
        <v>1061</v>
      </c>
      <c r="AD3" s="40" t="s">
        <v>1062</v>
      </c>
      <c r="AE3" s="40" t="s">
        <v>1063</v>
      </c>
      <c r="AF3" s="40" t="s">
        <v>1064</v>
      </c>
      <c r="AG3" s="40" t="s">
        <v>1065</v>
      </c>
      <c r="AH3" t="s">
        <v>1066</v>
      </c>
      <c r="AI3" t="s">
        <v>1067</v>
      </c>
      <c r="AJ3" t="s">
        <v>1068</v>
      </c>
    </row>
    <row r="4" spans="1:36" s="24" customFormat="1">
      <c r="A4" s="18" t="s">
        <v>155</v>
      </c>
      <c r="B4" s="18" t="s">
        <v>69</v>
      </c>
      <c r="C4" s="18" t="s">
        <v>1069</v>
      </c>
      <c r="D4" s="18" t="s">
        <v>156</v>
      </c>
      <c r="E4" s="19" t="s">
        <v>157</v>
      </c>
      <c r="F4" s="18">
        <v>2018</v>
      </c>
      <c r="G4" s="18" t="str" cm="1">
        <f t="array" ref="G4">IFERROR(INDEX(Lecturas!$E$4:$E$3549,MATCH(1,(Lecturas!$B$4:$B$3549=$A4)*(Lecturas!$E$4:$E$3549&lt;&gt;"")*(Lecturas!$A$4:$A$3549=_xlfn.MAXIFS(Lecturas!$A$4:$A$3549,Lecturas!$B$4:$B$3549,$A4,Lecturas!$E$4:$E$3549,"&lt;&gt;")),0)),"")</f>
        <v/>
      </c>
      <c r="H4" s="18" t="s">
        <v>158</v>
      </c>
      <c r="I4" s="18" t="s">
        <v>18</v>
      </c>
      <c r="J4" s="18">
        <v>250</v>
      </c>
      <c r="K4" s="18">
        <f>IFERROR(IF($I4="KM",ROUND((_xlfn.MAXIFS(tblLecturas[Kilometraje],tblLecturas[Codigo],$A4)-_xlfn.MINIFS(tblLecturas[Kilometraje],tblLecturas[Codigo],$A4))/(MAX(1,_xlfn.MAXIFS(tblLecturas[Fecha],tblLecturas[Codigo],$A4)-_xlfn.MINIFS(tblLecturas[Fecha],tblLecturas[Codigo],$A4))),1),ROUND((_xlfn.MAXIFS(tblLecturas[Horometro],tblLecturas[Codigo],$A4)-_xlfn.MINIFS(tblLecturas[Horometro],tblLecturas[Codigo],$A4))/(MAX(1,_xlfn.MAXIFS(tblLecturas[Fecha],tblLecturas[Codigo],$A4)-_xlfn.MINIFS(tblLecturas[Fecha],tblLecturas[Codigo],$A4))),1)),"")</f>
        <v>0.6</v>
      </c>
      <c r="L4" s="20">
        <f>IFERROR(_xlfn.MAXIFS(tblLecturas[Fecha],tblLecturas[Codigo],$A4),"")</f>
        <v>46107</v>
      </c>
      <c r="M4" s="26">
        <f>IFERROR(_xlfn.MAXIFS(Lecturas!$C:$C,Lecturas!$B:$B,$A4,Lecturas!$C:$C,"&gt;0"),"")</f>
        <v>8002</v>
      </c>
      <c r="N4" s="78">
        <f>IFERROR(_xlfn.MAXIFS(tblLecturas[Kilometraje],tblLecturas[Codigo],$A4,tblLecturas[Kilometraje],"&gt;0"),"")</f>
        <v>775645</v>
      </c>
      <c r="O4" s="78" cm="1">
        <f t="array" ref="O4">IFERROR(IF($I4="KM",LOOKUP(2,1/(Lecturas!$B:$B=$A4)/(Lecturas!$D:$D&gt;0),Lecturas!$D:$D),LOOKUP(2,1/(Lecturas!$B:$B=$A4)/(Lecturas!$C:$C&gt;0),Lecturas!$C:$C)),"")</f>
        <v>8002</v>
      </c>
      <c r="P4" s="20">
        <f>IFERROR(_xlfn.MAXIFS(tblMantenciones[Fecha],tblMantenciones[Codigo],tblMaestroEquipos[[#This Row],[Codigo]],tblMantenciones[EsPM],"Sí"),"")</f>
        <v>46073</v>
      </c>
      <c r="Q4" s="78">
        <f>IF(_xlfn.MAXIFS(Mantenciones!$D:$D,Mantenciones!$B:$B,A4)=0,"Sin datos de mantención registrado",_xlfn.MAXIFS(Mantenciones!$D:$D,Mantenciones!$B:$B,A4))</f>
        <v>461588</v>
      </c>
      <c r="R4" s="18">
        <f>IFERROR(IF(_xlfn.MAXIFS(Mantenciones!$D:$D,Mantenciones!$B:$B,$A4,Mantenciones!$E:$E,"Sí",Mantenciones!$D:$D,"&gt;0")=0,"Sin datos de mantención registrado",_xlfn.MAXIFS(Mantenciones!$D:$D,Mantenciones!$B:$B,$A4,Mantenciones!$E:$E,"Sí",Mantenciones!$D:$D,"&gt;0")),"Sin datos de mantención registrado")</f>
        <v>461588</v>
      </c>
      <c r="S4" s="21">
        <f>IFERROR(SUMIFS(tblMantenciones[Costo Mantencion CLP],tblMantenciones[Codigo],A4),0)</f>
        <v>0</v>
      </c>
      <c r="T4" s="21">
        <f>IFERROR(SUMIFS(tblComprasPM[Costo PM CLP],tblComprasPM[Codigo],tblMaestroEquipos[[#This Row],[Codigo]]),0)</f>
        <v>255115.17499999999</v>
      </c>
      <c r="U4" s="21">
        <f>IFERROR(tblMaestroEquipos[[#This Row],[Costo Mantenciones CLP]]+tblMaestroEquipos[[#This Row],[Costo Compras PM CLP]],0)</f>
        <v>255115.17499999999</v>
      </c>
      <c r="V4" s="18" t="str">
        <f>IFERROR(_xlfn.XLOOKUP(tblMaestroEquipos[[#This Row],[Codigo]],tblEquipos[Codigo],tblEquipos[Estado Base]),"")</f>
        <v>Operativo</v>
      </c>
      <c r="W4" s="18" t="str">
        <f t="shared" ref="W4:W67" si="0">IF(OR(TRIM($V4)="Fuera de Servicio",TRIM($V4)="Fuera de servicio"),"FUERA DE SERVICIO",IF(OR(TRIM($V4)="Taller",TRIM($V4)="En taller",TRIM($V4)="EN TALLER"),"EN TALLER",IF($AD4="PENDIENTE","POR RECIBIR",IF(AND($Z4&lt;&gt;"",$AA4=""),"EN PROCESO",IF(AND(ISNUMBER($X4),$X4&lt;0),"ATRASADA",IF(AND(ISNUMBER($X4),$X4&lt;=30),"PRÓXIMA","AL DÍA"))))))</f>
        <v>AL DÍA</v>
      </c>
      <c r="X4" s="18">
        <f t="shared" ref="X4:X67" si="1">IF(OR(NOT(ISNUMBER(R4)),NOT(ISNUMBER(J4)),NOT(ISNUMBER(O4))),"",
(R4+J4)-O4)</f>
        <v>453836</v>
      </c>
      <c r="Y4" s="25">
        <f ca="1">IFERROR(IF($X4="","",TODAY()+$X4),"")</f>
        <v>499981</v>
      </c>
      <c r="Z4" s="22">
        <f>IFERROR(IF(_xlfn.MINIFS(tblComprasPM[Fecha],tblComprasPM[Codigo],tblMaestroEquipos[[#This Row],[Codigo]])=0,"",_xlfn.MINIFS(tblComprasPM[Fecha],tblComprasPM[Codigo],tblMaestroEquipos[[#This Row],[Codigo]])),"")</f>
        <v>46065.423698645798</v>
      </c>
      <c r="AA4" s="22">
        <f>IFERROR(IF(_xlfn.MAXIFS(tblBodega[Fecha],tblBodega[Codigo],tblMaestroEquipos[[#This Row],[Codigo]])=0,"",_xlfn.MAXIFS(tblBodega[Fecha],tblBodega[Codigo],tblMaestroEquipos[[#This Row],[Codigo]])),"")</f>
        <v>46073</v>
      </c>
      <c r="AB4" s="23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8</v>
      </c>
      <c r="AC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4" s="51" t="str">
        <f t="shared" ref="AE4:AE54" si="2">IF(TRIM(V4)="Fuera de servicio","FUERA DE SERVICIO",
IF(OR(TRIM(V4)="Taller",TRIM(V4)="En taller"),"EN TALLER",
IF(W4="ATRASADO","ATRASADO",
IF(W4="EN PROCESO","EN PROCESO",
IF(W4="PRÓXIMO","PRÓXIMO",
"OPERATIVO")))))</f>
        <v>OPERATIVO</v>
      </c>
      <c r="AF4" s="18" t="str">
        <f t="shared" ref="AF4:AF67" si="3">IF($AE4="ATRASADA",IF($X4&lt;=-15,"CRÍTICA","ALTA"),IF($AE4="PRÓXIMA","MEDIA",IF(OR($AE4="EN PROCESO",$AE4="POR RECIBIR"),"SEGUIMIENTO",IF($AE4="FUERA DE SERVICIO","NO APLICA","BAJA"))))</f>
        <v>BAJA</v>
      </c>
      <c r="AG4" s="18" t="str">
        <f t="shared" ref="AG4:AG67" si="4">IF($AE4="FUERA DE SERVICIO","No programar compra",IF($AE4="CERRADO","Cerrar ciclo y preparar siguiente PM",IF($AE4="EN PROCESO","Hacer seguimiento al taller y cerrar report",IF($AE4="POR RECIBIR","Acelerar recepción de repuestos",IF($AE4="ATRASADA","Comprar kit PM y coordinar ejecución",IF($AE4="PRÓXIMA","Planificar compra preventiva","Monitorear próximo vencimiento"))))))</f>
        <v>Monitorear próximo vencimiento</v>
      </c>
      <c r="AH4">
        <f t="shared" ref="AH4:AH67" si="5">IF(AND(OR($AE4="ATRASADA",$AE4="PRÓXIMA"),$Z4="",$AA4=""),1,0)</f>
        <v>0</v>
      </c>
      <c r="AI4" t="str">
        <f t="shared" ref="AI4:AI67" ca="1" si="6">IF(OR($AH4=0,$Y4=""),"",SUMPRODUCT(($AH$4:$AH$247=1)*(($Y$4:$Y$247&lt;$Y4)+(($Y$4:$Y$247=$Y4)*(ROW($Y$4:$Y$247)&lt;=ROW())))))</f>
        <v/>
      </c>
      <c r="AJ4" s="24">
        <f t="shared" ref="AJ4:AJ67" si="7">IF(W4="ATRASADA",1,IF(W4="EN PROCESO",2,IF(W4="POR RECIBIR",3,99)))</f>
        <v>99</v>
      </c>
    </row>
    <row r="5" spans="1:36">
      <c r="A5" s="18" t="s">
        <v>78</v>
      </c>
      <c r="B5" s="18" t="s">
        <v>45</v>
      </c>
      <c r="C5" s="18" t="s">
        <v>1069</v>
      </c>
      <c r="D5" s="18" t="s">
        <v>66</v>
      </c>
      <c r="E5" s="19" t="s">
        <v>79</v>
      </c>
      <c r="F5" s="18">
        <v>2010</v>
      </c>
      <c r="G5" s="18" t="str" cm="1">
        <f t="array" ref="G5">IFERROR(INDEX(Lecturas!$E$4:$E$3549,MATCH(1,(Lecturas!$B$4:$B$3549=$A5)*(Lecturas!$E$4:$E$3549&lt;&gt;"")*(Lecturas!$A$4:$A$3549=_xlfn.MAXIFS(Lecturas!$A$4:$A$3549,Lecturas!$B$4:$B$3549,$A5,Lecturas!$E$4:$E$3549,"&lt;&gt;")),0)),"")</f>
        <v>Quirihue</v>
      </c>
      <c r="H5" s="18" t="s">
        <v>80</v>
      </c>
      <c r="I5" s="18" t="s">
        <v>18</v>
      </c>
      <c r="J5" s="18">
        <v>250</v>
      </c>
      <c r="K5" s="18">
        <f>IFERROR(IF($I5="KM",ROUND((_xlfn.MAXIFS(tblLecturas[Kilometraje],tblLecturas[Codigo],$A5)-_xlfn.MINIFS(tblLecturas[Kilometraje],tblLecturas[Codigo],$A5))/(MAX(1,_xlfn.MAXIFS(tblLecturas[Fecha],tblLecturas[Codigo],$A5)-_xlfn.MINIFS(tblLecturas[Fecha],tblLecturas[Codigo],$A5))),1),ROUND((_xlfn.MAXIFS(tblLecturas[Horometro],tblLecturas[Codigo],$A5)-_xlfn.MINIFS(tblLecturas[Horometro],tblLecturas[Codigo],$A5))/(MAX(1,_xlfn.MAXIFS(tblLecturas[Fecha],tblLecturas[Codigo],$A5)-_xlfn.MINIFS(tblLecturas[Fecha],tblLecturas[Codigo],$A5))),1)),"")</f>
        <v>0</v>
      </c>
      <c r="L5" s="20">
        <f>IFERROR(_xlfn.MAXIFS(tblLecturas[Fecha],tblLecturas[Codigo],$A5),"")</f>
        <v>46099</v>
      </c>
      <c r="M5" s="26">
        <f>IFERROR(_xlfn.MAXIFS(Lecturas!$C:$C,Lecturas!$B:$B,$A5,Lecturas!$C:$C,"&gt;0"),"")</f>
        <v>0</v>
      </c>
      <c r="N5" s="78">
        <f>IFERROR(_xlfn.MAXIFS(tblLecturas[Kilometraje],tblLecturas[Codigo],$A5,tblLecturas[Kilometraje],"&gt;0"),"")</f>
        <v>917261</v>
      </c>
      <c r="O5" s="78" t="str" cm="1">
        <f t="array" ref="O5">IFERROR(IF($I5="KM",LOOKUP(2,1/(Lecturas!$B:$B=$A5)/(Lecturas!$D:$D&gt;0),Lecturas!$D:$D),LOOKUP(2,1/(Lecturas!$B:$B=$A5)/(Lecturas!$C:$C&gt;0),Lecturas!$C:$C)),"")</f>
        <v/>
      </c>
      <c r="P5" s="20">
        <f>IFERROR(_xlfn.MAXIFS(tblMantenciones[Fecha],tblMantenciones[Codigo],tblMaestroEquipos[[#This Row],[Codigo]],tblMantenciones[EsPM],"Sí"),"")</f>
        <v>0</v>
      </c>
      <c r="Q5" s="78" t="str">
        <f>IF(_xlfn.MAXIFS(Mantenciones!$D:$D,Mantenciones!$B:$B,A5)=0,"Sin datos de mantención registrado",_xlfn.MAXIFS(Mantenciones!$D:$D,Mantenciones!$B:$B,A5))</f>
        <v>Sin datos de mantención registrado</v>
      </c>
      <c r="R5" s="18" t="str">
        <f>IFERROR(IF(_xlfn.MAXIFS(Mantenciones!$D:$D,Mantenciones!$B:$B,$A5,Mantenciones!$E:$E,"Sí",Mantenciones!$D:$D,"&gt;0")=0,"Sin datos de mantención registrado",_xlfn.MAXIFS(Mantenciones!$D:$D,Mantenciones!$B:$B,$A5,Mantenciones!$E:$E,"Sí",Mantenciones!$D:$D,"&gt;0")),"Sin datos de mantención registrado")</f>
        <v>Sin datos de mantención registrado</v>
      </c>
      <c r="S5" s="21">
        <f>IFERROR(SUMIFS(tblMantenciones[Costo Mantencion CLP],tblMantenciones[Codigo],A5),0)</f>
        <v>0</v>
      </c>
      <c r="T5" s="21">
        <f>IFERROR(SUMIFS(tblComprasPM[Costo PM CLP],tblComprasPM[Codigo],tblMaestroEquipos[[#This Row],[Codigo]]),0)</f>
        <v>0</v>
      </c>
      <c r="U5" s="21">
        <f>IFERROR(tblMaestroEquipos[[#This Row],[Costo Mantenciones CLP]]+tblMaestroEquipos[[#This Row],[Costo Compras PM CLP]],0)</f>
        <v>0</v>
      </c>
      <c r="V5" s="18" t="str">
        <f>IFERROR(_xlfn.XLOOKUP(tblMaestroEquipos[[#This Row],[Codigo]],tblEquipos[Codigo],tblEquipos[Estado Base]),"")</f>
        <v>Operativo</v>
      </c>
      <c r="W5" s="18" t="str">
        <f t="shared" si="0"/>
        <v>AL DÍA</v>
      </c>
      <c r="X5" s="18" t="str">
        <f t="shared" si="1"/>
        <v/>
      </c>
      <c r="Y5" s="25" t="str">
        <f t="shared" ref="Y5:Y6" ca="1" si="8">IFERROR(IF($X5="","",TODAY()+$X5),"")</f>
        <v/>
      </c>
      <c r="Z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5" s="25" t="str">
        <f>IFERROR(IF(_xlfn.MAXIFS(tblBodega[Fecha],tblBodega[Codigo],tblMaestroEquipos[[#This Row],[Codigo]])=0,"",_xlfn.MAXIFS(tblBodega[Fecha],tblBodega[Codigo],tblMaestroEquipos[[#This Row],[Codigo]])),"")</f>
        <v/>
      </c>
      <c r="AB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5" s="51" t="str">
        <f t="shared" si="2"/>
        <v>OPERATIVO</v>
      </c>
      <c r="AF5" s="18" t="str">
        <f t="shared" si="3"/>
        <v>BAJA</v>
      </c>
      <c r="AG5" s="18" t="str">
        <f t="shared" si="4"/>
        <v>Monitorear próximo vencimiento</v>
      </c>
      <c r="AH5">
        <f t="shared" si="5"/>
        <v>0</v>
      </c>
      <c r="AI5" t="str">
        <f t="shared" ca="1" si="6"/>
        <v/>
      </c>
      <c r="AJ5" s="24">
        <f t="shared" si="7"/>
        <v>99</v>
      </c>
    </row>
    <row r="6" spans="1:36">
      <c r="A6" s="18" t="s">
        <v>106</v>
      </c>
      <c r="B6" s="18" t="s">
        <v>107</v>
      </c>
      <c r="C6" s="18" t="s">
        <v>1069</v>
      </c>
      <c r="D6" s="18" t="s">
        <v>42</v>
      </c>
      <c r="E6" s="19">
        <v>4300</v>
      </c>
      <c r="F6" s="18">
        <v>2012</v>
      </c>
      <c r="G6" s="18" t="str" cm="1">
        <f t="array" ref="G6">IFERROR(INDEX(Lecturas!$E$4:$E$3549,MATCH(1,(Lecturas!$B$4:$B$3549=$A6)*(Lecturas!$E$4:$E$3549&lt;&gt;"")*(Lecturas!$A$4:$A$3549=_xlfn.MAXIFS(Lecturas!$A$4:$A$3549,Lecturas!$B$4:$B$3549,$A6,Lecturas!$E$4:$E$3549,"&lt;&gt;")),0)),"")</f>
        <v>Oficina Central</v>
      </c>
      <c r="H6" s="18" t="s">
        <v>57</v>
      </c>
      <c r="I6" s="18" t="s">
        <v>18</v>
      </c>
      <c r="J6" s="18">
        <v>250</v>
      </c>
      <c r="K6" s="18">
        <f>IFERROR(IF($I6="KM",ROUND((_xlfn.MAXIFS(tblLecturas[Kilometraje],tblLecturas[Codigo],$A6)-_xlfn.MINIFS(tblLecturas[Kilometraje],tblLecturas[Codigo],$A6))/(MAX(1,_xlfn.MAXIFS(tblLecturas[Fecha],tblLecturas[Codigo],$A6)-_xlfn.MINIFS(tblLecturas[Fecha],tblLecturas[Codigo],$A6))),1),ROUND((_xlfn.MAXIFS(tblLecturas[Horometro],tblLecturas[Codigo],$A6)-_xlfn.MINIFS(tblLecturas[Horometro],tblLecturas[Codigo],$A6))/(MAX(1,_xlfn.MAXIFS(tblLecturas[Fecha],tblLecturas[Codigo],$A6)-_xlfn.MINIFS(tblLecturas[Fecha],tblLecturas[Codigo],$A6))),1)),"")</f>
        <v>0</v>
      </c>
      <c r="L6" s="20">
        <f>IFERROR(_xlfn.MAXIFS(tblLecturas[Fecha],tblLecturas[Codigo],$A6),"")</f>
        <v>46114</v>
      </c>
      <c r="M6" s="26">
        <f>IFERROR(_xlfn.MAXIFS(Lecturas!$C:$C,Lecturas!$B:$B,$A6,Lecturas!$C:$C,"&gt;0"),"")</f>
        <v>0</v>
      </c>
      <c r="N6" s="78">
        <f>IFERROR(_xlfn.MAXIFS(tblLecturas[Kilometraje],tblLecturas[Codigo],$A6,tblLecturas[Kilometraje],"&gt;0"),"")</f>
        <v>511388</v>
      </c>
      <c r="O6" s="78" t="str" cm="1">
        <f t="array" ref="O6">IFERROR(IF($I6="KM",LOOKUP(2,1/(Lecturas!$B:$B=$A6)/(Lecturas!$D:$D&gt;0),Lecturas!$D:$D),LOOKUP(2,1/(Lecturas!$B:$B=$A6)/(Lecturas!$C:$C&gt;0),Lecturas!$C:$C)),"")</f>
        <v/>
      </c>
      <c r="P6" s="20">
        <f>IFERROR(_xlfn.MAXIFS(tblMantenciones[Fecha],tblMantenciones[Codigo],tblMaestroEquipos[[#This Row],[Codigo]],tblMantenciones[EsPM],"Sí"),"")</f>
        <v>46129</v>
      </c>
      <c r="Q6" s="78">
        <f>IF(_xlfn.MAXIFS(Mantenciones!$D:$D,Mantenciones!$B:$B,A6)=0,"Sin datos de mantención registrado",_xlfn.MAXIFS(Mantenciones!$D:$D,Mantenciones!$B:$B,A6))</f>
        <v>138500</v>
      </c>
      <c r="R6" s="18">
        <f>IFERROR(IF(_xlfn.MAXIFS(Mantenciones!$D:$D,Mantenciones!$B:$B,$A6,Mantenciones!$E:$E,"Sí",Mantenciones!$D:$D,"&gt;0")=0,"Sin datos de mantención registrado",_xlfn.MAXIFS(Mantenciones!$D:$D,Mantenciones!$B:$B,$A6,Mantenciones!$E:$E,"Sí",Mantenciones!$D:$D,"&gt;0")),"Sin datos de mantención registrado")</f>
        <v>138500</v>
      </c>
      <c r="S6" s="21">
        <f>IFERROR(SUMIFS(tblMantenciones[Costo Mantencion CLP],tblMantenciones[Codigo],A6),0)</f>
        <v>0</v>
      </c>
      <c r="T6" s="21">
        <f>IFERROR(SUMIFS(tblComprasPM[Costo PM CLP],tblComprasPM[Codigo],tblMaestroEquipos[[#This Row],[Codigo]]),0)</f>
        <v>222792.99</v>
      </c>
      <c r="U6" s="21">
        <f>IFERROR(tblMaestroEquipos[[#This Row],[Costo Mantenciones CLP]]+tblMaestroEquipos[[#This Row],[Costo Compras PM CLP]],0)</f>
        <v>222792.99</v>
      </c>
      <c r="V6" s="18" t="str">
        <f>IFERROR(_xlfn.XLOOKUP(tblMaestroEquipos[[#This Row],[Codigo]],tblEquipos[Codigo],tblEquipos[Estado Base]),"")</f>
        <v>Operativo</v>
      </c>
      <c r="W6" s="18" t="str">
        <f t="shared" si="0"/>
        <v>AL DÍA</v>
      </c>
      <c r="X6" s="18" t="str">
        <f t="shared" si="1"/>
        <v/>
      </c>
      <c r="Y6" s="25" t="str">
        <f t="shared" ca="1" si="8"/>
        <v/>
      </c>
      <c r="Z6" s="25">
        <f>IFERROR(IF(_xlfn.MINIFS(tblComprasPM[Fecha],tblComprasPM[Codigo],tblMaestroEquipos[[#This Row],[Codigo]])=0,"",_xlfn.MINIFS(tblComprasPM[Fecha],tblComprasPM[Codigo],tblMaestroEquipos[[#This Row],[Codigo]])),"")</f>
        <v>46086.705769826403</v>
      </c>
      <c r="AA6" s="25">
        <f>IFERROR(IF(_xlfn.MAXIFS(tblBodega[Fecha],tblBodega[Codigo],tblMaestroEquipos[[#This Row],[Codigo]])=0,"",_xlfn.MAXIFS(tblBodega[Fecha],tblBodega[Codigo],tblMaestroEquipos[[#This Row],[Codigo]])),"")</f>
        <v>46129</v>
      </c>
      <c r="AB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43</v>
      </c>
      <c r="AC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6" s="51" t="str">
        <f t="shared" si="2"/>
        <v>OPERATIVO</v>
      </c>
      <c r="AF6" s="18" t="str">
        <f t="shared" si="3"/>
        <v>BAJA</v>
      </c>
      <c r="AG6" s="18" t="str">
        <f t="shared" si="4"/>
        <v>Monitorear próximo vencimiento</v>
      </c>
      <c r="AH6">
        <f t="shared" si="5"/>
        <v>0</v>
      </c>
      <c r="AI6" t="str">
        <f t="shared" ca="1" si="6"/>
        <v/>
      </c>
      <c r="AJ6" s="24">
        <f t="shared" si="7"/>
        <v>99</v>
      </c>
    </row>
    <row r="7" spans="1:36">
      <c r="A7" s="18" t="s">
        <v>109</v>
      </c>
      <c r="B7" s="18" t="s">
        <v>110</v>
      </c>
      <c r="C7" s="18" t="s">
        <v>1069</v>
      </c>
      <c r="D7" s="18" t="s">
        <v>111</v>
      </c>
      <c r="E7" s="19" t="s">
        <v>112</v>
      </c>
      <c r="F7" s="18">
        <v>2012</v>
      </c>
      <c r="G7" s="18" t="str" cm="1">
        <f t="array" ref="G7">IFERROR(INDEX(Lecturas!$E$4:$E$3549,MATCH(1,(Lecturas!$B$4:$B$3549=$A7)*(Lecturas!$E$4:$E$3549&lt;&gt;"")*(Lecturas!$A$4:$A$3549=_xlfn.MAXIFS(Lecturas!$A$4:$A$3549,Lecturas!$B$4:$B$3549,$A7,Lecturas!$E$4:$E$3549,"&lt;&gt;")),0)),"")</f>
        <v>Palmucho</v>
      </c>
      <c r="H7" s="18" t="s">
        <v>57</v>
      </c>
      <c r="I7" s="18" t="s">
        <v>18</v>
      </c>
      <c r="J7" s="18">
        <v>250</v>
      </c>
      <c r="K7" s="18">
        <f>IFERROR(IF($I7="KM",ROUND((_xlfn.MAXIFS(tblLecturas[Kilometraje],tblLecturas[Codigo],$A7)-_xlfn.MINIFS(tblLecturas[Kilometraje],tblLecturas[Codigo],$A7))/(MAX(1,_xlfn.MAXIFS(tblLecturas[Fecha],tblLecturas[Codigo],$A7)-_xlfn.MINIFS(tblLecturas[Fecha],tblLecturas[Codigo],$A7))),1),ROUND((_xlfn.MAXIFS(tblLecturas[Horometro],tblLecturas[Codigo],$A7)-_xlfn.MINIFS(tblLecturas[Horometro],tblLecturas[Codigo],$A7))/(MAX(1,_xlfn.MAXIFS(tblLecturas[Fecha],tblLecturas[Codigo],$A7)-_xlfn.MINIFS(tblLecturas[Fecha],tblLecturas[Codigo],$A7))),1)),"")</f>
        <v>0</v>
      </c>
      <c r="L7" s="20">
        <f>IFERROR(_xlfn.MAXIFS(tblLecturas[Fecha],tblLecturas[Codigo],$A7),"")</f>
        <v>46105</v>
      </c>
      <c r="M7" s="26">
        <f>IFERROR(_xlfn.MAXIFS(Lecturas!$C:$C,Lecturas!$B:$B,$A7,Lecturas!$C:$C,"&gt;0"),"")</f>
        <v>0</v>
      </c>
      <c r="N7" s="78">
        <f>IFERROR(_xlfn.MAXIFS(tblLecturas[Kilometraje],tblLecturas[Codigo],$A7,tblLecturas[Kilometraje],"&gt;0"),"")</f>
        <v>141791</v>
      </c>
      <c r="O7" s="78" t="str" cm="1">
        <f t="array" ref="O7">IFERROR(IF($I7="KM",LOOKUP(2,1/(Lecturas!$B:$B=$A7)/(Lecturas!$D:$D&gt;0),Lecturas!$D:$D),LOOKUP(2,1/(Lecturas!$B:$B=$A7)/(Lecturas!$C:$C&gt;0),Lecturas!$C:$C)),"")</f>
        <v/>
      </c>
      <c r="P7" s="20">
        <f>IFERROR(_xlfn.MAXIFS(tblMantenciones[Fecha],tblMantenciones[Codigo],tblMaestroEquipos[[#This Row],[Codigo]],tblMantenciones[EsPM],"Sí"),"")</f>
        <v>0</v>
      </c>
      <c r="Q7" s="78" t="str">
        <f>IF(_xlfn.MAXIFS(Mantenciones!$D:$D,Mantenciones!$B:$B,A7)=0,"Sin datos de mantención registrado",_xlfn.MAXIFS(Mantenciones!$D:$D,Mantenciones!$B:$B,A7))</f>
        <v>Sin datos de mantención registrado</v>
      </c>
      <c r="R7" s="18" t="str">
        <f>IFERROR(IF(_xlfn.MAXIFS(Mantenciones!$D:$D,Mantenciones!$B:$B,$A7,Mantenciones!$E:$E,"Sí",Mantenciones!$D:$D,"&gt;0")=0,"Sin datos de mantención registrado",_xlfn.MAXIFS(Mantenciones!$D:$D,Mantenciones!$B:$B,$A7,Mantenciones!$E:$E,"Sí",Mantenciones!$D:$D,"&gt;0")),"Sin datos de mantención registrado")</f>
        <v>Sin datos de mantención registrado</v>
      </c>
      <c r="S7" s="21">
        <f>IFERROR(SUMIFS(tblMantenciones[Costo Mantencion CLP],tblMantenciones[Codigo],A7),0)</f>
        <v>0</v>
      </c>
      <c r="T7" s="21">
        <f>IFERROR(SUMIFS(tblComprasPM[Costo PM CLP],tblComprasPM[Codigo],tblMaestroEquipos[[#This Row],[Codigo]]),0)</f>
        <v>0</v>
      </c>
      <c r="U7" s="21">
        <f>IFERROR(tblMaestroEquipos[[#This Row],[Costo Mantenciones CLP]]+tblMaestroEquipos[[#This Row],[Costo Compras PM CLP]],0)</f>
        <v>0</v>
      </c>
      <c r="V7" s="18" t="str">
        <f>IFERROR(_xlfn.XLOOKUP(tblMaestroEquipos[[#This Row],[Codigo]],tblEquipos[Codigo],tblEquipos[Estado Base]),"")</f>
        <v>Operativo</v>
      </c>
      <c r="W7" s="18" t="str">
        <f t="shared" si="0"/>
        <v>AL DÍA</v>
      </c>
      <c r="X7" s="18" t="str">
        <f t="shared" si="1"/>
        <v/>
      </c>
      <c r="Y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7" s="25" t="str">
        <f>IFERROR(IF(_xlfn.MAXIFS(tblBodega[Fecha],tblBodega[Codigo],tblMaestroEquipos[[#This Row],[Codigo]])=0,"",_xlfn.MAXIFS(tblBodega[Fecha],tblBodega[Codigo],tblMaestroEquipos[[#This Row],[Codigo]])),"")</f>
        <v/>
      </c>
      <c r="AB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7" s="51" t="str">
        <f t="shared" si="2"/>
        <v>OPERATIVO</v>
      </c>
      <c r="AF7" s="18" t="str">
        <f t="shared" si="3"/>
        <v>BAJA</v>
      </c>
      <c r="AG7" s="18" t="str">
        <f t="shared" si="4"/>
        <v>Monitorear próximo vencimiento</v>
      </c>
      <c r="AH7">
        <f t="shared" si="5"/>
        <v>0</v>
      </c>
      <c r="AI7" t="str">
        <f t="shared" si="6"/>
        <v/>
      </c>
      <c r="AJ7" s="24">
        <f t="shared" si="7"/>
        <v>99</v>
      </c>
    </row>
    <row r="8" spans="1:36">
      <c r="A8" s="18" t="s">
        <v>128</v>
      </c>
      <c r="B8" s="18" t="s">
        <v>69</v>
      </c>
      <c r="C8" s="18" t="s">
        <v>1069</v>
      </c>
      <c r="D8" s="18" t="s">
        <v>55</v>
      </c>
      <c r="E8" s="19" t="s">
        <v>129</v>
      </c>
      <c r="F8" s="18">
        <v>2014</v>
      </c>
      <c r="G8" s="18" t="str" cm="1">
        <f t="array" ref="G8">IFERROR(INDEX(Lecturas!$E$4:$E$3549,MATCH(1,(Lecturas!$B$4:$B$3549=$A8)*(Lecturas!$E$4:$E$3549&lt;&gt;"")*(Lecturas!$A$4:$A$3549=_xlfn.MAXIFS(Lecturas!$A$4:$A$3549,Lecturas!$B$4:$B$3549,$A8,Lecturas!$E$4:$E$3549,"&lt;&gt;")),0)),"")</f>
        <v>Oficina Central</v>
      </c>
      <c r="H8" s="18" t="s">
        <v>57</v>
      </c>
      <c r="I8" s="18" t="s">
        <v>18</v>
      </c>
      <c r="J8" s="18">
        <v>250</v>
      </c>
      <c r="K8" s="18">
        <f>IFERROR(IF($I8="KM",ROUND((_xlfn.MAXIFS(tblLecturas[Kilometraje],tblLecturas[Codigo],$A8)-_xlfn.MINIFS(tblLecturas[Kilometraje],tblLecturas[Codigo],$A8))/(MAX(1,_xlfn.MAXIFS(tblLecturas[Fecha],tblLecturas[Codigo],$A8)-_xlfn.MINIFS(tblLecturas[Fecha],tblLecturas[Codigo],$A8))),1),ROUND((_xlfn.MAXIFS(tblLecturas[Horometro],tblLecturas[Codigo],$A8)-_xlfn.MINIFS(tblLecturas[Horometro],tblLecturas[Codigo],$A8))/(MAX(1,_xlfn.MAXIFS(tblLecturas[Fecha],tblLecturas[Codigo],$A8)-_xlfn.MINIFS(tblLecturas[Fecha],tblLecturas[Codigo],$A8))),1)),"")</f>
        <v>0</v>
      </c>
      <c r="L8" s="20">
        <f>IFERROR(_xlfn.MAXIFS(tblLecturas[Fecha],tblLecturas[Codigo],$A8),"")</f>
        <v>46100</v>
      </c>
      <c r="M8" s="26">
        <f>IFERROR(_xlfn.MAXIFS(Lecturas!$C:$C,Lecturas!$B:$B,$A8,Lecturas!$C:$C,"&gt;0"),"")</f>
        <v>0</v>
      </c>
      <c r="N8" s="78">
        <f>IFERROR(_xlfn.MAXIFS(tblLecturas[Kilometraje],tblLecturas[Codigo],$A8,tblLecturas[Kilometraje],"&gt;0"),"")</f>
        <v>649418</v>
      </c>
      <c r="O8" s="78" t="str" cm="1">
        <f t="array" ref="O8">IFERROR(IF($I8="KM",LOOKUP(2,1/(Lecturas!$B:$B=$A8)/(Lecturas!$D:$D&gt;0),Lecturas!$D:$D),LOOKUP(2,1/(Lecturas!$B:$B=$A8)/(Lecturas!$C:$C&gt;0),Lecturas!$C:$C)),"")</f>
        <v/>
      </c>
      <c r="P8" s="20">
        <f>IFERROR(_xlfn.MAXIFS(tblMantenciones[Fecha],tblMantenciones[Codigo],tblMaestroEquipos[[#This Row],[Codigo]],tblMantenciones[EsPM],"Sí"),"")</f>
        <v>0</v>
      </c>
      <c r="Q8" s="78" t="str">
        <f>IF(_xlfn.MAXIFS(Mantenciones!$D:$D,Mantenciones!$B:$B,A8)=0,"Sin datos de mantención registrado",_xlfn.MAXIFS(Mantenciones!$D:$D,Mantenciones!$B:$B,A8))</f>
        <v>Sin datos de mantención registrado</v>
      </c>
      <c r="R8" s="18" t="str">
        <f>IFERROR(IF(_xlfn.MAXIFS(Mantenciones!$D:$D,Mantenciones!$B:$B,$A8,Mantenciones!$E:$E,"Sí",Mantenciones!$D:$D,"&gt;0")=0,"Sin datos de mantención registrado",_xlfn.MAXIFS(Mantenciones!$D:$D,Mantenciones!$B:$B,$A8,Mantenciones!$E:$E,"Sí",Mantenciones!$D:$D,"&gt;0")),"Sin datos de mantención registrado")</f>
        <v>Sin datos de mantención registrado</v>
      </c>
      <c r="S8" s="21">
        <f>IFERROR(SUMIFS(tblMantenciones[Costo Mantencion CLP],tblMantenciones[Codigo],A8),0)</f>
        <v>0</v>
      </c>
      <c r="T8" s="21">
        <f>IFERROR(SUMIFS(tblComprasPM[Costo PM CLP],tblComprasPM[Codigo],tblMaestroEquipos[[#This Row],[Codigo]]),0)</f>
        <v>223858.04</v>
      </c>
      <c r="U8" s="21">
        <f>IFERROR(tblMaestroEquipos[[#This Row],[Costo Mantenciones CLP]]+tblMaestroEquipos[[#This Row],[Costo Compras PM CLP]],0)</f>
        <v>223858.04</v>
      </c>
      <c r="V8" s="18" t="str">
        <f>IFERROR(_xlfn.XLOOKUP(tblMaestroEquipos[[#This Row],[Codigo]],tblEquipos[Codigo],tblEquipos[Estado Base]),"")</f>
        <v>Operativo</v>
      </c>
      <c r="W8" s="18" t="str">
        <f t="shared" si="0"/>
        <v>EN PROCESO</v>
      </c>
      <c r="X8" s="18" t="str">
        <f t="shared" si="1"/>
        <v/>
      </c>
      <c r="Y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8" s="25">
        <f>IFERROR(IF(_xlfn.MINIFS(tblComprasPM[Fecha],tblComprasPM[Codigo],tblMaestroEquipos[[#This Row],[Codigo]])=0,"",_xlfn.MINIFS(tblComprasPM[Fecha],tblComprasPM[Codigo],tblMaestroEquipos[[#This Row],[Codigo]])),"")</f>
        <v>46128.535379282403</v>
      </c>
      <c r="AA8" s="25" t="str">
        <f>IFERROR(IF(_xlfn.MAXIFS(tblBodega[Fecha],tblBodega[Codigo],tblMaestroEquipos[[#This Row],[Codigo]])=0,"",_xlfn.MAXIFS(tblBodega[Fecha],tblBodega[Codigo],tblMaestroEquipos[[#This Row],[Codigo]])),"")</f>
        <v/>
      </c>
      <c r="AB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17</v>
      </c>
      <c r="AC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8" s="51" t="str">
        <f t="shared" si="2"/>
        <v>EN PROCESO</v>
      </c>
      <c r="AF8" s="18" t="str">
        <f t="shared" si="3"/>
        <v>SEGUIMIENTO</v>
      </c>
      <c r="AG8" s="18" t="str">
        <f t="shared" si="4"/>
        <v>Hacer seguimiento al taller y cerrar report</v>
      </c>
      <c r="AH8">
        <f t="shared" si="5"/>
        <v>0</v>
      </c>
      <c r="AI8" t="str">
        <f t="shared" si="6"/>
        <v/>
      </c>
      <c r="AJ8" s="24">
        <f t="shared" si="7"/>
        <v>2</v>
      </c>
    </row>
    <row r="9" spans="1:36">
      <c r="A9" s="18" t="s">
        <v>374</v>
      </c>
      <c r="B9" s="18" t="s">
        <v>279</v>
      </c>
      <c r="C9" s="18" t="s">
        <v>1070</v>
      </c>
      <c r="D9" s="18" t="s">
        <v>375</v>
      </c>
      <c r="E9" s="19" t="s">
        <v>376</v>
      </c>
      <c r="F9" s="18">
        <v>2015</v>
      </c>
      <c r="G9" s="18" t="str" cm="1">
        <f t="array" ref="G9">IFERROR(INDEX(Lecturas!$E$4:$E$3549,MATCH(1,(Lecturas!$B$4:$B$3549=$A9)*(Lecturas!$E$4:$E$3549&lt;&gt;"")*(Lecturas!$A$4:$A$3549=_xlfn.MAXIFS(Lecturas!$A$4:$A$3549,Lecturas!$B$4:$B$3549,$A9,Lecturas!$E$4:$E$3549,"&lt;&gt;")),0)),"")</f>
        <v/>
      </c>
      <c r="H9" s="18" t="s">
        <v>377</v>
      </c>
      <c r="I9" s="18" t="s">
        <v>18</v>
      </c>
      <c r="J9" s="18">
        <v>250</v>
      </c>
      <c r="K9" s="18">
        <f>IFERROR(IF($I9="KM",ROUND((_xlfn.MAXIFS(tblLecturas[Kilometraje],tblLecturas[Codigo],$A9)-_xlfn.MINIFS(tblLecturas[Kilometraje],tblLecturas[Codigo],$A9))/(MAX(1,_xlfn.MAXIFS(tblLecturas[Fecha],tblLecturas[Codigo],$A9)-_xlfn.MINIFS(tblLecturas[Fecha],tblLecturas[Codigo],$A9))),1),ROUND((_xlfn.MAXIFS(tblLecturas[Horometro],tblLecturas[Codigo],$A9)-_xlfn.MINIFS(tblLecturas[Horometro],tblLecturas[Codigo],$A9))/(MAX(1,_xlfn.MAXIFS(tblLecturas[Fecha],tblLecturas[Codigo],$A9)-_xlfn.MINIFS(tblLecturas[Fecha],tblLecturas[Codigo],$A9))),1)),"")</f>
        <v>1.6</v>
      </c>
      <c r="L9" s="20">
        <f>IFERROR(_xlfn.MAXIFS(tblLecturas[Fecha],tblLecturas[Codigo],$A9),"")</f>
        <v>46084</v>
      </c>
      <c r="M9" s="26">
        <f>IFERROR(_xlfn.MAXIFS(Lecturas!$C:$C,Lecturas!$B:$B,$A9,Lecturas!$C:$C,"&gt;0"),"")</f>
        <v>5671</v>
      </c>
      <c r="N9" s="78">
        <f>IFERROR(_xlfn.MAXIFS(tblLecturas[Kilometraje],tblLecturas[Codigo],$A9,tblLecturas[Kilometraje],"&gt;0"),"")</f>
        <v>0</v>
      </c>
      <c r="O9" s="78" cm="1">
        <f t="array" ref="O9">IFERROR(IF($I9="KM",LOOKUP(2,1/(Lecturas!$B:$B=$A9)/(Lecturas!$D:$D&gt;0),Lecturas!$D:$D),LOOKUP(2,1/(Lecturas!$B:$B=$A9)/(Lecturas!$C:$C&gt;0),Lecturas!$C:$C)),"")</f>
        <v>4000</v>
      </c>
      <c r="P9" s="20">
        <f>IFERROR(_xlfn.MAXIFS(tblMantenciones[Fecha],tblMantenciones[Codigo],tblMaestroEquipos[[#This Row],[Codigo]],tblMantenciones[EsPM],"Sí"),"")</f>
        <v>0</v>
      </c>
      <c r="Q9" s="78" t="str">
        <f>IF(_xlfn.MAXIFS(Mantenciones!$D:$D,Mantenciones!$B:$B,A9)=0,"Sin datos de mantención registrado",_xlfn.MAXIFS(Mantenciones!$D:$D,Mantenciones!$B:$B,A9))</f>
        <v>Sin datos de mantención registrado</v>
      </c>
      <c r="R9" s="18" t="str">
        <f>IFERROR(IF(_xlfn.MAXIFS(Mantenciones!$D:$D,Mantenciones!$B:$B,$A9,Mantenciones!$E:$E,"Sí",Mantenciones!$D:$D,"&gt;0")=0,"Sin datos de mantención registrado",_xlfn.MAXIFS(Mantenciones!$D:$D,Mantenciones!$B:$B,$A9,Mantenciones!$E:$E,"Sí",Mantenciones!$D:$D,"&gt;0")),"Sin datos de mantención registrado")</f>
        <v>Sin datos de mantención registrado</v>
      </c>
      <c r="S9" s="21">
        <f>IFERROR(SUMIFS(tblMantenciones[Costo Mantencion CLP],tblMantenciones[Codigo],A9),0)</f>
        <v>0</v>
      </c>
      <c r="T9" s="21">
        <f>IFERROR(SUMIFS(tblComprasPM[Costo PM CLP],tblComprasPM[Codigo],tblMaestroEquipos[[#This Row],[Codigo]]),0)</f>
        <v>0</v>
      </c>
      <c r="U9" s="21">
        <f>IFERROR(tblMaestroEquipos[[#This Row],[Costo Mantenciones CLP]]+tblMaestroEquipos[[#This Row],[Costo Compras PM CLP]],0)</f>
        <v>0</v>
      </c>
      <c r="V9" s="18" t="str">
        <f>IFERROR(_xlfn.XLOOKUP(tblMaestroEquipos[[#This Row],[Codigo]],tblEquipos[Codigo],tblEquipos[Estado Base]),"")</f>
        <v>Operativo</v>
      </c>
      <c r="W9" s="18" t="str">
        <f t="shared" si="0"/>
        <v>AL DÍA</v>
      </c>
      <c r="X9" s="18" t="str">
        <f t="shared" si="1"/>
        <v/>
      </c>
      <c r="Y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9" s="25" t="str">
        <f>IFERROR(IF(_xlfn.MAXIFS(tblBodega[Fecha],tblBodega[Codigo],tblMaestroEquipos[[#This Row],[Codigo]])=0,"",_xlfn.MAXIFS(tblBodega[Fecha],tblBodega[Codigo],tblMaestroEquipos[[#This Row],[Codigo]])),"")</f>
        <v/>
      </c>
      <c r="AB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9" s="51" t="str">
        <f t="shared" si="2"/>
        <v>OPERATIVO</v>
      </c>
      <c r="AF9" s="18" t="str">
        <f t="shared" si="3"/>
        <v>BAJA</v>
      </c>
      <c r="AG9" s="18" t="str">
        <f t="shared" si="4"/>
        <v>Monitorear próximo vencimiento</v>
      </c>
      <c r="AH9">
        <f t="shared" si="5"/>
        <v>0</v>
      </c>
      <c r="AI9" t="str">
        <f t="shared" si="6"/>
        <v/>
      </c>
      <c r="AJ9" s="24">
        <f t="shared" si="7"/>
        <v>99</v>
      </c>
    </row>
    <row r="10" spans="1:36">
      <c r="A10" s="18" t="s">
        <v>187</v>
      </c>
      <c r="B10" s="18" t="s">
        <v>69</v>
      </c>
      <c r="C10" s="18" t="s">
        <v>1069</v>
      </c>
      <c r="D10" s="18" t="s">
        <v>21</v>
      </c>
      <c r="E10" s="19" t="s">
        <v>188</v>
      </c>
      <c r="F10" s="18">
        <v>2013</v>
      </c>
      <c r="G10" s="18" t="str" cm="1">
        <f t="array" ref="G10">IFERROR(INDEX(Lecturas!$E$4:$E$3549,MATCH(1,(Lecturas!$B$4:$B$3549=$A10)*(Lecturas!$E$4:$E$3549&lt;&gt;"")*(Lecturas!$A$4:$A$3549=_xlfn.MAXIFS(Lecturas!$A$4:$A$3549,Lecturas!$B$4:$B$3549,$A10,Lecturas!$E$4:$E$3549,"&lt;&gt;")),0)),"")</f>
        <v/>
      </c>
      <c r="H10" s="18" t="s">
        <v>189</v>
      </c>
      <c r="I10" s="18" t="s">
        <v>18</v>
      </c>
      <c r="J10" s="18">
        <v>250</v>
      </c>
      <c r="K10" s="18">
        <f>IFERROR(IF($I10="KM",ROUND((_xlfn.MAXIFS(tblLecturas[Kilometraje],tblLecturas[Codigo],$A10)-_xlfn.MINIFS(tblLecturas[Kilometraje],tblLecturas[Codigo],$A10))/(MAX(1,_xlfn.MAXIFS(tblLecturas[Fecha],tblLecturas[Codigo],$A10)-_xlfn.MINIFS(tblLecturas[Fecha],tblLecturas[Codigo],$A10))),1),ROUND((_xlfn.MAXIFS(tblLecturas[Horometro],tblLecturas[Codigo],$A10)-_xlfn.MINIFS(tblLecturas[Horometro],tblLecturas[Codigo],$A10))/(MAX(1,_xlfn.MAXIFS(tblLecturas[Fecha],tblLecturas[Codigo],$A10)-_xlfn.MINIFS(tblLecturas[Fecha],tblLecturas[Codigo],$A10))),1)),"")</f>
        <v>0</v>
      </c>
      <c r="L10" s="20">
        <f>IFERROR(_xlfn.MAXIFS(tblLecturas[Fecha],tblLecturas[Codigo],$A10),"")</f>
        <v>46080</v>
      </c>
      <c r="M10" s="26">
        <f>IFERROR(_xlfn.MAXIFS(Lecturas!$C:$C,Lecturas!$B:$B,$A10,Lecturas!$C:$C,"&gt;0"),"")</f>
        <v>0</v>
      </c>
      <c r="N10" s="78">
        <f>IFERROR(_xlfn.MAXIFS(tblLecturas[Kilometraje],tblLecturas[Codigo],$A10,tblLecturas[Kilometraje],"&gt;0"),"")</f>
        <v>534934</v>
      </c>
      <c r="O10" s="78" t="str" cm="1">
        <f t="array" ref="O10">IFERROR(IF($I10="KM",LOOKUP(2,1/(Lecturas!$B:$B=$A10)/(Lecturas!$D:$D&gt;0),Lecturas!$D:$D),LOOKUP(2,1/(Lecturas!$B:$B=$A10)/(Lecturas!$C:$C&gt;0),Lecturas!$C:$C)),"")</f>
        <v/>
      </c>
      <c r="P10" s="20">
        <f>IFERROR(_xlfn.MAXIFS(tblMantenciones[Fecha],tblMantenciones[Codigo],tblMaestroEquipos[[#This Row],[Codigo]],tblMantenciones[EsPM],"Sí"),"")</f>
        <v>46014</v>
      </c>
      <c r="Q10" s="78">
        <f>IF(_xlfn.MAXIFS(Mantenciones!$D:$D,Mantenciones!$B:$B,A10)=0,"Sin datos de mantención registrado",_xlfn.MAXIFS(Mantenciones!$D:$D,Mantenciones!$B:$B,A10))</f>
        <v>530211</v>
      </c>
      <c r="R10" s="18">
        <f>IFERROR(IF(_xlfn.MAXIFS(Mantenciones!$D:$D,Mantenciones!$B:$B,$A10,Mantenciones!$E:$E,"Sí",Mantenciones!$D:$D,"&gt;0")=0,"Sin datos de mantención registrado",_xlfn.MAXIFS(Mantenciones!$D:$D,Mantenciones!$B:$B,$A10,Mantenciones!$E:$E,"Sí",Mantenciones!$D:$D,"&gt;0")),"Sin datos de mantención registrado")</f>
        <v>530211</v>
      </c>
      <c r="S10" s="21">
        <f>IFERROR(SUMIFS(tblMantenciones[Costo Mantencion CLP],tblMantenciones[Codigo],A10),0)</f>
        <v>0</v>
      </c>
      <c r="T10" s="21">
        <f>IFERROR(SUMIFS(tblComprasPM[Costo PM CLP],tblComprasPM[Codigo],tblMaestroEquipos[[#This Row],[Codigo]]),0)</f>
        <v>0</v>
      </c>
      <c r="U10" s="21">
        <f>IFERROR(tblMaestroEquipos[[#This Row],[Costo Mantenciones CLP]]+tblMaestroEquipos[[#This Row],[Costo Compras PM CLP]],0)</f>
        <v>0</v>
      </c>
      <c r="V10" s="18" t="str">
        <f>IFERROR(_xlfn.XLOOKUP(tblMaestroEquipos[[#This Row],[Codigo]],tblEquipos[Codigo],tblEquipos[Estado Base]),"")</f>
        <v>Operativo</v>
      </c>
      <c r="W10" s="18" t="str">
        <f t="shared" si="0"/>
        <v>AL DÍA</v>
      </c>
      <c r="X10" s="18" t="str">
        <f t="shared" si="1"/>
        <v/>
      </c>
      <c r="Y1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0" s="25" t="str">
        <f>IFERROR(IF(_xlfn.MAXIFS(tblBodega[Fecha],tblBodega[Codigo],tblMaestroEquipos[[#This Row],[Codigo]])=0,"",_xlfn.MAXIFS(tblBodega[Fecha],tblBodega[Codigo],tblMaestroEquipos[[#This Row],[Codigo]])),"")</f>
        <v/>
      </c>
      <c r="AB1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0" s="51" t="str">
        <f t="shared" si="2"/>
        <v>OPERATIVO</v>
      </c>
      <c r="AF10" s="18" t="str">
        <f t="shared" si="3"/>
        <v>BAJA</v>
      </c>
      <c r="AG10" s="18" t="str">
        <f t="shared" si="4"/>
        <v>Monitorear próximo vencimiento</v>
      </c>
      <c r="AH10">
        <f t="shared" si="5"/>
        <v>0</v>
      </c>
      <c r="AI10" t="str">
        <f t="shared" si="6"/>
        <v/>
      </c>
      <c r="AJ10" s="24">
        <f t="shared" si="7"/>
        <v>99</v>
      </c>
    </row>
    <row r="11" spans="1:36">
      <c r="A11" s="18" t="s">
        <v>138</v>
      </c>
      <c r="B11" s="18" t="s">
        <v>136</v>
      </c>
      <c r="C11" s="18" t="s">
        <v>1070</v>
      </c>
      <c r="D11" s="18" t="s">
        <v>55</v>
      </c>
      <c r="E11" s="19" t="s">
        <v>139</v>
      </c>
      <c r="F11" s="18">
        <v>2011</v>
      </c>
      <c r="G11" s="18" t="str" cm="1">
        <f t="array" ref="G11">IFERROR(INDEX(Lecturas!$E$4:$E$3549,MATCH(1,(Lecturas!$B$4:$B$3549=$A11)*(Lecturas!$E$4:$E$3549&lt;&gt;"")*(Lecturas!$A$4:$A$3549=_xlfn.MAXIFS(Lecturas!$A$4:$A$3549,Lecturas!$B$4:$B$3549,$A11,Lecturas!$E$4:$E$3549,"&lt;&gt;")),0)),"")</f>
        <v>Palmucho</v>
      </c>
      <c r="H11" s="18"/>
      <c r="I11" s="18" t="s">
        <v>18</v>
      </c>
      <c r="J11" s="18">
        <v>250</v>
      </c>
      <c r="K11" s="18">
        <f>IFERROR(IF($I11="KM",ROUND((_xlfn.MAXIFS(tblLecturas[Kilometraje],tblLecturas[Codigo],$A11)-_xlfn.MINIFS(tblLecturas[Kilometraje],tblLecturas[Codigo],$A11))/(MAX(1,_xlfn.MAXIFS(tblLecturas[Fecha],tblLecturas[Codigo],$A11)-_xlfn.MINIFS(tblLecturas[Fecha],tblLecturas[Codigo],$A11))),1),ROUND((_xlfn.MAXIFS(tblLecturas[Horometro],tblLecturas[Codigo],$A11)-_xlfn.MINIFS(tblLecturas[Horometro],tblLecturas[Codigo],$A11))/(MAX(1,_xlfn.MAXIFS(tblLecturas[Fecha],tblLecturas[Codigo],$A11)-_xlfn.MINIFS(tblLecturas[Fecha],tblLecturas[Codigo],$A11))),1)),"")</f>
        <v>0</v>
      </c>
      <c r="L11" s="20">
        <f>IFERROR(_xlfn.MAXIFS(tblLecturas[Fecha],tblLecturas[Codigo],$A11),"")</f>
        <v>46111</v>
      </c>
      <c r="M11" s="26">
        <f>IFERROR(_xlfn.MAXIFS(Lecturas!$C:$C,Lecturas!$B:$B,$A11,Lecturas!$C:$C,"&gt;0"),"")</f>
        <v>0</v>
      </c>
      <c r="N11" s="78">
        <f>IFERROR(_xlfn.MAXIFS(tblLecturas[Kilometraje],tblLecturas[Codigo],$A11,tblLecturas[Kilometraje],"&gt;0"),"")</f>
        <v>787536</v>
      </c>
      <c r="O11" s="78" t="str" cm="1">
        <f t="array" ref="O11">IFERROR(IF($I11="KM",LOOKUP(2,1/(Lecturas!$B:$B=$A11)/(Lecturas!$D:$D&gt;0),Lecturas!$D:$D),LOOKUP(2,1/(Lecturas!$B:$B=$A11)/(Lecturas!$C:$C&gt;0),Lecturas!$C:$C)),"")</f>
        <v/>
      </c>
      <c r="P11" s="20">
        <f>IFERROR(_xlfn.MAXIFS(tblMantenciones[Fecha],tblMantenciones[Codigo],tblMaestroEquipos[[#This Row],[Codigo]],tblMantenciones[EsPM],"Sí"),"")</f>
        <v>46086</v>
      </c>
      <c r="Q11" s="78">
        <f>IF(_xlfn.MAXIFS(Mantenciones!$D:$D,Mantenciones!$B:$B,A11)=0,"Sin datos de mantención registrado",_xlfn.MAXIFS(Mantenciones!$D:$D,Mantenciones!$B:$B,A11))</f>
        <v>295000</v>
      </c>
      <c r="R11" s="18">
        <f>IFERROR(IF(_xlfn.MAXIFS(Mantenciones!$D:$D,Mantenciones!$B:$B,$A11,Mantenciones!$E:$E,"Sí",Mantenciones!$D:$D,"&gt;0")=0,"Sin datos de mantención registrado",_xlfn.MAXIFS(Mantenciones!$D:$D,Mantenciones!$B:$B,$A11,Mantenciones!$E:$E,"Sí",Mantenciones!$D:$D,"&gt;0")),"Sin datos de mantención registrado")</f>
        <v>295000</v>
      </c>
      <c r="S11" s="21">
        <f>IFERROR(SUMIFS(tblMantenciones[Costo Mantencion CLP],tblMantenciones[Codigo],A11),0)</f>
        <v>0</v>
      </c>
      <c r="T11" s="21">
        <f>IFERROR(SUMIFS(tblComprasPM[Costo PM CLP],tblComprasPM[Codigo],tblMaestroEquipos[[#This Row],[Codigo]]),0)</f>
        <v>0</v>
      </c>
      <c r="U11" s="21">
        <f>IFERROR(tblMaestroEquipos[[#This Row],[Costo Mantenciones CLP]]+tblMaestroEquipos[[#This Row],[Costo Compras PM CLP]],0)</f>
        <v>0</v>
      </c>
      <c r="V11" s="18" t="str">
        <f>IFERROR(_xlfn.XLOOKUP(tblMaestroEquipos[[#This Row],[Codigo]],tblEquipos[Codigo],tblEquipos[Estado Base]),"")</f>
        <v>Operativo</v>
      </c>
      <c r="W11" s="18" t="str">
        <f t="shared" si="0"/>
        <v>POR RECIBIR</v>
      </c>
      <c r="X11" s="18" t="str">
        <f t="shared" si="1"/>
        <v/>
      </c>
      <c r="Y1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1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1" s="25">
        <f>IFERROR(IF(_xlfn.MAXIFS(tblBodega[Fecha],tblBodega[Codigo],tblMaestroEquipos[[#This Row],[Codigo]])=0,"",_xlfn.MAXIFS(tblBodega[Fecha],tblBodega[Codigo],tblMaestroEquipos[[#This Row],[Codigo]])),"")</f>
        <v>46090</v>
      </c>
      <c r="AB11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1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1" s="51" t="str">
        <f t="shared" si="2"/>
        <v>OPERATIVO</v>
      </c>
      <c r="AF11" s="18" t="str">
        <f t="shared" si="3"/>
        <v>BAJA</v>
      </c>
      <c r="AG11" s="18" t="str">
        <f t="shared" si="4"/>
        <v>Monitorear próximo vencimiento</v>
      </c>
      <c r="AH11" s="27">
        <f t="shared" si="5"/>
        <v>0</v>
      </c>
      <c r="AI11" s="27" t="str">
        <f t="shared" si="6"/>
        <v/>
      </c>
      <c r="AJ11" s="24">
        <f t="shared" si="7"/>
        <v>3</v>
      </c>
    </row>
    <row r="12" spans="1:36">
      <c r="A12" s="18" t="s">
        <v>159</v>
      </c>
      <c r="B12" s="18" t="s">
        <v>116</v>
      </c>
      <c r="C12" s="18" t="s">
        <v>1069</v>
      </c>
      <c r="D12" s="18" t="s">
        <v>111</v>
      </c>
      <c r="E12" s="19" t="s">
        <v>112</v>
      </c>
      <c r="F12" s="18">
        <v>2008</v>
      </c>
      <c r="G12" s="18" t="str" cm="1">
        <f t="array" ref="G12">IFERROR(INDEX(Lecturas!$E$4:$E$3549,MATCH(1,(Lecturas!$B$4:$B$3549=$A12)*(Lecturas!$E$4:$E$3549&lt;&gt;"")*(Lecturas!$A$4:$A$3549=_xlfn.MAXIFS(Lecturas!$A$4:$A$3549,Lecturas!$B$4:$B$3549,$A12,Lecturas!$E$4:$E$3549,"&lt;&gt;")),0)),"")</f>
        <v>Palmucho</v>
      </c>
      <c r="H12" s="18" t="s">
        <v>160</v>
      </c>
      <c r="I12" s="18" t="s">
        <v>18</v>
      </c>
      <c r="J12" s="18">
        <v>250</v>
      </c>
      <c r="K12" s="18">
        <f>IFERROR(IF($I12="KM",ROUND((_xlfn.MAXIFS(tblLecturas[Kilometraje],tblLecturas[Codigo],$A12)-_xlfn.MINIFS(tblLecturas[Kilometraje],tblLecturas[Codigo],$A12))/(MAX(1,_xlfn.MAXIFS(tblLecturas[Fecha],tblLecturas[Codigo],$A12)-_xlfn.MINIFS(tblLecturas[Fecha],tblLecturas[Codigo],$A12))),1),ROUND((_xlfn.MAXIFS(tblLecturas[Horometro],tblLecturas[Codigo],$A12)-_xlfn.MINIFS(tblLecturas[Horometro],tblLecturas[Codigo],$A12))/(MAX(1,_xlfn.MAXIFS(tblLecturas[Fecha],tblLecturas[Codigo],$A12)-_xlfn.MINIFS(tblLecturas[Fecha],tblLecturas[Codigo],$A12))),1)),"")</f>
        <v>0</v>
      </c>
      <c r="L12" s="20">
        <f>IFERROR(_xlfn.MAXIFS(tblLecturas[Fecha],tblLecturas[Codigo],$A12),"")</f>
        <v>46107</v>
      </c>
      <c r="M12" s="26">
        <f>IFERROR(_xlfn.MAXIFS(Lecturas!$C:$C,Lecturas!$B:$B,$A12,Lecturas!$C:$C,"&gt;0"),"")</f>
        <v>0</v>
      </c>
      <c r="N12" s="78">
        <f>IFERROR(_xlfn.MAXIFS(tblLecturas[Kilometraje],tblLecturas[Codigo],$A12,tblLecturas[Kilometraje],"&gt;0"),"")</f>
        <v>175043</v>
      </c>
      <c r="O12" s="78" t="str" cm="1">
        <f t="array" ref="O12">IFERROR(IF($I12="KM",LOOKUP(2,1/(Lecturas!$B:$B=$A12)/(Lecturas!$D:$D&gt;0),Lecturas!$D:$D),LOOKUP(2,1/(Lecturas!$B:$B=$A12)/(Lecturas!$C:$C&gt;0),Lecturas!$C:$C)),"")</f>
        <v/>
      </c>
      <c r="P12" s="20">
        <f>IFERROR(_xlfn.MAXIFS(tblMantenciones[Fecha],tblMantenciones[Codigo],tblMaestroEquipos[[#This Row],[Codigo]],tblMantenciones[EsPM],"Sí"),"")</f>
        <v>0</v>
      </c>
      <c r="Q12" s="78" t="str">
        <f>IF(_xlfn.MAXIFS(Mantenciones!$D:$D,Mantenciones!$B:$B,A12)=0,"Sin datos de mantención registrado",_xlfn.MAXIFS(Mantenciones!$D:$D,Mantenciones!$B:$B,A12))</f>
        <v>Sin datos de mantención registrado</v>
      </c>
      <c r="R12" s="18" t="str">
        <f>IFERROR(IF(_xlfn.MAXIFS(Mantenciones!$D:$D,Mantenciones!$B:$B,$A12,Mantenciones!$E:$E,"Sí",Mantenciones!$D:$D,"&gt;0")=0,"Sin datos de mantención registrado",_xlfn.MAXIFS(Mantenciones!$D:$D,Mantenciones!$B:$B,$A12,Mantenciones!$E:$E,"Sí",Mantenciones!$D:$D,"&gt;0")),"Sin datos de mantención registrado")</f>
        <v>Sin datos de mantención registrado</v>
      </c>
      <c r="S12" s="21">
        <f>IFERROR(SUMIFS(tblMantenciones[Costo Mantencion CLP],tblMantenciones[Codigo],A12),0)</f>
        <v>0</v>
      </c>
      <c r="T12" s="21">
        <f>IFERROR(SUMIFS(tblComprasPM[Costo PM CLP],tblComprasPM[Codigo],tblMaestroEquipos[[#This Row],[Codigo]]),0)</f>
        <v>393830.5</v>
      </c>
      <c r="U12" s="21">
        <f>IFERROR(tblMaestroEquipos[[#This Row],[Costo Mantenciones CLP]]+tblMaestroEquipos[[#This Row],[Costo Compras PM CLP]],0)</f>
        <v>393830.5</v>
      </c>
      <c r="V12" s="18" t="str">
        <f>IFERROR(_xlfn.XLOOKUP(tblMaestroEquipos[[#This Row],[Codigo]],tblEquipos[Codigo],tblEquipos[Estado Base]),"")</f>
        <v>Operativo</v>
      </c>
      <c r="W12" s="18" t="str">
        <f t="shared" si="0"/>
        <v>POR RECIBIR</v>
      </c>
      <c r="X12" s="18" t="str">
        <f t="shared" si="1"/>
        <v/>
      </c>
      <c r="Y1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2" s="25">
        <f>IFERROR(IF(_xlfn.MINIFS(tblComprasPM[Fecha],tblComprasPM[Codigo],tblMaestroEquipos[[#This Row],[Codigo]])=0,"",_xlfn.MINIFS(tblComprasPM[Fecha],tblComprasPM[Codigo],tblMaestroEquipos[[#This Row],[Codigo]])),"")</f>
        <v>46078.661368634297</v>
      </c>
      <c r="AA12" s="25">
        <f>IFERROR(IF(_xlfn.MAXIFS(tblBodega[Fecha],tblBodega[Codigo],tblMaestroEquipos[[#This Row],[Codigo]])=0,"",_xlfn.MAXIFS(tblBodega[Fecha],tblBodega[Codigo],tblMaestroEquipos[[#This Row],[Codigo]])),"")</f>
        <v>46087</v>
      </c>
      <c r="AB12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67</v>
      </c>
      <c r="AC12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58</v>
      </c>
      <c r="AD1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2" s="51" t="str">
        <f t="shared" si="2"/>
        <v>OPERATIVO</v>
      </c>
      <c r="AF12" s="18" t="str">
        <f t="shared" si="3"/>
        <v>BAJA</v>
      </c>
      <c r="AG12" s="18" t="str">
        <f t="shared" si="4"/>
        <v>Monitorear próximo vencimiento</v>
      </c>
      <c r="AH12">
        <f t="shared" si="5"/>
        <v>0</v>
      </c>
      <c r="AI12" t="str">
        <f t="shared" si="6"/>
        <v/>
      </c>
      <c r="AJ12" s="24">
        <f t="shared" si="7"/>
        <v>3</v>
      </c>
    </row>
    <row r="13" spans="1:36">
      <c r="A13" s="18" t="s">
        <v>50</v>
      </c>
      <c r="B13" s="18" t="s">
        <v>45</v>
      </c>
      <c r="C13" s="18" t="s">
        <v>1069</v>
      </c>
      <c r="D13" s="18" t="s">
        <v>51</v>
      </c>
      <c r="E13" s="19" t="s">
        <v>52</v>
      </c>
      <c r="F13" s="18">
        <v>2015</v>
      </c>
      <c r="G13" s="18" t="str" cm="1">
        <f t="array" ref="G13">IFERROR(INDEX(Lecturas!$E$4:$E$3549,MATCH(1,(Lecturas!$B$4:$B$3549=$A13)*(Lecturas!$E$4:$E$3549&lt;&gt;"")*(Lecturas!$A$4:$A$3549=_xlfn.MAXIFS(Lecturas!$A$4:$A$3549,Lecturas!$B$4:$B$3549,$A13,Lecturas!$E$4:$E$3549,"&lt;&gt;")),0)),"")</f>
        <v>Cobquecura</v>
      </c>
      <c r="H13" s="18" t="s">
        <v>53</v>
      </c>
      <c r="I13" s="18" t="s">
        <v>462</v>
      </c>
      <c r="J13" s="18">
        <v>10000</v>
      </c>
      <c r="K13" s="18">
        <f>IFERROR(IF($I13="KM",ROUND((_xlfn.MAXIFS(tblLecturas[Kilometraje],tblLecturas[Codigo],$A13)-_xlfn.MINIFS(tblLecturas[Kilometraje],tblLecturas[Codigo],$A13))/(MAX(1,_xlfn.MAXIFS(tblLecturas[Fecha],tblLecturas[Codigo],$A13)-_xlfn.MINIFS(tblLecturas[Fecha],tblLecturas[Codigo],$A13))),1),ROUND((_xlfn.MAXIFS(tblLecturas[Horometro],tblLecturas[Codigo],$A13)-_xlfn.MINIFS(tblLecturas[Horometro],tblLecturas[Codigo],$A13))/(MAX(1,_xlfn.MAXIFS(tblLecturas[Fecha],tblLecturas[Codigo],$A13)-_xlfn.MINIFS(tblLecturas[Fecha],tblLecturas[Codigo],$A13))),1)),"")</f>
        <v>67.099999999999994</v>
      </c>
      <c r="L13" s="20">
        <f>IFERROR(_xlfn.MAXIFS(tblLecturas[Fecha],tblLecturas[Codigo],$A13),"")</f>
        <v>46111</v>
      </c>
      <c r="M13" s="26">
        <f>IFERROR(_xlfn.MAXIFS(Lecturas!$C:$C,Lecturas!$B:$B,$A13,Lecturas!$C:$C,"&gt;0"),"")</f>
        <v>0</v>
      </c>
      <c r="N13" s="78">
        <f>IFERROR(_xlfn.MAXIFS(tblLecturas[Kilometraje],tblLecturas[Codigo],$A13,tblLecturas[Kilometraje],"&gt;0"),"")</f>
        <v>275886</v>
      </c>
      <c r="O13" s="78" cm="1">
        <f t="array" ref="O13">IFERROR(IF($I13="KM",LOOKUP(2,1/(Lecturas!$B:$B=$A13)/(Lecturas!$D:$D&gt;0),Lecturas!$D:$D),LOOKUP(2,1/(Lecturas!$B:$B=$A13)/(Lecturas!$C:$C&gt;0),Lecturas!$C:$C)),"")</f>
        <v>193328</v>
      </c>
      <c r="P13" s="20">
        <f>IFERROR(_xlfn.MAXIFS(tblMantenciones[Fecha],tblMantenciones[Codigo],tblMaestroEquipos[[#This Row],[Codigo]],tblMantenciones[EsPM],"Sí"),"")</f>
        <v>46105</v>
      </c>
      <c r="Q13" s="78">
        <f>IF(_xlfn.MAXIFS(Mantenciones!$D:$D,Mantenciones!$B:$B,A13)=0,"Sin datos de mantención registrado",_xlfn.MAXIFS(Mantenciones!$D:$D,Mantenciones!$B:$B,A13))</f>
        <v>275548</v>
      </c>
      <c r="R13" s="18">
        <f>IFERROR(IF(_xlfn.MAXIFS(Mantenciones!$D:$D,Mantenciones!$B:$B,$A13,Mantenciones!$E:$E,"Sí",Mantenciones!$D:$D,"&gt;0")=0,"Sin datos de mantención registrado",_xlfn.MAXIFS(Mantenciones!$D:$D,Mantenciones!$B:$B,$A13,Mantenciones!$E:$E,"Sí",Mantenciones!$D:$D,"&gt;0")),"Sin datos de mantención registrado")</f>
        <v>275548</v>
      </c>
      <c r="S13" s="21">
        <f>IFERROR(SUMIFS(tblMantenciones[Costo Mantencion CLP],tblMantenciones[Codigo],A13),0)</f>
        <v>0</v>
      </c>
      <c r="T13" s="21">
        <f>IFERROR(SUMIFS(tblComprasPM[Costo PM CLP],tblComprasPM[Codigo],tblMaestroEquipos[[#This Row],[Codigo]]),0)</f>
        <v>21301</v>
      </c>
      <c r="U13" s="21">
        <f>IFERROR(tblMaestroEquipos[[#This Row],[Costo Mantenciones CLP]]+tblMaestroEquipos[[#This Row],[Costo Compras PM CLP]],0)</f>
        <v>21301</v>
      </c>
      <c r="V13" s="18" t="str">
        <f>IFERROR(_xlfn.XLOOKUP(tblMaestroEquipos[[#This Row],[Codigo]],tblEquipos[Codigo],tblEquipos[Estado Base]),"")</f>
        <v>Operativo</v>
      </c>
      <c r="W13" s="18" t="str">
        <f t="shared" si="0"/>
        <v>AL DÍA</v>
      </c>
      <c r="X13" s="18">
        <f t="shared" si="1"/>
        <v>92220</v>
      </c>
      <c r="Y1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138331</v>
      </c>
      <c r="Z13" s="25">
        <f>IFERROR(IF(_xlfn.MINIFS(tblComprasPM[Fecha],tblComprasPM[Codigo],tblMaestroEquipos[[#This Row],[Codigo]])=0,"",_xlfn.MINIFS(tblComprasPM[Fecha],tblComprasPM[Codigo],tblMaestroEquipos[[#This Row],[Codigo]])),"")</f>
        <v>46076.363726701398</v>
      </c>
      <c r="AA13" s="25">
        <f>IFERROR(IF(_xlfn.MAXIFS(tblBodega[Fecha],tblBodega[Codigo],tblMaestroEquipos[[#This Row],[Codigo]])=0,"",_xlfn.MAXIFS(tblBodega[Fecha],tblBodega[Codigo],tblMaestroEquipos[[#This Row],[Codigo]])),"")</f>
        <v>46101</v>
      </c>
      <c r="AB1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29</v>
      </c>
      <c r="AC13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4</v>
      </c>
      <c r="AD1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3" s="51" t="str">
        <f t="shared" si="2"/>
        <v>OPERATIVO</v>
      </c>
      <c r="AF13" s="18" t="str">
        <f t="shared" si="3"/>
        <v>BAJA</v>
      </c>
      <c r="AG13" s="18" t="str">
        <f t="shared" si="4"/>
        <v>Monitorear próximo vencimiento</v>
      </c>
      <c r="AH13">
        <f t="shared" si="5"/>
        <v>0</v>
      </c>
      <c r="AI13" t="str">
        <f t="shared" si="6"/>
        <v/>
      </c>
      <c r="AJ13" s="24">
        <f t="shared" si="7"/>
        <v>99</v>
      </c>
    </row>
    <row r="14" spans="1:36">
      <c r="A14" s="18" t="s">
        <v>97</v>
      </c>
      <c r="B14" s="18" t="s">
        <v>98</v>
      </c>
      <c r="C14" s="18" t="s">
        <v>1069</v>
      </c>
      <c r="D14" s="18" t="s">
        <v>99</v>
      </c>
      <c r="E14" s="19" t="s">
        <v>100</v>
      </c>
      <c r="F14" s="18">
        <v>2023</v>
      </c>
      <c r="G14" s="18" t="str" cm="1">
        <f t="array" ref="G14">IFERROR(INDEX(Lecturas!$E$4:$E$3549,MATCH(1,(Lecturas!$B$4:$B$3549=$A14)*(Lecturas!$E$4:$E$3549&lt;&gt;"")*(Lecturas!$A$4:$A$3549=_xlfn.MAXIFS(Lecturas!$A$4:$A$3549,Lecturas!$B$4:$B$3549,$A14,Lecturas!$E$4:$E$3549,"&lt;&gt;")),0)),"")</f>
        <v>Oficina Central</v>
      </c>
      <c r="H14" s="18" t="s">
        <v>1100</v>
      </c>
      <c r="I14" s="18" t="s">
        <v>18</v>
      </c>
      <c r="J14" s="18">
        <v>250</v>
      </c>
      <c r="K14" s="18">
        <f>IFERROR(IF($I14="KM",ROUND((_xlfn.MAXIFS(tblLecturas[Kilometraje],tblLecturas[Codigo],$A14)-_xlfn.MINIFS(tblLecturas[Kilometraje],tblLecturas[Codigo],$A14))/(MAX(1,_xlfn.MAXIFS(tblLecturas[Fecha],tblLecturas[Codigo],$A14)-_xlfn.MINIFS(tblLecturas[Fecha],tblLecturas[Codigo],$A14))),1),ROUND((_xlfn.MAXIFS(tblLecturas[Horometro],tblLecturas[Codigo],$A14)-_xlfn.MINIFS(tblLecturas[Horometro],tblLecturas[Codigo],$A14))/(MAX(1,_xlfn.MAXIFS(tblLecturas[Fecha],tblLecturas[Codigo],$A14)-_xlfn.MINIFS(tblLecturas[Fecha],tblLecturas[Codigo],$A14))),1)),"")</f>
        <v>0</v>
      </c>
      <c r="L14" s="20">
        <f>IFERROR(_xlfn.MAXIFS(tblLecturas[Fecha],tblLecturas[Codigo],$A14),"")</f>
        <v>46100</v>
      </c>
      <c r="M14" s="26">
        <f>IFERROR(_xlfn.MAXIFS(Lecturas!$C:$C,Lecturas!$B:$B,$A14,Lecturas!$C:$C,"&gt;0"),"")</f>
        <v>1471</v>
      </c>
      <c r="N14" s="78">
        <f>IFERROR(_xlfn.MAXIFS(tblLecturas[Kilometraje],tblLecturas[Codigo],$A14,tblLecturas[Kilometraje],"&gt;0"),"")</f>
        <v>79301</v>
      </c>
      <c r="O14" s="78" cm="1">
        <f t="array" ref="O14">IFERROR(IF($I14="KM",LOOKUP(2,1/(Lecturas!$B:$B=$A14)/(Lecturas!$D:$D&gt;0),Lecturas!$D:$D),LOOKUP(2,1/(Lecturas!$B:$B=$A14)/(Lecturas!$C:$C&gt;0),Lecturas!$C:$C)),"")</f>
        <v>1471</v>
      </c>
      <c r="P14" s="20">
        <f>IFERROR(_xlfn.MAXIFS(tblMantenciones[Fecha],tblMantenciones[Codigo],tblMaestroEquipos[[#This Row],[Codigo]],tblMantenciones[EsPM],"Sí"),"")</f>
        <v>0</v>
      </c>
      <c r="Q14" s="78" t="str">
        <f>IF(_xlfn.MAXIFS(Mantenciones!$D:$D,Mantenciones!$B:$B,A14)=0,"Sin datos de mantención registrado",_xlfn.MAXIFS(Mantenciones!$D:$D,Mantenciones!$B:$B,A14))</f>
        <v>Sin datos de mantención registrado</v>
      </c>
      <c r="R14" s="18" t="str">
        <f>IFERROR(IF(_xlfn.MAXIFS(Mantenciones!$D:$D,Mantenciones!$B:$B,$A14,Mantenciones!$E:$E,"Sí",Mantenciones!$D:$D,"&gt;0")=0,"Sin datos de mantención registrado",_xlfn.MAXIFS(Mantenciones!$D:$D,Mantenciones!$B:$B,$A14,Mantenciones!$E:$E,"Sí",Mantenciones!$D:$D,"&gt;0")),"Sin datos de mantención registrado")</f>
        <v>Sin datos de mantención registrado</v>
      </c>
      <c r="S14" s="21">
        <f>IFERROR(SUMIFS(tblMantenciones[Costo Mantencion CLP],tblMantenciones[Codigo],A14),0)</f>
        <v>0</v>
      </c>
      <c r="T14" s="21">
        <f>IFERROR(SUMIFS(tblComprasPM[Costo PM CLP],tblComprasPM[Codigo],tblMaestroEquipos[[#This Row],[Codigo]]),0)</f>
        <v>103590.69</v>
      </c>
      <c r="U14" s="21">
        <f>IFERROR(tblMaestroEquipos[[#This Row],[Costo Mantenciones CLP]]+tblMaestroEquipos[[#This Row],[Costo Compras PM CLP]],0)</f>
        <v>103590.69</v>
      </c>
      <c r="V14" s="18" t="str">
        <f>IFERROR(_xlfn.XLOOKUP(tblMaestroEquipos[[#This Row],[Codigo]],tblEquipos[Codigo],tblEquipos[Estado Base]),"")</f>
        <v>Operativo</v>
      </c>
      <c r="W14" s="18" t="str">
        <f t="shared" si="0"/>
        <v>POR RECIBIR</v>
      </c>
      <c r="X14" s="18" t="str">
        <f t="shared" si="1"/>
        <v/>
      </c>
      <c r="Y1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4" s="25">
        <f>IFERROR(IF(_xlfn.MINIFS(tblComprasPM[Fecha],tblComprasPM[Codigo],tblMaestroEquipos[[#This Row],[Codigo]])=0,"",_xlfn.MINIFS(tblComprasPM[Fecha],tblComprasPM[Codigo],tblMaestroEquipos[[#This Row],[Codigo]])),"")</f>
        <v>46099</v>
      </c>
      <c r="AA14" s="25">
        <f>IFERROR(IF(_xlfn.MAXIFS(tblBodega[Fecha],tblBodega[Codigo],tblMaestroEquipos[[#This Row],[Codigo]])=0,"",_xlfn.MAXIFS(tblBodega[Fecha],tblBodega[Codigo],tblMaestroEquipos[[#This Row],[Codigo]])),"")</f>
        <v>46080</v>
      </c>
      <c r="AB14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46</v>
      </c>
      <c r="AC1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65</v>
      </c>
      <c r="AD1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4" s="51" t="str">
        <f t="shared" si="2"/>
        <v>OPERATIVO</v>
      </c>
      <c r="AF14" s="18" t="str">
        <f t="shared" si="3"/>
        <v>BAJA</v>
      </c>
      <c r="AG14" s="18" t="str">
        <f t="shared" si="4"/>
        <v>Monitorear próximo vencimiento</v>
      </c>
      <c r="AH14">
        <f t="shared" si="5"/>
        <v>0</v>
      </c>
      <c r="AI14" t="str">
        <f t="shared" si="6"/>
        <v/>
      </c>
      <c r="AJ14" s="24">
        <f t="shared" si="7"/>
        <v>3</v>
      </c>
    </row>
    <row r="15" spans="1:36">
      <c r="A15" s="18" t="s">
        <v>165</v>
      </c>
      <c r="B15" s="18" t="s">
        <v>116</v>
      </c>
      <c r="C15" s="18" t="s">
        <v>1069</v>
      </c>
      <c r="D15" s="18" t="s">
        <v>166</v>
      </c>
      <c r="E15" s="19" t="s">
        <v>167</v>
      </c>
      <c r="F15" s="18">
        <v>2010</v>
      </c>
      <c r="G15" s="18" t="str" cm="1">
        <f t="array" ref="G15">IFERROR(INDEX(Lecturas!$E$4:$E$3549,MATCH(1,(Lecturas!$B$4:$B$3549=$A15)*(Lecturas!$E$4:$E$3549&lt;&gt;"")*(Lecturas!$A$4:$A$3549=_xlfn.MAXIFS(Lecturas!$A$4:$A$3549,Lecturas!$B$4:$B$3549,$A15,Lecturas!$E$4:$E$3549,"&lt;&gt;")),0)),"")</f>
        <v>Quirihue</v>
      </c>
      <c r="H15" s="18" t="s">
        <v>168</v>
      </c>
      <c r="I15" s="18" t="s">
        <v>18</v>
      </c>
      <c r="J15" s="18">
        <v>250</v>
      </c>
      <c r="K15" s="18">
        <f>IFERROR(IF($I15="KM",ROUND((_xlfn.MAXIFS(tblLecturas[Kilometraje],tblLecturas[Codigo],$A15)-_xlfn.MINIFS(tblLecturas[Kilometraje],tblLecturas[Codigo],$A15))/(MAX(1,_xlfn.MAXIFS(tblLecturas[Fecha],tblLecturas[Codigo],$A15)-_xlfn.MINIFS(tblLecturas[Fecha],tblLecturas[Codigo],$A15))),1),ROUND((_xlfn.MAXIFS(tblLecturas[Horometro],tblLecturas[Codigo],$A15)-_xlfn.MINIFS(tblLecturas[Horometro],tblLecturas[Codigo],$A15))/(MAX(1,_xlfn.MAXIFS(tblLecturas[Fecha],tblLecturas[Codigo],$A15)-_xlfn.MINIFS(tblLecturas[Fecha],tblLecturas[Codigo],$A15))),1)),"")</f>
        <v>4.5999999999999996</v>
      </c>
      <c r="L15" s="20">
        <f>IFERROR(_xlfn.MAXIFS(tblLecturas[Fecha],tblLecturas[Codigo],$A15),"")</f>
        <v>46072</v>
      </c>
      <c r="M15" s="26">
        <f>IFERROR(_xlfn.MAXIFS(Lecturas!$C:$C,Lecturas!$B:$B,$A15,Lecturas!$C:$C,"&gt;0"),"")</f>
        <v>6418</v>
      </c>
      <c r="N15" s="78">
        <f>IFERROR(_xlfn.MAXIFS(tblLecturas[Kilometraje],tblLecturas[Codigo],$A15,tblLecturas[Kilometraje],"&gt;0"),"")</f>
        <v>106761</v>
      </c>
      <c r="O15" s="78" cm="1">
        <f t="array" ref="O15">IFERROR(IF($I15="KM",LOOKUP(2,1/(Lecturas!$B:$B=$A15)/(Lecturas!$D:$D&gt;0),Lecturas!$D:$D),LOOKUP(2,1/(Lecturas!$B:$B=$A15)/(Lecturas!$C:$C&gt;0),Lecturas!$C:$C)),"")</f>
        <v>6418</v>
      </c>
      <c r="P15" s="20">
        <f>IFERROR(_xlfn.MAXIFS(tblMantenciones[Fecha],tblMantenciones[Codigo],tblMaestroEquipos[[#This Row],[Codigo]],tblMantenciones[EsPM],"Sí"),"")</f>
        <v>0</v>
      </c>
      <c r="Q15" s="78" t="str">
        <f>IF(_xlfn.MAXIFS(Mantenciones!$D:$D,Mantenciones!$B:$B,A15)=0,"Sin datos de mantención registrado",_xlfn.MAXIFS(Mantenciones!$D:$D,Mantenciones!$B:$B,A15))</f>
        <v>Sin datos de mantención registrado</v>
      </c>
      <c r="R15" s="18" t="str">
        <f>IFERROR(IF(_xlfn.MAXIFS(Mantenciones!$D:$D,Mantenciones!$B:$B,$A15,Mantenciones!$E:$E,"Sí",Mantenciones!$D:$D,"&gt;0")=0,"Sin datos de mantención registrado",_xlfn.MAXIFS(Mantenciones!$D:$D,Mantenciones!$B:$B,$A15,Mantenciones!$E:$E,"Sí",Mantenciones!$D:$D,"&gt;0")),"Sin datos de mantención registrado")</f>
        <v>Sin datos de mantención registrado</v>
      </c>
      <c r="S15" s="21">
        <f>IFERROR(SUMIFS(tblMantenciones[Costo Mantencion CLP],tblMantenciones[Codigo],A15),0)</f>
        <v>0</v>
      </c>
      <c r="T15" s="21">
        <f>IFERROR(SUMIFS(tblComprasPM[Costo PM CLP],tblComprasPM[Codigo],tblMaestroEquipos[[#This Row],[Codigo]]),0)</f>
        <v>288199.9596</v>
      </c>
      <c r="U15" s="21">
        <f>IFERROR(tblMaestroEquipos[[#This Row],[Costo Mantenciones CLP]]+tblMaestroEquipos[[#This Row],[Costo Compras PM CLP]],0)</f>
        <v>288199.9596</v>
      </c>
      <c r="V15" s="18" t="str">
        <f>IFERROR(_xlfn.XLOOKUP(tblMaestroEquipos[[#This Row],[Codigo]],tblEquipos[Codigo],tblEquipos[Estado Base]),"")</f>
        <v>Operativo</v>
      </c>
      <c r="W15" s="18" t="str">
        <f t="shared" si="0"/>
        <v>POR RECIBIR</v>
      </c>
      <c r="X15" s="18" t="str">
        <f t="shared" si="1"/>
        <v/>
      </c>
      <c r="Y1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5" s="25">
        <f>IFERROR(IF(_xlfn.MINIFS(tblComprasPM[Fecha],tblComprasPM[Codigo],tblMaestroEquipos[[#This Row],[Codigo]])=0,"",_xlfn.MINIFS(tblComprasPM[Fecha],tblComprasPM[Codigo],tblMaestroEquipos[[#This Row],[Codigo]])),"")</f>
        <v>46076.483925694498</v>
      </c>
      <c r="AA15" s="25">
        <f>IFERROR(IF(_xlfn.MAXIFS(tblBodega[Fecha],tblBodega[Codigo],tblMaestroEquipos[[#This Row],[Codigo]])=0,"",_xlfn.MAXIFS(tblBodega[Fecha],tblBodega[Codigo],tblMaestroEquipos[[#This Row],[Codigo]])),"")</f>
        <v>46085</v>
      </c>
      <c r="AB15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69</v>
      </c>
      <c r="AC1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60</v>
      </c>
      <c r="AD1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5" s="51" t="str">
        <f t="shared" si="2"/>
        <v>OPERATIVO</v>
      </c>
      <c r="AF15" s="18" t="str">
        <f t="shared" si="3"/>
        <v>BAJA</v>
      </c>
      <c r="AG15" s="18" t="str">
        <f t="shared" si="4"/>
        <v>Monitorear próximo vencimiento</v>
      </c>
      <c r="AH15" s="27">
        <f t="shared" si="5"/>
        <v>0</v>
      </c>
      <c r="AI15" s="27" t="str">
        <f t="shared" si="6"/>
        <v/>
      </c>
      <c r="AJ15" s="24">
        <f t="shared" si="7"/>
        <v>3</v>
      </c>
    </row>
    <row r="16" spans="1:36">
      <c r="A16" s="18" t="s">
        <v>68</v>
      </c>
      <c r="B16" s="18" t="s">
        <v>69</v>
      </c>
      <c r="C16" s="18" t="s">
        <v>1069</v>
      </c>
      <c r="D16" s="18" t="s">
        <v>55</v>
      </c>
      <c r="E16" s="19" t="s">
        <v>70</v>
      </c>
      <c r="F16" s="18">
        <v>2011</v>
      </c>
      <c r="G16" s="18" t="str" cm="1">
        <f t="array" ref="G16">IFERROR(INDEX(Lecturas!$E$4:$E$3549,MATCH(1,(Lecturas!$B$4:$B$3549=$A16)*(Lecturas!$E$4:$E$3549&lt;&gt;"")*(Lecturas!$A$4:$A$3549=_xlfn.MAXIFS(Lecturas!$A$4:$A$3549,Lecturas!$B$4:$B$3549,$A16,Lecturas!$E$4:$E$3549,"&lt;&gt;")),0)),"")</f>
        <v>Taller</v>
      </c>
      <c r="H16" s="18" t="s">
        <v>71</v>
      </c>
      <c r="I16" s="18" t="s">
        <v>18</v>
      </c>
      <c r="J16" s="18">
        <v>250</v>
      </c>
      <c r="K16" s="18">
        <f>IFERROR(IF($I16="KM",ROUND((_xlfn.MAXIFS(tblLecturas[Kilometraje],tblLecturas[Codigo],$A16)-_xlfn.MINIFS(tblLecturas[Kilometraje],tblLecturas[Codigo],$A16))/(MAX(1,_xlfn.MAXIFS(tblLecturas[Fecha],tblLecturas[Codigo],$A16)-_xlfn.MINIFS(tblLecturas[Fecha],tblLecturas[Codigo],$A16))),1),ROUND((_xlfn.MAXIFS(tblLecturas[Horometro],tblLecturas[Codigo],$A16)-_xlfn.MINIFS(tblLecturas[Horometro],tblLecturas[Codigo],$A16))/(MAX(1,_xlfn.MAXIFS(tblLecturas[Fecha],tblLecturas[Codigo],$A16)-_xlfn.MINIFS(tblLecturas[Fecha],tblLecturas[Codigo],$A16))),1)),"")</f>
        <v>0</v>
      </c>
      <c r="L16" s="20">
        <f>IFERROR(_xlfn.MAXIFS(tblLecturas[Fecha],tblLecturas[Codigo],$A16),"")</f>
        <v>46064</v>
      </c>
      <c r="M16" s="26">
        <f>IFERROR(_xlfn.MAXIFS(Lecturas!$C:$C,Lecturas!$B:$B,$A16,Lecturas!$C:$C,"&gt;0"),"")</f>
        <v>320119</v>
      </c>
      <c r="N16" s="78">
        <f>IFERROR(_xlfn.MAXIFS(tblLecturas[Kilometraje],tblLecturas[Codigo],$A16,tblLecturas[Kilometraje],"&gt;0"),"")</f>
        <v>340286</v>
      </c>
      <c r="O16" s="78" cm="1">
        <f t="array" ref="O16">IFERROR(IF($I16="KM",LOOKUP(2,1/(Lecturas!$B:$B=$A16)/(Lecturas!$D:$D&gt;0),Lecturas!$D:$D),LOOKUP(2,1/(Lecturas!$B:$B=$A16)/(Lecturas!$C:$C&gt;0),Lecturas!$C:$C)),"")</f>
        <v>320119</v>
      </c>
      <c r="P16" s="20">
        <f>IFERROR(_xlfn.MAXIFS(tblMantenciones[Fecha],tblMantenciones[Codigo],tblMaestroEquipos[[#This Row],[Codigo]],tblMantenciones[EsPM],"Sí"),"")</f>
        <v>0</v>
      </c>
      <c r="Q16" s="78" t="str">
        <f>IF(_xlfn.MAXIFS(Mantenciones!$D:$D,Mantenciones!$B:$B,A16)=0,"Sin datos de mantención registrado",_xlfn.MAXIFS(Mantenciones!$D:$D,Mantenciones!$B:$B,A16))</f>
        <v>Sin datos de mantención registrado</v>
      </c>
      <c r="R16" s="18" t="str">
        <f>IFERROR(IF(_xlfn.MAXIFS(Mantenciones!$D:$D,Mantenciones!$B:$B,$A16,Mantenciones!$E:$E,"Sí",Mantenciones!$D:$D,"&gt;0")=0,"Sin datos de mantención registrado",_xlfn.MAXIFS(Mantenciones!$D:$D,Mantenciones!$B:$B,$A16,Mantenciones!$E:$E,"Sí",Mantenciones!$D:$D,"&gt;0")),"Sin datos de mantención registrado")</f>
        <v>Sin datos de mantención registrado</v>
      </c>
      <c r="S16" s="21">
        <f>IFERROR(SUMIFS(tblMantenciones[Costo Mantencion CLP],tblMantenciones[Codigo],A16),0)</f>
        <v>0</v>
      </c>
      <c r="T16" s="21">
        <f>IFERROR(SUMIFS(tblComprasPM[Costo PM CLP],tblComprasPM[Codigo],tblMaestroEquipos[[#This Row],[Codigo]]),0)</f>
        <v>121145.57</v>
      </c>
      <c r="U16" s="21">
        <f>IFERROR(tblMaestroEquipos[[#This Row],[Costo Mantenciones CLP]]+tblMaestroEquipos[[#This Row],[Costo Compras PM CLP]],0)</f>
        <v>121145.57</v>
      </c>
      <c r="V16" s="18" t="str">
        <f>IFERROR(_xlfn.XLOOKUP(tblMaestroEquipos[[#This Row],[Codigo]],tblEquipos[Codigo],tblEquipos[Estado Base]),"")</f>
        <v>Operativo</v>
      </c>
      <c r="W16" s="18" t="str">
        <f t="shared" si="0"/>
        <v>POR RECIBIR</v>
      </c>
      <c r="X16" s="18" t="str">
        <f t="shared" si="1"/>
        <v/>
      </c>
      <c r="Y1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6" s="25">
        <f>IFERROR(IF(_xlfn.MINIFS(tblComprasPM[Fecha],tblComprasPM[Codigo],tblMaestroEquipos[[#This Row],[Codigo]])=0,"",_xlfn.MINIFS(tblComprasPM[Fecha],tblComprasPM[Codigo],tblMaestroEquipos[[#This Row],[Codigo]])),"")</f>
        <v>46100</v>
      </c>
      <c r="AA16" s="25">
        <f>IFERROR(IF(_xlfn.MAXIFS(tblBodega[Fecha],tblBodega[Codigo],tblMaestroEquipos[[#This Row],[Codigo]])=0,"",_xlfn.MAXIFS(tblBodega[Fecha],tblBodega[Codigo],tblMaestroEquipos[[#This Row],[Codigo]])),"")</f>
        <v>46062</v>
      </c>
      <c r="AB1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45</v>
      </c>
      <c r="AC1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83</v>
      </c>
      <c r="AD1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6" s="51" t="str">
        <f t="shared" si="2"/>
        <v>OPERATIVO</v>
      </c>
      <c r="AF16" s="18" t="str">
        <f t="shared" si="3"/>
        <v>BAJA</v>
      </c>
      <c r="AG16" s="18" t="str">
        <f t="shared" si="4"/>
        <v>Monitorear próximo vencimiento</v>
      </c>
      <c r="AH16" s="27">
        <f t="shared" si="5"/>
        <v>0</v>
      </c>
      <c r="AI16" s="27" t="str">
        <f t="shared" si="6"/>
        <v/>
      </c>
      <c r="AJ16" s="24">
        <f t="shared" si="7"/>
        <v>3</v>
      </c>
    </row>
    <row r="17" spans="1:36">
      <c r="A17" s="18" t="s">
        <v>152</v>
      </c>
      <c r="B17" s="18" t="s">
        <v>116</v>
      </c>
      <c r="C17" s="18" t="s">
        <v>1069</v>
      </c>
      <c r="D17" s="18" t="s">
        <v>111</v>
      </c>
      <c r="E17" s="19" t="s">
        <v>112</v>
      </c>
      <c r="F17" s="18">
        <v>2008</v>
      </c>
      <c r="G17" s="18" t="str" cm="1">
        <f t="array" ref="G17">IFERROR(INDEX(Lecturas!$E$4:$E$3549,MATCH(1,(Lecturas!$B$4:$B$3549=$A17)*(Lecturas!$E$4:$E$3549&lt;&gt;"")*(Lecturas!$A$4:$A$3549=_xlfn.MAXIFS(Lecturas!$A$4:$A$3549,Lecturas!$B$4:$B$3549,$A17,Lecturas!$E$4:$E$3549,"&lt;&gt;")),0)),"")</f>
        <v>San Carlos</v>
      </c>
      <c r="H17" s="18" t="s">
        <v>154</v>
      </c>
      <c r="I17" s="18" t="s">
        <v>18</v>
      </c>
      <c r="J17" s="18">
        <v>250</v>
      </c>
      <c r="K17" s="18">
        <f>IFERROR(IF($I17="KM",ROUND((_xlfn.MAXIFS(tblLecturas[Kilometraje],tblLecturas[Codigo],$A17)-_xlfn.MINIFS(tblLecturas[Kilometraje],tblLecturas[Codigo],$A17))/(MAX(1,_xlfn.MAXIFS(tblLecturas[Fecha],tblLecturas[Codigo],$A17)-_xlfn.MINIFS(tblLecturas[Fecha],tblLecturas[Codigo],$A17))),1),ROUND((_xlfn.MAXIFS(tblLecturas[Horometro],tblLecturas[Codigo],$A17)-_xlfn.MINIFS(tblLecturas[Horometro],tblLecturas[Codigo],$A17))/(MAX(1,_xlfn.MAXIFS(tblLecturas[Fecha],tblLecturas[Codigo],$A17)-_xlfn.MINIFS(tblLecturas[Fecha],tblLecturas[Codigo],$A17))),1)),"")</f>
        <v>0</v>
      </c>
      <c r="L17" s="20">
        <f>IFERROR(_xlfn.MAXIFS(tblLecturas[Fecha],tblLecturas[Codigo],$A17),"")</f>
        <v>46108</v>
      </c>
      <c r="M17" s="26">
        <f>IFERROR(_xlfn.MAXIFS(Lecturas!$C:$C,Lecturas!$B:$B,$A17,Lecturas!$C:$C,"&gt;0"),"")</f>
        <v>481560</v>
      </c>
      <c r="N17" s="78">
        <f>IFERROR(_xlfn.MAXIFS(tblLecturas[Kilometraje],tblLecturas[Codigo],$A17,tblLecturas[Kilometraje],"&gt;0"),"")</f>
        <v>261307</v>
      </c>
      <c r="O17" s="78" cm="1">
        <f t="array" ref="O17">IFERROR(IF($I17="KM",LOOKUP(2,1/(Lecturas!$B:$B=$A17)/(Lecturas!$D:$D&gt;0),Lecturas!$D:$D),LOOKUP(2,1/(Lecturas!$B:$B=$A17)/(Lecturas!$C:$C&gt;0),Lecturas!$C:$C)),"")</f>
        <v>481560</v>
      </c>
      <c r="P17" s="20">
        <f>IFERROR(_xlfn.MAXIFS(tblMantenciones[Fecha],tblMantenciones[Codigo],tblMaestroEquipos[[#This Row],[Codigo]],tblMantenciones[EsPM],"Sí"),"")</f>
        <v>0</v>
      </c>
      <c r="Q17" s="78" t="str">
        <f>IF(_xlfn.MAXIFS(Mantenciones!$D:$D,Mantenciones!$B:$B,A17)=0,"Sin datos de mantención registrado",_xlfn.MAXIFS(Mantenciones!$D:$D,Mantenciones!$B:$B,A17))</f>
        <v>Sin datos de mantención registrado</v>
      </c>
      <c r="R17" s="18" t="str">
        <f>IFERROR(IF(_xlfn.MAXIFS(Mantenciones!$D:$D,Mantenciones!$B:$B,$A17,Mantenciones!$E:$E,"Sí",Mantenciones!$D:$D,"&gt;0")=0,"Sin datos de mantención registrado",_xlfn.MAXIFS(Mantenciones!$D:$D,Mantenciones!$B:$B,$A17,Mantenciones!$E:$E,"Sí",Mantenciones!$D:$D,"&gt;0")),"Sin datos de mantención registrado")</f>
        <v>Sin datos de mantención registrado</v>
      </c>
      <c r="S17" s="21">
        <f>IFERROR(SUMIFS(tblMantenciones[Costo Mantencion CLP],tblMantenciones[Codigo],A17),0)</f>
        <v>0</v>
      </c>
      <c r="T17" s="21">
        <f>IFERROR(SUMIFS(tblComprasPM[Costo PM CLP],tblComprasPM[Codigo],tblMaestroEquipos[[#This Row],[Codigo]]),0)</f>
        <v>381399.96230000001</v>
      </c>
      <c r="U17" s="21">
        <f>IFERROR(tblMaestroEquipos[[#This Row],[Costo Mantenciones CLP]]+tblMaestroEquipos[[#This Row],[Costo Compras PM CLP]],0)</f>
        <v>381399.96230000001</v>
      </c>
      <c r="V17" s="18" t="str">
        <f>IFERROR(_xlfn.XLOOKUP(tblMaestroEquipos[[#This Row],[Codigo]],tblEquipos[Codigo],tblEquipos[Estado Base]),"")</f>
        <v>Operativo</v>
      </c>
      <c r="W17" s="18" t="str">
        <f t="shared" si="0"/>
        <v>EN PROCESO</v>
      </c>
      <c r="X17" s="18" t="str">
        <f t="shared" si="1"/>
        <v/>
      </c>
      <c r="Y1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7" s="25">
        <f>IFERROR(IF(_xlfn.MINIFS(tblComprasPM[Fecha],tblComprasPM[Codigo],tblMaestroEquipos[[#This Row],[Codigo]])=0,"",_xlfn.MINIFS(tblComprasPM[Fecha],tblComprasPM[Codigo],tblMaestroEquipos[[#This Row],[Codigo]])),"")</f>
        <v>46104.621280289401</v>
      </c>
      <c r="AA17" s="25" t="str">
        <f>IFERROR(IF(_xlfn.MAXIFS(tblBodega[Fecha],tblBodega[Codigo],tblMaestroEquipos[[#This Row],[Codigo]])=0,"",_xlfn.MAXIFS(tblBodega[Fecha],tblBodega[Codigo],tblMaestroEquipos[[#This Row],[Codigo]])),"")</f>
        <v/>
      </c>
      <c r="AB1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41</v>
      </c>
      <c r="AC1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7" s="51" t="str">
        <f t="shared" si="2"/>
        <v>EN PROCESO</v>
      </c>
      <c r="AF17" s="18" t="str">
        <f t="shared" si="3"/>
        <v>SEGUIMIENTO</v>
      </c>
      <c r="AG17" s="18" t="str">
        <f t="shared" si="4"/>
        <v>Hacer seguimiento al taller y cerrar report</v>
      </c>
      <c r="AH17" s="27">
        <f t="shared" si="5"/>
        <v>0</v>
      </c>
      <c r="AI17" s="27" t="str">
        <f t="shared" si="6"/>
        <v/>
      </c>
      <c r="AJ17" s="24">
        <f t="shared" si="7"/>
        <v>2</v>
      </c>
    </row>
    <row r="18" spans="1:36">
      <c r="A18" s="18" t="s">
        <v>178</v>
      </c>
      <c r="B18" s="18" t="s">
        <v>82</v>
      </c>
      <c r="C18" s="18" t="s">
        <v>1069</v>
      </c>
      <c r="D18" s="18" t="s">
        <v>46</v>
      </c>
      <c r="E18" s="19" t="s">
        <v>179</v>
      </c>
      <c r="F18" s="18">
        <v>2011</v>
      </c>
      <c r="G18" s="18" t="str" cm="1">
        <f t="array" ref="G18">IFERROR(INDEX(Lecturas!$E$4:$E$3549,MATCH(1,(Lecturas!$B$4:$B$3549=$A18)*(Lecturas!$E$4:$E$3549&lt;&gt;"")*(Lecturas!$A$4:$A$3549=_xlfn.MAXIFS(Lecturas!$A$4:$A$3549,Lecturas!$B$4:$B$3549,$A18,Lecturas!$E$4:$E$3549,"&lt;&gt;")),0)),"")</f>
        <v/>
      </c>
      <c r="H18" s="18" t="s">
        <v>1101</v>
      </c>
      <c r="I18" s="18" t="s">
        <v>18</v>
      </c>
      <c r="J18" s="18">
        <v>250</v>
      </c>
      <c r="K18" s="18">
        <f>IFERROR(IF($I18="KM",ROUND((_xlfn.MAXIFS(tblLecturas[Kilometraje],tblLecturas[Codigo],$A18)-_xlfn.MINIFS(tblLecturas[Kilometraje],tblLecturas[Codigo],$A18))/(MAX(1,_xlfn.MAXIFS(tblLecturas[Fecha],tblLecturas[Codigo],$A18)-_xlfn.MINIFS(tblLecturas[Fecha],tblLecturas[Codigo],$A18))),1),ROUND((_xlfn.MAXIFS(tblLecturas[Horometro],tblLecturas[Codigo],$A18)-_xlfn.MINIFS(tblLecturas[Horometro],tblLecturas[Codigo],$A18))/(MAX(1,_xlfn.MAXIFS(tblLecturas[Fecha],tblLecturas[Codigo],$A18)-_xlfn.MINIFS(tblLecturas[Fecha],tblLecturas[Codigo],$A18))),1)),"")</f>
        <v>0</v>
      </c>
      <c r="L18" s="20">
        <f>IFERROR(_xlfn.MAXIFS(tblLecturas[Fecha],tblLecturas[Codigo],$A18),"")</f>
        <v>46056</v>
      </c>
      <c r="M18" s="26">
        <f>IFERROR(_xlfn.MAXIFS(Lecturas!$C:$C,Lecturas!$B:$B,$A18,Lecturas!$C:$C,"&gt;0"),"")</f>
        <v>0</v>
      </c>
      <c r="N18" s="78">
        <f>IFERROR(_xlfn.MAXIFS(tblLecturas[Kilometraje],tblLecturas[Codigo],$A18,tblLecturas[Kilometraje],"&gt;0"),"")</f>
        <v>87289</v>
      </c>
      <c r="O18" s="78" t="str" cm="1">
        <f t="array" ref="O18">IFERROR(IF($I18="KM",LOOKUP(2,1/(Lecturas!$B:$B=$A18)/(Lecturas!$D:$D&gt;0),Lecturas!$D:$D),LOOKUP(2,1/(Lecturas!$B:$B=$A18)/(Lecturas!$C:$C&gt;0),Lecturas!$C:$C)),"")</f>
        <v/>
      </c>
      <c r="P18" s="20">
        <f>IFERROR(_xlfn.MAXIFS(tblMantenciones[Fecha],tblMantenciones[Codigo],tblMaestroEquipos[[#This Row],[Codigo]],tblMantenciones[EsPM],"Sí"),"")</f>
        <v>0</v>
      </c>
      <c r="Q18" s="78" t="str">
        <f>IF(_xlfn.MAXIFS(Mantenciones!$D:$D,Mantenciones!$B:$B,A18)=0,"Sin datos de mantención registrado",_xlfn.MAXIFS(Mantenciones!$D:$D,Mantenciones!$B:$B,A18))</f>
        <v>Sin datos de mantención registrado</v>
      </c>
      <c r="R18" s="18" t="str">
        <f>IFERROR(IF(_xlfn.MAXIFS(Mantenciones!$D:$D,Mantenciones!$B:$B,$A18,Mantenciones!$E:$E,"Sí",Mantenciones!$D:$D,"&gt;0")=0,"Sin datos de mantención registrado",_xlfn.MAXIFS(Mantenciones!$D:$D,Mantenciones!$B:$B,$A18,Mantenciones!$E:$E,"Sí",Mantenciones!$D:$D,"&gt;0")),"Sin datos de mantención registrado")</f>
        <v>Sin datos de mantención registrado</v>
      </c>
      <c r="S18" s="21">
        <f>IFERROR(SUMIFS(tblMantenciones[Costo Mantencion CLP],tblMantenciones[Codigo],A18),0)</f>
        <v>0</v>
      </c>
      <c r="T18" s="21">
        <f>IFERROR(SUMIFS(tblComprasPM[Costo PM CLP],tblComprasPM[Codigo],tblMaestroEquipos[[#This Row],[Codigo]]),0)</f>
        <v>170432.99</v>
      </c>
      <c r="U18" s="21">
        <f>IFERROR(tblMaestroEquipos[[#This Row],[Costo Mantenciones CLP]]+tblMaestroEquipos[[#This Row],[Costo Compras PM CLP]],0)</f>
        <v>170432.99</v>
      </c>
      <c r="V18" s="18" t="str">
        <f>IFERROR(_xlfn.XLOOKUP(tblMaestroEquipos[[#This Row],[Codigo]],tblEquipos[Codigo],tblEquipos[Estado Base]),"")</f>
        <v>Fuera de Servicio</v>
      </c>
      <c r="W18" s="18" t="str">
        <f t="shared" si="0"/>
        <v>FUERA DE SERVICIO</v>
      </c>
      <c r="X18" s="18" t="str">
        <f t="shared" si="1"/>
        <v/>
      </c>
      <c r="Y1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8" s="25">
        <f>IFERROR(IF(_xlfn.MINIFS(tblComprasPM[Fecha],tblComprasPM[Codigo],tblMaestroEquipos[[#This Row],[Codigo]])=0,"",_xlfn.MINIFS(tblComprasPM[Fecha],tblComprasPM[Codigo],tblMaestroEquipos[[#This Row],[Codigo]])),"")</f>
        <v>46093.649381215298</v>
      </c>
      <c r="AA18" s="25" t="str">
        <f>IFERROR(IF(_xlfn.MAXIFS(tblBodega[Fecha],tblBodega[Codigo],tblMaestroEquipos[[#This Row],[Codigo]])=0,"",_xlfn.MAXIFS(tblBodega[Fecha],tblBodega[Codigo],tblMaestroEquipos[[#This Row],[Codigo]])),"")</f>
        <v/>
      </c>
      <c r="AB1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52</v>
      </c>
      <c r="AC1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8" s="51" t="str">
        <f t="shared" si="2"/>
        <v>FUERA DE SERVICIO</v>
      </c>
      <c r="AF18" s="18" t="str">
        <f t="shared" si="3"/>
        <v>NO APLICA</v>
      </c>
      <c r="AG18" s="18" t="str">
        <f t="shared" si="4"/>
        <v>No programar compra</v>
      </c>
      <c r="AH18">
        <f t="shared" si="5"/>
        <v>0</v>
      </c>
      <c r="AI18" t="str">
        <f t="shared" si="6"/>
        <v/>
      </c>
      <c r="AJ18" s="24">
        <f t="shared" si="7"/>
        <v>99</v>
      </c>
    </row>
    <row r="19" spans="1:36">
      <c r="A19" s="18" t="s">
        <v>61</v>
      </c>
      <c r="B19" s="18" t="s">
        <v>62</v>
      </c>
      <c r="C19" s="18" t="s">
        <v>1069</v>
      </c>
      <c r="D19" s="18" t="s">
        <v>14</v>
      </c>
      <c r="E19" s="19" t="s">
        <v>63</v>
      </c>
      <c r="F19" s="18">
        <v>2011</v>
      </c>
      <c r="G19" s="18" t="str" cm="1">
        <f t="array" ref="G19">IFERROR(INDEX(Lecturas!$E$4:$E$3549,MATCH(1,(Lecturas!$B$4:$B$3549=$A19)*(Lecturas!$E$4:$E$3549&lt;&gt;"")*(Lecturas!$A$4:$A$3549=_xlfn.MAXIFS(Lecturas!$A$4:$A$3549,Lecturas!$B$4:$B$3549,$A19,Lecturas!$E$4:$E$3549,"&lt;&gt;")),0)),"")</f>
        <v/>
      </c>
      <c r="H19" s="18" t="s">
        <v>64</v>
      </c>
      <c r="I19" s="18" t="s">
        <v>18</v>
      </c>
      <c r="J19" s="18">
        <v>250</v>
      </c>
      <c r="K19" s="18">
        <f>IFERROR(IF($I19="KM",ROUND((_xlfn.MAXIFS(tblLecturas[Kilometraje],tblLecturas[Codigo],$A19)-_xlfn.MINIFS(tblLecturas[Kilometraje],tblLecturas[Codigo],$A19))/(MAX(1,_xlfn.MAXIFS(tblLecturas[Fecha],tblLecturas[Codigo],$A19)-_xlfn.MINIFS(tblLecturas[Fecha],tblLecturas[Codigo],$A19))),1),ROUND((_xlfn.MAXIFS(tblLecturas[Horometro],tblLecturas[Codigo],$A19)-_xlfn.MINIFS(tblLecturas[Horometro],tblLecturas[Codigo],$A19))/(MAX(1,_xlfn.MAXIFS(tblLecturas[Fecha],tblLecturas[Codigo],$A19)-_xlfn.MINIFS(tblLecturas[Fecha],tblLecturas[Codigo],$A19))),1)),"")</f>
        <v>0</v>
      </c>
      <c r="L19" s="20">
        <f>IFERROR(_xlfn.MAXIFS(tblLecturas[Fecha],tblLecturas[Codigo],$A19),"")</f>
        <v>46050</v>
      </c>
      <c r="M19" s="26">
        <f>IFERROR(_xlfn.MAXIFS(Lecturas!$C:$C,Lecturas!$B:$B,$A19,Lecturas!$C:$C,"&gt;0"),"")</f>
        <v>0</v>
      </c>
      <c r="N19" s="78">
        <f>IFERROR(_xlfn.MAXIFS(tblLecturas[Kilometraje],tblLecturas[Codigo],$A19,tblLecturas[Kilometraje],"&gt;0"),"")</f>
        <v>802920</v>
      </c>
      <c r="O19" s="78" t="str" cm="1">
        <f t="array" ref="O19">IFERROR(IF($I19="KM",LOOKUP(2,1/(Lecturas!$B:$B=$A19)/(Lecturas!$D:$D&gt;0),Lecturas!$D:$D),LOOKUP(2,1/(Lecturas!$B:$B=$A19)/(Lecturas!$C:$C&gt;0),Lecturas!$C:$C)),"")</f>
        <v/>
      </c>
      <c r="P19" s="20">
        <f>IFERROR(_xlfn.MAXIFS(tblMantenciones[Fecha],tblMantenciones[Codigo],tblMaestroEquipos[[#This Row],[Codigo]],tblMantenciones[EsPM],"Sí"),"")</f>
        <v>0</v>
      </c>
      <c r="Q19" s="78" t="str">
        <f>IF(_xlfn.MAXIFS(Mantenciones!$D:$D,Mantenciones!$B:$B,A19)=0,"Sin datos de mantención registrado",_xlfn.MAXIFS(Mantenciones!$D:$D,Mantenciones!$B:$B,A19))</f>
        <v>Sin datos de mantención registrado</v>
      </c>
      <c r="R19" s="18" t="str">
        <f>IFERROR(IF(_xlfn.MAXIFS(Mantenciones!$D:$D,Mantenciones!$B:$B,$A19,Mantenciones!$E:$E,"Sí",Mantenciones!$D:$D,"&gt;0")=0,"Sin datos de mantención registrado",_xlfn.MAXIFS(Mantenciones!$D:$D,Mantenciones!$B:$B,$A19,Mantenciones!$E:$E,"Sí",Mantenciones!$D:$D,"&gt;0")),"Sin datos de mantención registrado")</f>
        <v>Sin datos de mantención registrado</v>
      </c>
      <c r="S19" s="21">
        <f>IFERROR(SUMIFS(tblMantenciones[Costo Mantencion CLP],tblMantenciones[Codigo],A19),0)</f>
        <v>0</v>
      </c>
      <c r="T19" s="21">
        <f>IFERROR(SUMIFS(tblComprasPM[Costo PM CLP],tblComprasPM[Codigo],tblMaestroEquipos[[#This Row],[Codigo]]),0)</f>
        <v>106000.40429999999</v>
      </c>
      <c r="U19" s="21">
        <f>IFERROR(tblMaestroEquipos[[#This Row],[Costo Mantenciones CLP]]+tblMaestroEquipos[[#This Row],[Costo Compras PM CLP]],0)</f>
        <v>106000.40429999999</v>
      </c>
      <c r="V19" s="18" t="str">
        <f>IFERROR(_xlfn.XLOOKUP(tblMaestroEquipos[[#This Row],[Codigo]],tblEquipos[Codigo],tblEquipos[Estado Base]),"")</f>
        <v>Operativo</v>
      </c>
      <c r="W19" s="18" t="str">
        <f t="shared" si="0"/>
        <v>EN PROCESO</v>
      </c>
      <c r="X19" s="18" t="str">
        <f t="shared" si="1"/>
        <v/>
      </c>
      <c r="Y1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9" s="25">
        <f>IFERROR(IF(_xlfn.MINIFS(tblComprasPM[Fecha],tblComprasPM[Codigo],tblMaestroEquipos[[#This Row],[Codigo]])=0,"",_xlfn.MINIFS(tblComprasPM[Fecha],tblComprasPM[Codigo],tblMaestroEquipos[[#This Row],[Codigo]])),"")</f>
        <v>46079.691275543999</v>
      </c>
      <c r="AA19" s="25" t="str">
        <f>IFERROR(IF(_xlfn.MAXIFS(tblBodega[Fecha],tblBodega[Codigo],tblMaestroEquipos[[#This Row],[Codigo]])=0,"",_xlfn.MAXIFS(tblBodega[Fecha],tblBodega[Codigo],tblMaestroEquipos[[#This Row],[Codigo]])),"")</f>
        <v/>
      </c>
      <c r="AB1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66</v>
      </c>
      <c r="AC1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9" s="51" t="str">
        <f t="shared" si="2"/>
        <v>EN PROCESO</v>
      </c>
      <c r="AF19" s="18" t="str">
        <f t="shared" si="3"/>
        <v>SEGUIMIENTO</v>
      </c>
      <c r="AG19" s="18" t="str">
        <f t="shared" si="4"/>
        <v>Hacer seguimiento al taller y cerrar report</v>
      </c>
      <c r="AH19" s="27">
        <f t="shared" si="5"/>
        <v>0</v>
      </c>
      <c r="AI19" s="27" t="str">
        <f t="shared" si="6"/>
        <v/>
      </c>
      <c r="AJ19" s="24">
        <f t="shared" si="7"/>
        <v>2</v>
      </c>
    </row>
    <row r="20" spans="1:36">
      <c r="A20" s="18" t="s">
        <v>124</v>
      </c>
      <c r="B20" s="18" t="s">
        <v>45</v>
      </c>
      <c r="C20" s="18" t="s">
        <v>1069</v>
      </c>
      <c r="D20" s="18" t="s">
        <v>42</v>
      </c>
      <c r="E20" s="19">
        <v>4300</v>
      </c>
      <c r="F20" s="18">
        <v>2012</v>
      </c>
      <c r="G20" s="18" t="str" cm="1">
        <f t="array" ref="G20">IFERROR(INDEX(Lecturas!$E$4:$E$3549,MATCH(1,(Lecturas!$B$4:$B$3549=$A20)*(Lecturas!$E$4:$E$3549&lt;&gt;"")*(Lecturas!$A$4:$A$3549=_xlfn.MAXIFS(Lecturas!$A$4:$A$3549,Lecturas!$B$4:$B$3549,$A20,Lecturas!$E$4:$E$3549,"&lt;&gt;")),0)),"")</f>
        <v/>
      </c>
      <c r="H20" s="18" t="s">
        <v>57</v>
      </c>
      <c r="I20" s="18" t="s">
        <v>18</v>
      </c>
      <c r="J20" s="18">
        <v>250</v>
      </c>
      <c r="K20" s="18">
        <f>IFERROR(IF($I20="KM",ROUND((_xlfn.MAXIFS(tblLecturas[Kilometraje],tblLecturas[Codigo],$A20)-_xlfn.MINIFS(tblLecturas[Kilometraje],tblLecturas[Codigo],$A20))/(MAX(1,_xlfn.MAXIFS(tblLecturas[Fecha],tblLecturas[Codigo],$A20)-_xlfn.MINIFS(tblLecturas[Fecha],tblLecturas[Codigo],$A20))),1),ROUND((_xlfn.MAXIFS(tblLecturas[Horometro],tblLecturas[Codigo],$A20)-_xlfn.MINIFS(tblLecturas[Horometro],tblLecturas[Codigo],$A20))/(MAX(1,_xlfn.MAXIFS(tblLecturas[Fecha],tblLecturas[Codigo],$A20)-_xlfn.MINIFS(tblLecturas[Fecha],tblLecturas[Codigo],$A20))),1)),"")</f>
        <v>0</v>
      </c>
      <c r="L20" s="20">
        <f>IFERROR(_xlfn.MAXIFS(tblLecturas[Fecha],tblLecturas[Codigo],$A20),"")</f>
        <v>46050</v>
      </c>
      <c r="M20" s="26">
        <f>IFERROR(_xlfn.MAXIFS(Lecturas!$C:$C,Lecturas!$B:$B,$A20,Lecturas!$C:$C,"&gt;0"),"")</f>
        <v>0</v>
      </c>
      <c r="N20" s="78">
        <f>IFERROR(_xlfn.MAXIFS(tblLecturas[Kilometraje],tblLecturas[Codigo],$A20,tblLecturas[Kilometraje],"&gt;0"),"")</f>
        <v>121065</v>
      </c>
      <c r="O20" s="78" t="str" cm="1">
        <f t="array" ref="O20">IFERROR(IF($I20="KM",LOOKUP(2,1/(Lecturas!$B:$B=$A20)/(Lecturas!$D:$D&gt;0),Lecturas!$D:$D),LOOKUP(2,1/(Lecturas!$B:$B=$A20)/(Lecturas!$C:$C&gt;0),Lecturas!$C:$C)),"")</f>
        <v/>
      </c>
      <c r="P20" s="20">
        <f>IFERROR(_xlfn.MAXIFS(tblMantenciones[Fecha],tblMantenciones[Codigo],tblMaestroEquipos[[#This Row],[Codigo]],tblMantenciones[EsPM],"Sí"),"")</f>
        <v>0</v>
      </c>
      <c r="Q20" s="78">
        <f>IF(_xlfn.MAXIFS(Mantenciones!$D:$D,Mantenciones!$B:$B,A20)=0,"Sin datos de mantención registrado",_xlfn.MAXIFS(Mantenciones!$D:$D,Mantenciones!$B:$B,A20))</f>
        <v>73978</v>
      </c>
      <c r="R20" s="18" t="str">
        <f>IFERROR(IF(_xlfn.MAXIFS(Mantenciones!$D:$D,Mantenciones!$B:$B,$A20,Mantenciones!$E:$E,"Sí",Mantenciones!$D:$D,"&gt;0")=0,"Sin datos de mantención registrado",_xlfn.MAXIFS(Mantenciones!$D:$D,Mantenciones!$B:$B,$A20,Mantenciones!$E:$E,"Sí",Mantenciones!$D:$D,"&gt;0")),"Sin datos de mantención registrado")</f>
        <v>Sin datos de mantención registrado</v>
      </c>
      <c r="S20" s="21">
        <f>IFERROR(SUMIFS(tblMantenciones[Costo Mantencion CLP],tblMantenciones[Codigo],A20),0)</f>
        <v>0</v>
      </c>
      <c r="T20" s="21">
        <f>IFERROR(SUMIFS(tblComprasPM[Costo PM CLP],tblComprasPM[Codigo],tblMaestroEquipos[[#This Row],[Codigo]]),0)</f>
        <v>0</v>
      </c>
      <c r="U20" s="21">
        <f>IFERROR(tblMaestroEquipos[[#This Row],[Costo Mantenciones CLP]]+tblMaestroEquipos[[#This Row],[Costo Compras PM CLP]],0)</f>
        <v>0</v>
      </c>
      <c r="V20" s="18" t="str">
        <f>IFERROR(_xlfn.XLOOKUP(tblMaestroEquipos[[#This Row],[Codigo]],tblEquipos[Codigo],tblEquipos[Estado Base]),"")</f>
        <v>Operativo</v>
      </c>
      <c r="W20" s="18" t="str">
        <f t="shared" si="0"/>
        <v>AL DÍA</v>
      </c>
      <c r="X20" s="18" t="str">
        <f t="shared" si="1"/>
        <v/>
      </c>
      <c r="Y2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0" s="25" t="str">
        <f>IFERROR(IF(_xlfn.MAXIFS(tblBodega[Fecha],tblBodega[Codigo],tblMaestroEquipos[[#This Row],[Codigo]])=0,"",_xlfn.MAXIFS(tblBodega[Fecha],tblBodega[Codigo],tblMaestroEquipos[[#This Row],[Codigo]])),"")</f>
        <v/>
      </c>
      <c r="AB2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0" s="51" t="str">
        <f t="shared" si="2"/>
        <v>OPERATIVO</v>
      </c>
      <c r="AF20" s="18" t="str">
        <f t="shared" si="3"/>
        <v>BAJA</v>
      </c>
      <c r="AG20" s="18" t="str">
        <f t="shared" si="4"/>
        <v>Monitorear próximo vencimiento</v>
      </c>
      <c r="AH20" s="27">
        <f t="shared" si="5"/>
        <v>0</v>
      </c>
      <c r="AI20" s="27" t="str">
        <f t="shared" si="6"/>
        <v/>
      </c>
      <c r="AJ20" s="24">
        <f t="shared" si="7"/>
        <v>99</v>
      </c>
    </row>
    <row r="21" spans="1:36">
      <c r="A21" s="18" t="s">
        <v>96</v>
      </c>
      <c r="B21" s="18" t="s">
        <v>20</v>
      </c>
      <c r="C21" s="18" t="s">
        <v>1069</v>
      </c>
      <c r="D21" s="18" t="s">
        <v>21</v>
      </c>
      <c r="E21" s="19" t="s">
        <v>87</v>
      </c>
      <c r="F21" s="18">
        <v>2024</v>
      </c>
      <c r="G21" s="18" t="str" cm="1">
        <f t="array" ref="G21">IFERROR(INDEX(Lecturas!$E$4:$E$3549,MATCH(1,(Lecturas!$B$4:$B$3549=$A21)*(Lecturas!$E$4:$E$3549&lt;&gt;"")*(Lecturas!$A$4:$A$3549=_xlfn.MAXIFS(Lecturas!$A$4:$A$3549,Lecturas!$B$4:$B$3549,$A21,Lecturas!$E$4:$E$3549,"&lt;&gt;")),0)),"")</f>
        <v/>
      </c>
      <c r="H21" s="18" t="s">
        <v>1102</v>
      </c>
      <c r="I21" s="18" t="s">
        <v>18</v>
      </c>
      <c r="J21" s="18">
        <v>250</v>
      </c>
      <c r="K21" s="18">
        <f>IFERROR(IF($I21="KM",ROUND((_xlfn.MAXIFS(tblLecturas[Kilometraje],tblLecturas[Codigo],$A21)-_xlfn.MINIFS(tblLecturas[Kilometraje],tblLecturas[Codigo],$A21))/(MAX(1,_xlfn.MAXIFS(tblLecturas[Fecha],tblLecturas[Codigo],$A21)-_xlfn.MINIFS(tblLecturas[Fecha],tblLecturas[Codigo],$A21))),1),ROUND((_xlfn.MAXIFS(tblLecturas[Horometro],tblLecturas[Codigo],$A21)-_xlfn.MINIFS(tblLecturas[Horometro],tblLecturas[Codigo],$A21))/(MAX(1,_xlfn.MAXIFS(tblLecturas[Fecha],tblLecturas[Codigo],$A21)-_xlfn.MINIFS(tblLecturas[Fecha],tblLecturas[Codigo],$A21))),1)),"")</f>
        <v>0</v>
      </c>
      <c r="L21" s="20">
        <f>IFERROR(_xlfn.MAXIFS(tblLecturas[Fecha],tblLecturas[Codigo],$A21),"")</f>
        <v>46048</v>
      </c>
      <c r="M21" s="26">
        <f>IFERROR(_xlfn.MAXIFS(Lecturas!$C:$C,Lecturas!$B:$B,$A21,Lecturas!$C:$C,"&gt;0"),"")</f>
        <v>0</v>
      </c>
      <c r="N21" s="78">
        <f>IFERROR(_xlfn.MAXIFS(tblLecturas[Kilometraje],tblLecturas[Codigo],$A21,tblLecturas[Kilometraje],"&gt;0"),"")</f>
        <v>48160</v>
      </c>
      <c r="O21" s="78" t="str" cm="1">
        <f t="array" ref="O21">IFERROR(IF($I21="KM",LOOKUP(2,1/(Lecturas!$B:$B=$A21)/(Lecturas!$D:$D&gt;0),Lecturas!$D:$D),LOOKUP(2,1/(Lecturas!$B:$B=$A21)/(Lecturas!$C:$C&gt;0),Lecturas!$C:$C)),"")</f>
        <v/>
      </c>
      <c r="P21" s="20">
        <f>IFERROR(_xlfn.MAXIFS(tblMantenciones[Fecha],tblMantenciones[Codigo],tblMaestroEquipos[[#This Row],[Codigo]],tblMantenciones[EsPM],"Sí"),"")</f>
        <v>0</v>
      </c>
      <c r="Q21" s="78" t="str">
        <f>IF(_xlfn.MAXIFS(Mantenciones!$D:$D,Mantenciones!$B:$B,A21)=0,"Sin datos de mantención registrado",_xlfn.MAXIFS(Mantenciones!$D:$D,Mantenciones!$B:$B,A21))</f>
        <v>Sin datos de mantención registrado</v>
      </c>
      <c r="R21" s="18" t="str">
        <f>IFERROR(IF(_xlfn.MAXIFS(Mantenciones!$D:$D,Mantenciones!$B:$B,$A21,Mantenciones!$E:$E,"Sí",Mantenciones!$D:$D,"&gt;0")=0,"Sin datos de mantención registrado",_xlfn.MAXIFS(Mantenciones!$D:$D,Mantenciones!$B:$B,$A21,Mantenciones!$E:$E,"Sí",Mantenciones!$D:$D,"&gt;0")),"Sin datos de mantención registrado")</f>
        <v>Sin datos de mantención registrado</v>
      </c>
      <c r="S21" s="21">
        <f>IFERROR(SUMIFS(tblMantenciones[Costo Mantencion CLP],tblMantenciones[Codigo],A21),0)</f>
        <v>0</v>
      </c>
      <c r="T21" s="21">
        <f>IFERROR(SUMIFS(tblComprasPM[Costo PM CLP],tblComprasPM[Codigo],tblMaestroEquipos[[#This Row],[Codigo]]),0)</f>
        <v>63430.805899999999</v>
      </c>
      <c r="U21" s="21">
        <f>IFERROR(tblMaestroEquipos[[#This Row],[Costo Mantenciones CLP]]+tblMaestroEquipos[[#This Row],[Costo Compras PM CLP]],0)</f>
        <v>63430.805899999999</v>
      </c>
      <c r="V21" s="18" t="str">
        <f>IFERROR(_xlfn.XLOOKUP(tblMaestroEquipos[[#This Row],[Codigo]],tblEquipos[Codigo],tblEquipos[Estado Base]),"")</f>
        <v>Fuera de Servicio</v>
      </c>
      <c r="W21" s="18" t="str">
        <f t="shared" si="0"/>
        <v>FUERA DE SERVICIO</v>
      </c>
      <c r="X21" s="18" t="str">
        <f t="shared" si="1"/>
        <v/>
      </c>
      <c r="Y2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1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21" s="25" t="str">
        <f>IFERROR(IF(_xlfn.MAXIFS(tblBodega[Fecha],tblBodega[Codigo],tblMaestroEquipos[[#This Row],[Codigo]])=0,"",_xlfn.MAXIFS(tblBodega[Fecha],tblBodega[Codigo],tblMaestroEquipos[[#This Row],[Codigo]])),"")</f>
        <v/>
      </c>
      <c r="AB2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76</v>
      </c>
      <c r="AC2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1" s="51" t="str">
        <f t="shared" si="2"/>
        <v>FUERA DE SERVICIO</v>
      </c>
      <c r="AF21" s="18" t="str">
        <f t="shared" si="3"/>
        <v>NO APLICA</v>
      </c>
      <c r="AG21" s="18" t="str">
        <f t="shared" si="4"/>
        <v>No programar compra</v>
      </c>
      <c r="AH21">
        <f t="shared" si="5"/>
        <v>0</v>
      </c>
      <c r="AI21" t="str">
        <f t="shared" si="6"/>
        <v/>
      </c>
      <c r="AJ21" s="24">
        <f t="shared" si="7"/>
        <v>99</v>
      </c>
    </row>
    <row r="22" spans="1:36">
      <c r="A22" s="18" t="s">
        <v>471</v>
      </c>
      <c r="B22" s="18" t="s">
        <v>472</v>
      </c>
      <c r="C22" s="18" t="s">
        <v>1074</v>
      </c>
      <c r="D22" s="18" t="s">
        <v>473</v>
      </c>
      <c r="E22" s="19" t="s">
        <v>474</v>
      </c>
      <c r="F22" s="18">
        <v>2016</v>
      </c>
      <c r="G22" s="18" t="str" cm="1">
        <f t="array" ref="G22">IFERROR(INDEX(Lecturas!$E$4:$E$3549,MATCH(1,(Lecturas!$B$4:$B$3549=$A22)*(Lecturas!$E$4:$E$3549&lt;&gt;"")*(Lecturas!$A$4:$A$3549=_xlfn.MAXIFS(Lecturas!$A$4:$A$3549,Lecturas!$B$4:$B$3549,$A22,Lecturas!$E$4:$E$3549,"&lt;&gt;")),0)),"")</f>
        <v/>
      </c>
      <c r="H22" s="18" t="s">
        <v>567</v>
      </c>
      <c r="I22" s="18" t="s">
        <v>462</v>
      </c>
      <c r="J22" s="18">
        <v>15000</v>
      </c>
      <c r="K22" s="18">
        <f>IFERROR(IF($I22="KM",ROUND((_xlfn.MAXIFS(tblLecturas[Kilometraje],tblLecturas[Codigo],$A22)-_xlfn.MINIFS(tblLecturas[Kilometraje],tblLecturas[Codigo],$A22))/(MAX(1,_xlfn.MAXIFS(tblLecturas[Fecha],tblLecturas[Codigo],$A22)-_xlfn.MINIFS(tblLecturas[Fecha],tblLecturas[Codigo],$A22))),1),ROUND((_xlfn.MAXIFS(tblLecturas[Horometro],tblLecturas[Codigo],$A22)-_xlfn.MINIFS(tblLecturas[Horometro],tblLecturas[Codigo],$A22))/(MAX(1,_xlfn.MAXIFS(tblLecturas[Fecha],tblLecturas[Codigo],$A22)-_xlfn.MINIFS(tblLecturas[Fecha],tblLecturas[Codigo],$A22))),1)),"")</f>
        <v>0</v>
      </c>
      <c r="L22" s="20">
        <f>IFERROR(_xlfn.MAXIFS(tblLecturas[Fecha],tblLecturas[Codigo],$A22),"")</f>
        <v>46048</v>
      </c>
      <c r="M22" s="26">
        <f>IFERROR(_xlfn.MAXIFS(Lecturas!$C:$C,Lecturas!$B:$B,$A22,Lecturas!$C:$C,"&gt;0"),"")</f>
        <v>0</v>
      </c>
      <c r="N22" s="78">
        <f>IFERROR(_xlfn.MAXIFS(tblLecturas[Kilometraje],tblLecturas[Codigo],$A22,tblLecturas[Kilometraje],"&gt;0"),"")</f>
        <v>58660</v>
      </c>
      <c r="O22" s="78" cm="1">
        <f t="array" ref="O22">IFERROR(IF($I22="KM",LOOKUP(2,1/(Lecturas!$B:$B=$A22)/(Lecturas!$D:$D&gt;0),Lecturas!$D:$D),LOOKUP(2,1/(Lecturas!$B:$B=$A22)/(Lecturas!$C:$C&gt;0),Lecturas!$C:$C)),"")</f>
        <v>58660</v>
      </c>
      <c r="P22" s="20">
        <f>IFERROR(_xlfn.MAXIFS(tblMantenciones[Fecha],tblMantenciones[Codigo],tblMaestroEquipos[[#This Row],[Codigo]],tblMantenciones[EsPM],"Sí"),"")</f>
        <v>0</v>
      </c>
      <c r="Q22" s="78" t="str">
        <f>IF(_xlfn.MAXIFS(Mantenciones!$D:$D,Mantenciones!$B:$B,A22)=0,"Sin datos de mantención registrado",_xlfn.MAXIFS(Mantenciones!$D:$D,Mantenciones!$B:$B,A22))</f>
        <v>Sin datos de mantención registrado</v>
      </c>
      <c r="R22" s="18" t="str">
        <f>IFERROR(IF(_xlfn.MAXIFS(Mantenciones!$D:$D,Mantenciones!$B:$B,$A22,Mantenciones!$E:$E,"Sí",Mantenciones!$D:$D,"&gt;0")=0,"Sin datos de mantención registrado",_xlfn.MAXIFS(Mantenciones!$D:$D,Mantenciones!$B:$B,$A22,Mantenciones!$E:$E,"Sí",Mantenciones!$D:$D,"&gt;0")),"Sin datos de mantención registrado")</f>
        <v>Sin datos de mantención registrado</v>
      </c>
      <c r="S22" s="21">
        <f>IFERROR(SUMIFS(tblMantenciones[Costo Mantencion CLP],tblMantenciones[Codigo],A22),0)</f>
        <v>0</v>
      </c>
      <c r="T22" s="21">
        <f>IFERROR(SUMIFS(tblComprasPM[Costo PM CLP],tblComprasPM[Codigo],tblMaestroEquipos[[#This Row],[Codigo]]),0)</f>
        <v>0</v>
      </c>
      <c r="U22" s="21">
        <f>IFERROR(tblMaestroEquipos[[#This Row],[Costo Mantenciones CLP]]+tblMaestroEquipos[[#This Row],[Costo Compras PM CLP]],0)</f>
        <v>0</v>
      </c>
      <c r="V22" s="18" t="str">
        <f>IFERROR(_xlfn.XLOOKUP(tblMaestroEquipos[[#This Row],[Codigo]],tblEquipos[Codigo],tblEquipos[Estado Base]),"")</f>
        <v>Fuera de Servicio</v>
      </c>
      <c r="W22" s="18" t="str">
        <f t="shared" si="0"/>
        <v>FUERA DE SERVICIO</v>
      </c>
      <c r="X22" s="18" t="str">
        <f t="shared" si="1"/>
        <v/>
      </c>
      <c r="Y2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2" s="25" t="str">
        <f>IFERROR(IF(_xlfn.MAXIFS(tblBodega[Fecha],tblBodega[Codigo],tblMaestroEquipos[[#This Row],[Codigo]])=0,"",_xlfn.MAXIFS(tblBodega[Fecha],tblBodega[Codigo],tblMaestroEquipos[[#This Row],[Codigo]])),"")</f>
        <v/>
      </c>
      <c r="AB2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2" s="51" t="str">
        <f t="shared" si="2"/>
        <v>FUERA DE SERVICIO</v>
      </c>
      <c r="AF22" s="18" t="str">
        <f t="shared" si="3"/>
        <v>NO APLICA</v>
      </c>
      <c r="AG22" s="18" t="str">
        <f t="shared" si="4"/>
        <v>No programar compra</v>
      </c>
      <c r="AH22">
        <f t="shared" si="5"/>
        <v>0</v>
      </c>
      <c r="AI22" t="str">
        <f t="shared" si="6"/>
        <v/>
      </c>
      <c r="AJ22" s="24">
        <f t="shared" si="7"/>
        <v>99</v>
      </c>
    </row>
    <row r="23" spans="1:36">
      <c r="A23" s="18" t="s">
        <v>72</v>
      </c>
      <c r="B23" s="18" t="s">
        <v>45</v>
      </c>
      <c r="C23" s="18" t="s">
        <v>1069</v>
      </c>
      <c r="D23" s="18" t="s">
        <v>73</v>
      </c>
      <c r="E23" s="19" t="s">
        <v>74</v>
      </c>
      <c r="F23" s="18">
        <v>2012</v>
      </c>
      <c r="G23" s="18" t="str" cm="1">
        <f t="array" ref="G23">IFERROR(INDEX(Lecturas!$E$4:$E$3549,MATCH(1,(Lecturas!$B$4:$B$3549=$A23)*(Lecturas!$E$4:$E$3549&lt;&gt;"")*(Lecturas!$A$4:$A$3549=_xlfn.MAXIFS(Lecturas!$A$4:$A$3549,Lecturas!$B$4:$B$3549,$A23,Lecturas!$E$4:$E$3549,"&lt;&gt;")),0)),"")</f>
        <v>Villaseca</v>
      </c>
      <c r="H23" s="18" t="s">
        <v>53</v>
      </c>
      <c r="I23" s="18" t="s">
        <v>18</v>
      </c>
      <c r="J23" s="18">
        <v>250</v>
      </c>
      <c r="K23" s="18">
        <f>IFERROR(IF($I23="KM",ROUND((_xlfn.MAXIFS(tblLecturas[Kilometraje],tblLecturas[Codigo],$A23)-_xlfn.MINIFS(tblLecturas[Kilometraje],tblLecturas[Codigo],$A23))/(MAX(1,_xlfn.MAXIFS(tblLecturas[Fecha],tblLecturas[Codigo],$A23)-_xlfn.MINIFS(tblLecturas[Fecha],tblLecturas[Codigo],$A23))),1),ROUND((_xlfn.MAXIFS(tblLecturas[Horometro],tblLecturas[Codigo],$A23)-_xlfn.MINIFS(tblLecturas[Horometro],tblLecturas[Codigo],$A23))/(MAX(1,_xlfn.MAXIFS(tblLecturas[Fecha],tblLecturas[Codigo],$A23)-_xlfn.MINIFS(tblLecturas[Fecha],tblLecturas[Codigo],$A23))),1)),"")</f>
        <v>0</v>
      </c>
      <c r="L23" s="20">
        <f>IFERROR(_xlfn.MAXIFS(tblLecturas[Fecha],tblLecturas[Codigo],$A23),"")</f>
        <v>46100</v>
      </c>
      <c r="M23" s="26">
        <f>IFERROR(_xlfn.MAXIFS(Lecturas!$C:$C,Lecturas!$B:$B,$A23,Lecturas!$C:$C,"&gt;0"),"")</f>
        <v>0</v>
      </c>
      <c r="N23" s="78">
        <f>IFERROR(_xlfn.MAXIFS(tblLecturas[Kilometraje],tblLecturas[Codigo],$A23,tblLecturas[Kilometraje],"&gt;0"),"")</f>
        <v>329583</v>
      </c>
      <c r="O23" s="78" t="str" cm="1">
        <f t="array" ref="O23">IFERROR(IF($I23="KM",LOOKUP(2,1/(Lecturas!$B:$B=$A23)/(Lecturas!$D:$D&gt;0),Lecturas!$D:$D),LOOKUP(2,1/(Lecturas!$B:$B=$A23)/(Lecturas!$C:$C&gt;0),Lecturas!$C:$C)),"")</f>
        <v/>
      </c>
      <c r="P23" s="20">
        <f>IFERROR(_xlfn.MAXIFS(tblMantenciones[Fecha],tblMantenciones[Codigo],tblMaestroEquipos[[#This Row],[Codigo]],tblMantenciones[EsPM],"Sí"),"")</f>
        <v>0</v>
      </c>
      <c r="Q23" s="78" t="str">
        <f>IF(_xlfn.MAXIFS(Mantenciones!$D:$D,Mantenciones!$B:$B,A23)=0,"Sin datos de mantención registrado",_xlfn.MAXIFS(Mantenciones!$D:$D,Mantenciones!$B:$B,A23))</f>
        <v>Sin datos de mantención registrado</v>
      </c>
      <c r="R23" s="18" t="str">
        <f>IFERROR(IF(_xlfn.MAXIFS(Mantenciones!$D:$D,Mantenciones!$B:$B,$A23,Mantenciones!$E:$E,"Sí",Mantenciones!$D:$D,"&gt;0")=0,"Sin datos de mantención registrado",_xlfn.MAXIFS(Mantenciones!$D:$D,Mantenciones!$B:$B,$A23,Mantenciones!$E:$E,"Sí",Mantenciones!$D:$D,"&gt;0")),"Sin datos de mantención registrado")</f>
        <v>Sin datos de mantención registrado</v>
      </c>
      <c r="S23" s="21">
        <f>IFERROR(SUMIFS(tblMantenciones[Costo Mantencion CLP],tblMantenciones[Codigo],A23),0)</f>
        <v>0</v>
      </c>
      <c r="T23" s="21">
        <f>IFERROR(SUMIFS(tblComprasPM[Costo PM CLP],tblComprasPM[Codigo],tblMaestroEquipos[[#This Row],[Codigo]]),0)</f>
        <v>94000.004000000001</v>
      </c>
      <c r="U23" s="21">
        <f>IFERROR(tblMaestroEquipos[[#This Row],[Costo Mantenciones CLP]]+tblMaestroEquipos[[#This Row],[Costo Compras PM CLP]],0)</f>
        <v>94000.004000000001</v>
      </c>
      <c r="V23" s="18" t="str">
        <f>IFERROR(_xlfn.XLOOKUP(tblMaestroEquipos[[#This Row],[Codigo]],tblEquipos[Codigo],tblEquipos[Estado Base]),"")</f>
        <v>Operativo</v>
      </c>
      <c r="W23" s="18" t="str">
        <f t="shared" si="0"/>
        <v>EN PROCESO</v>
      </c>
      <c r="X23" s="18" t="str">
        <f t="shared" si="1"/>
        <v/>
      </c>
      <c r="Y23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3" s="25">
        <f>IFERROR(IF(_xlfn.MINIFS(tblComprasPM[Fecha],tblComprasPM[Codigo],tblMaestroEquipos[[#This Row],[Codigo]])=0,"",_xlfn.MINIFS(tblComprasPM[Fecha],tblComprasPM[Codigo],tblMaestroEquipos[[#This Row],[Codigo]])),"")</f>
        <v>46078.357904513898</v>
      </c>
      <c r="AA23" s="25" t="str">
        <f>IFERROR(IF(_xlfn.MAXIFS(tblBodega[Fecha],tblBodega[Codigo],tblMaestroEquipos[[#This Row],[Codigo]])=0,"",_xlfn.MAXIFS(tblBodega[Fecha],tblBodega[Codigo],tblMaestroEquipos[[#This Row],[Codigo]])),"")</f>
        <v/>
      </c>
      <c r="AB2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67</v>
      </c>
      <c r="AC2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3" s="51" t="str">
        <f t="shared" si="2"/>
        <v>EN PROCESO</v>
      </c>
      <c r="AF23" s="18" t="str">
        <f t="shared" si="3"/>
        <v>SEGUIMIENTO</v>
      </c>
      <c r="AG23" s="18" t="str">
        <f t="shared" si="4"/>
        <v>Hacer seguimiento al taller y cerrar report</v>
      </c>
      <c r="AH23">
        <f t="shared" si="5"/>
        <v>0</v>
      </c>
      <c r="AI23" t="str">
        <f t="shared" si="6"/>
        <v/>
      </c>
      <c r="AJ23" s="24">
        <f t="shared" si="7"/>
        <v>2</v>
      </c>
    </row>
    <row r="24" spans="1:36">
      <c r="A24" s="18" t="s">
        <v>386</v>
      </c>
      <c r="B24" s="18" t="s">
        <v>340</v>
      </c>
      <c r="C24" s="18" t="s">
        <v>1070</v>
      </c>
      <c r="D24" s="18" t="s">
        <v>371</v>
      </c>
      <c r="E24" s="19" t="s">
        <v>385</v>
      </c>
      <c r="F24" s="18">
        <v>2004</v>
      </c>
      <c r="G24" s="18" t="str" cm="1">
        <f t="array" ref="G24">IFERROR(INDEX(Lecturas!$E$4:$E$3549,MATCH(1,(Lecturas!$B$4:$B$3549=$A24)*(Lecturas!$E$4:$E$3549&lt;&gt;"")*(Lecturas!$A$4:$A$3549=_xlfn.MAXIFS(Lecturas!$A$4:$A$3549,Lecturas!$B$4:$B$3549,$A24,Lecturas!$E$4:$E$3549,"&lt;&gt;")),0)),"")</f>
        <v/>
      </c>
      <c r="H24" s="18" t="s">
        <v>338</v>
      </c>
      <c r="I24" s="18" t="s">
        <v>18</v>
      </c>
      <c r="J24" s="18">
        <v>250</v>
      </c>
      <c r="K24" s="18">
        <f>IFERROR(IF($I24="KM",ROUND((_xlfn.MAXIFS(tblLecturas[Kilometraje],tblLecturas[Codigo],$A24)-_xlfn.MINIFS(tblLecturas[Kilometraje],tblLecturas[Codigo],$A24))/(MAX(1,_xlfn.MAXIFS(tblLecturas[Fecha],tblLecturas[Codigo],$A24)-_xlfn.MINIFS(tblLecturas[Fecha],tblLecturas[Codigo],$A24))),1),ROUND((_xlfn.MAXIFS(tblLecturas[Horometro],tblLecturas[Codigo],$A24)-_xlfn.MINIFS(tblLecturas[Horometro],tblLecturas[Codigo],$A24))/(MAX(1,_xlfn.MAXIFS(tblLecturas[Fecha],tblLecturas[Codigo],$A24)-_xlfn.MINIFS(tblLecturas[Fecha],tblLecturas[Codigo],$A24))),1)),"")</f>
        <v>1.4</v>
      </c>
      <c r="L24" s="20">
        <f>IFERROR(_xlfn.MAXIFS(tblLecturas[Fecha],tblLecturas[Codigo],$A24),"")</f>
        <v>46042</v>
      </c>
      <c r="M24" s="26">
        <f>IFERROR(_xlfn.MAXIFS(Lecturas!$C:$C,Lecturas!$B:$B,$A24,Lecturas!$C:$C,"&gt;0"),"")</f>
        <v>7950</v>
      </c>
      <c r="N24" s="78">
        <f>IFERROR(_xlfn.MAXIFS(tblLecturas[Kilometraje],tblLecturas[Codigo],$A24,tblLecturas[Kilometraje],"&gt;0"),"")</f>
        <v>0</v>
      </c>
      <c r="O24" s="78" cm="1">
        <f t="array" ref="O24">IFERROR(IF($I24="KM",LOOKUP(2,1/(Lecturas!$B:$B=$A24)/(Lecturas!$D:$D&gt;0),Lecturas!$D:$D),LOOKUP(2,1/(Lecturas!$B:$B=$A24)/(Lecturas!$C:$C&gt;0),Lecturas!$C:$C)),"")</f>
        <v>6823</v>
      </c>
      <c r="P24" s="20">
        <f>IFERROR(_xlfn.MAXIFS(tblMantenciones[Fecha],tblMantenciones[Codigo],tblMaestroEquipos[[#This Row],[Codigo]],tblMantenciones[EsPM],"Sí"),"")</f>
        <v>0</v>
      </c>
      <c r="Q24" s="78" t="str">
        <f>IF(_xlfn.MAXIFS(Mantenciones!$D:$D,Mantenciones!$B:$B,A24)=0,"Sin datos de mantención registrado",_xlfn.MAXIFS(Mantenciones!$D:$D,Mantenciones!$B:$B,A24))</f>
        <v>Sin datos de mantención registrado</v>
      </c>
      <c r="R24" s="18" t="str">
        <f>IFERROR(IF(_xlfn.MAXIFS(Mantenciones!$D:$D,Mantenciones!$B:$B,$A24,Mantenciones!$E:$E,"Sí",Mantenciones!$D:$D,"&gt;0")=0,"Sin datos de mantención registrado",_xlfn.MAXIFS(Mantenciones!$D:$D,Mantenciones!$B:$B,$A24,Mantenciones!$E:$E,"Sí",Mantenciones!$D:$D,"&gt;0")),"Sin datos de mantención registrado")</f>
        <v>Sin datos de mantención registrado</v>
      </c>
      <c r="S24" s="21">
        <f>IFERROR(SUMIFS(tblMantenciones[Costo Mantencion CLP],tblMantenciones[Codigo],A24),0)</f>
        <v>0</v>
      </c>
      <c r="T24" s="21">
        <f>IFERROR(SUMIFS(tblComprasPM[Costo PM CLP],tblComprasPM[Codigo],tblMaestroEquipos[[#This Row],[Codigo]]),0)</f>
        <v>0</v>
      </c>
      <c r="U24" s="21">
        <f>IFERROR(tblMaestroEquipos[[#This Row],[Costo Mantenciones CLP]]+tblMaestroEquipos[[#This Row],[Costo Compras PM CLP]],0)</f>
        <v>0</v>
      </c>
      <c r="V24" s="18" t="str">
        <f>IFERROR(_xlfn.XLOOKUP(tblMaestroEquipos[[#This Row],[Codigo]],tblEquipos[Codigo],tblEquipos[Estado Base]),"")</f>
        <v>Taller</v>
      </c>
      <c r="W24" s="18" t="str">
        <f t="shared" si="0"/>
        <v>EN TALLER</v>
      </c>
      <c r="X24" s="18" t="str">
        <f t="shared" si="1"/>
        <v/>
      </c>
      <c r="Y2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4" s="25">
        <f>IFERROR(IF(_xlfn.MAXIFS(tblBodega[Fecha],tblBodega[Codigo],tblMaestroEquipos[[#This Row],[Codigo]])=0,"",_xlfn.MAXIFS(tblBodega[Fecha],tblBodega[Codigo],tblMaestroEquipos[[#This Row],[Codigo]])),"")</f>
        <v>46111</v>
      </c>
      <c r="AB2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34</v>
      </c>
      <c r="AD2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4" s="51" t="str">
        <f t="shared" si="2"/>
        <v>EN TALLER</v>
      </c>
      <c r="AF24" s="18" t="str">
        <f t="shared" si="3"/>
        <v>BAJA</v>
      </c>
      <c r="AG24" s="18" t="str">
        <f t="shared" si="4"/>
        <v>Monitorear próximo vencimiento</v>
      </c>
      <c r="AH24" s="27">
        <f t="shared" si="5"/>
        <v>0</v>
      </c>
      <c r="AI24" s="27" t="str">
        <f t="shared" si="6"/>
        <v/>
      </c>
      <c r="AJ24" s="24">
        <f t="shared" si="7"/>
        <v>99</v>
      </c>
    </row>
    <row r="25" spans="1:36">
      <c r="A25" s="18" t="s">
        <v>77</v>
      </c>
      <c r="B25" s="18" t="s">
        <v>13</v>
      </c>
      <c r="C25" s="18" t="s">
        <v>1069</v>
      </c>
      <c r="D25" s="18" t="s">
        <v>60</v>
      </c>
      <c r="E25" s="19" t="s">
        <v>60</v>
      </c>
      <c r="F25" s="18" t="s">
        <v>60</v>
      </c>
      <c r="G25" s="18" t="str" cm="1">
        <f t="array" ref="G25">IFERROR(INDEX(Lecturas!$E$4:$E$3549,MATCH(1,(Lecturas!$B$4:$B$3549=$A25)*(Lecturas!$E$4:$E$3549&lt;&gt;"")*(Lecturas!$A$4:$A$3549=_xlfn.MAXIFS(Lecturas!$A$4:$A$3549,Lecturas!$B$4:$B$3549,$A25,Lecturas!$E$4:$E$3549,"&lt;&gt;")),0)),"")</f>
        <v/>
      </c>
      <c r="H25" s="18" t="s">
        <v>57</v>
      </c>
      <c r="I25" s="18" t="s">
        <v>18</v>
      </c>
      <c r="J25" s="18">
        <v>250</v>
      </c>
      <c r="K25" s="18">
        <f>IFERROR(IF($I25="KM",ROUND((_xlfn.MAXIFS(tblLecturas[Kilometraje],tblLecturas[Codigo],$A25)-_xlfn.MINIFS(tblLecturas[Kilometraje],tblLecturas[Codigo],$A25))/(MAX(1,_xlfn.MAXIFS(tblLecturas[Fecha],tblLecturas[Codigo],$A25)-_xlfn.MINIFS(tblLecturas[Fecha],tblLecturas[Codigo],$A25))),1),ROUND((_xlfn.MAXIFS(tblLecturas[Horometro],tblLecturas[Codigo],$A25)-_xlfn.MINIFS(tblLecturas[Horometro],tblLecturas[Codigo],$A25))/(MAX(1,_xlfn.MAXIFS(tblLecturas[Fecha],tblLecturas[Codigo],$A25)-_xlfn.MINIFS(tblLecturas[Fecha],tblLecturas[Codigo],$A25))),1)),"")</f>
        <v>0</v>
      </c>
      <c r="L25" s="20">
        <f>IFERROR(_xlfn.MAXIFS(tblLecturas[Fecha],tblLecturas[Codigo],$A25),"")</f>
        <v>46034</v>
      </c>
      <c r="M25" s="26">
        <f>IFERROR(_xlfn.MAXIFS(Lecturas!$C:$C,Lecturas!$B:$B,$A25,Lecturas!$C:$C,"&gt;0"),"")</f>
        <v>0</v>
      </c>
      <c r="N25" s="78">
        <f>IFERROR(_xlfn.MAXIFS(tblLecturas[Kilometraje],tblLecturas[Codigo],$A25,tblLecturas[Kilometraje],"&gt;0"),"")</f>
        <v>114148</v>
      </c>
      <c r="O25" s="78" t="str" cm="1">
        <f t="array" ref="O25">IFERROR(IF($I25="KM",LOOKUP(2,1/(Lecturas!$B:$B=$A25)/(Lecturas!$D:$D&gt;0),Lecturas!$D:$D),LOOKUP(2,1/(Lecturas!$B:$B=$A25)/(Lecturas!$C:$C&gt;0),Lecturas!$C:$C)),"")</f>
        <v/>
      </c>
      <c r="P25" s="20">
        <f>IFERROR(_xlfn.MAXIFS(tblMantenciones[Fecha],tblMantenciones[Codigo],tblMaestroEquipos[[#This Row],[Codigo]],tblMantenciones[EsPM],"Sí"),"")</f>
        <v>0</v>
      </c>
      <c r="Q25" s="78" t="str">
        <f>IF(_xlfn.MAXIFS(Mantenciones!$D:$D,Mantenciones!$B:$B,A25)=0,"Sin datos de mantención registrado",_xlfn.MAXIFS(Mantenciones!$D:$D,Mantenciones!$B:$B,A25))</f>
        <v>Sin datos de mantención registrado</v>
      </c>
      <c r="R25" s="18" t="str">
        <f>IFERROR(IF(_xlfn.MAXIFS(Mantenciones!$D:$D,Mantenciones!$B:$B,$A25,Mantenciones!$E:$E,"Sí",Mantenciones!$D:$D,"&gt;0")=0,"Sin datos de mantención registrado",_xlfn.MAXIFS(Mantenciones!$D:$D,Mantenciones!$B:$B,$A25,Mantenciones!$E:$E,"Sí",Mantenciones!$D:$D,"&gt;0")),"Sin datos de mantención registrado")</f>
        <v>Sin datos de mantención registrado</v>
      </c>
      <c r="S25" s="21">
        <f>IFERROR(SUMIFS(tblMantenciones[Costo Mantencion CLP],tblMantenciones[Codigo],A25),0)</f>
        <v>0</v>
      </c>
      <c r="T25" s="21">
        <f>IFERROR(SUMIFS(tblComprasPM[Costo PM CLP],tblComprasPM[Codigo],tblMaestroEquipos[[#This Row],[Codigo]]),0)</f>
        <v>0</v>
      </c>
      <c r="U25" s="21">
        <f>IFERROR(tblMaestroEquipos[[#This Row],[Costo Mantenciones CLP]]+tblMaestroEquipos[[#This Row],[Costo Compras PM CLP]],0)</f>
        <v>0</v>
      </c>
      <c r="V25" s="18" t="str">
        <f>IFERROR(_xlfn.XLOOKUP(tblMaestroEquipos[[#This Row],[Codigo]],tblEquipos[Codigo],tblEquipos[Estado Base]),"")</f>
        <v>Fuera de Servicio</v>
      </c>
      <c r="W25" s="18" t="str">
        <f t="shared" si="0"/>
        <v>FUERA DE SERVICIO</v>
      </c>
      <c r="X25" s="18" t="str">
        <f t="shared" si="1"/>
        <v/>
      </c>
      <c r="Y2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5" s="25" t="str">
        <f>IFERROR(IF(_xlfn.MAXIFS(tblBodega[Fecha],tblBodega[Codigo],tblMaestroEquipos[[#This Row],[Codigo]])=0,"",_xlfn.MAXIFS(tblBodega[Fecha],tblBodega[Codigo],tblMaestroEquipos[[#This Row],[Codigo]])),"")</f>
        <v/>
      </c>
      <c r="AB2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5" s="51" t="str">
        <f t="shared" si="2"/>
        <v>FUERA DE SERVICIO</v>
      </c>
      <c r="AF25" s="18" t="str">
        <f t="shared" si="3"/>
        <v>NO APLICA</v>
      </c>
      <c r="AG25" s="18" t="str">
        <f t="shared" si="4"/>
        <v>No programar compra</v>
      </c>
      <c r="AH25">
        <f t="shared" si="5"/>
        <v>0</v>
      </c>
      <c r="AI25" t="str">
        <f t="shared" si="6"/>
        <v/>
      </c>
      <c r="AJ25" s="24">
        <f t="shared" si="7"/>
        <v>99</v>
      </c>
    </row>
    <row r="26" spans="1:36">
      <c r="A26" s="18" t="s">
        <v>384</v>
      </c>
      <c r="B26" s="18" t="s">
        <v>340</v>
      </c>
      <c r="C26" s="18" t="s">
        <v>1070</v>
      </c>
      <c r="D26" s="18" t="s">
        <v>371</v>
      </c>
      <c r="E26" s="19" t="s">
        <v>385</v>
      </c>
      <c r="F26" s="18">
        <v>2002</v>
      </c>
      <c r="G26" s="18" t="str" cm="1">
        <f t="array" ref="G26">IFERROR(INDEX(Lecturas!$E$4:$E$3549,MATCH(1,(Lecturas!$B$4:$B$3549=$A26)*(Lecturas!$E$4:$E$3549&lt;&gt;"")*(Lecturas!$A$4:$A$3549=_xlfn.MAXIFS(Lecturas!$A$4:$A$3549,Lecturas!$B$4:$B$3549,$A26,Lecturas!$E$4:$E$3549,"&lt;&gt;")),0)),"")</f>
        <v/>
      </c>
      <c r="H26" s="18" t="s">
        <v>53</v>
      </c>
      <c r="I26" s="18" t="s">
        <v>18</v>
      </c>
      <c r="J26" s="18">
        <v>250</v>
      </c>
      <c r="K26" s="18">
        <f>IFERROR(IF($I26="KM",ROUND((_xlfn.MAXIFS(tblLecturas[Kilometraje],tblLecturas[Codigo],$A26)-_xlfn.MINIFS(tblLecturas[Kilometraje],tblLecturas[Codigo],$A26))/(MAX(1,_xlfn.MAXIFS(tblLecturas[Fecha],tblLecturas[Codigo],$A26)-_xlfn.MINIFS(tblLecturas[Fecha],tblLecturas[Codigo],$A26))),1),ROUND((_xlfn.MAXIFS(tblLecturas[Horometro],tblLecturas[Codigo],$A26)-_xlfn.MINIFS(tblLecturas[Horometro],tblLecturas[Codigo],$A26))/(MAX(1,_xlfn.MAXIFS(tblLecturas[Fecha],tblLecturas[Codigo],$A26)-_xlfn.MINIFS(tblLecturas[Fecha],tblLecturas[Codigo],$A26))),1)),"")</f>
        <v>0</v>
      </c>
      <c r="L26" s="20">
        <f>IFERROR(_xlfn.MAXIFS(tblLecturas[Fecha],tblLecturas[Codigo],$A26),"")</f>
        <v>46027</v>
      </c>
      <c r="M26" s="26">
        <f>IFERROR(_xlfn.MAXIFS(Lecturas!$C:$C,Lecturas!$B:$B,$A26,Lecturas!$C:$C,"&gt;0"),"")</f>
        <v>5937</v>
      </c>
      <c r="N26" s="78">
        <f>IFERROR(_xlfn.MAXIFS(tblLecturas[Kilometraje],tblLecturas[Codigo],$A26,tblLecturas[Kilometraje],"&gt;0"),"")</f>
        <v>0</v>
      </c>
      <c r="O26" s="78" cm="1">
        <f t="array" ref="O26">IFERROR(IF($I26="KM",LOOKUP(2,1/(Lecturas!$B:$B=$A26)/(Lecturas!$D:$D&gt;0),Lecturas!$D:$D),LOOKUP(2,1/(Lecturas!$B:$B=$A26)/(Lecturas!$C:$C&gt;0),Lecturas!$C:$C)),"")</f>
        <v>5937</v>
      </c>
      <c r="P26" s="20">
        <f>IFERROR(_xlfn.MAXIFS(tblMantenciones[Fecha],tblMantenciones[Codigo],tblMaestroEquipos[[#This Row],[Codigo]],tblMantenciones[EsPM],"Sí"),"")</f>
        <v>46106</v>
      </c>
      <c r="Q26" s="78">
        <f>IF(_xlfn.MAXIFS(Mantenciones!$D:$D,Mantenciones!$B:$B,A26)=0,"Sin datos de mantención registrado",_xlfn.MAXIFS(Mantenciones!$D:$D,Mantenciones!$B:$B,A26))</f>
        <v>6071</v>
      </c>
      <c r="R26" s="18">
        <f>IFERROR(IF(_xlfn.MAXIFS(Mantenciones!$D:$D,Mantenciones!$B:$B,$A26,Mantenciones!$E:$E,"Sí",Mantenciones!$D:$D,"&gt;0")=0,"Sin datos de mantención registrado",_xlfn.MAXIFS(Mantenciones!$D:$D,Mantenciones!$B:$B,$A26,Mantenciones!$E:$E,"Sí",Mantenciones!$D:$D,"&gt;0")),"Sin datos de mantención registrado")</f>
        <v>6071</v>
      </c>
      <c r="S26" s="21">
        <f>IFERROR(SUMIFS(tblMantenciones[Costo Mantencion CLP],tblMantenciones[Codigo],A26),0)</f>
        <v>0</v>
      </c>
      <c r="T26" s="21">
        <f>IFERROR(SUMIFS(tblComprasPM[Costo PM CLP],tblComprasPM[Codigo],tblMaestroEquipos[[#This Row],[Codigo]]),0)</f>
        <v>0</v>
      </c>
      <c r="U26" s="21">
        <f>IFERROR(tblMaestroEquipos[[#This Row],[Costo Mantenciones CLP]]+tblMaestroEquipos[[#This Row],[Costo Compras PM CLP]],0)</f>
        <v>0</v>
      </c>
      <c r="V26" s="18" t="str">
        <f>IFERROR(_xlfn.XLOOKUP(tblMaestroEquipos[[#This Row],[Codigo]],tblEquipos[Codigo],tblEquipos[Estado Base]),"")</f>
        <v>Taller</v>
      </c>
      <c r="W26" s="18" t="str">
        <f t="shared" si="0"/>
        <v>EN TALLER</v>
      </c>
      <c r="X26" s="18">
        <f t="shared" si="1"/>
        <v>384</v>
      </c>
      <c r="Y26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46411</v>
      </c>
      <c r="Z2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6" s="25">
        <f>IFERROR(IF(_xlfn.MAXIFS(tblBodega[Fecha],tblBodega[Codigo],tblMaestroEquipos[[#This Row],[Codigo]])=0,"",_xlfn.MAXIFS(tblBodega[Fecha],tblBodega[Codigo],tblMaestroEquipos[[#This Row],[Codigo]])),"")</f>
        <v>46106</v>
      </c>
      <c r="AB2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2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26" s="51" t="str">
        <f t="shared" si="2"/>
        <v>EN TALLER</v>
      </c>
      <c r="AF26" s="18" t="str">
        <f t="shared" si="3"/>
        <v>BAJA</v>
      </c>
      <c r="AG26" s="18" t="str">
        <f t="shared" si="4"/>
        <v>Monitorear próximo vencimiento</v>
      </c>
      <c r="AH26">
        <f t="shared" si="5"/>
        <v>0</v>
      </c>
      <c r="AI26" t="str">
        <f t="shared" si="6"/>
        <v/>
      </c>
      <c r="AJ26" s="24">
        <f t="shared" si="7"/>
        <v>99</v>
      </c>
    </row>
    <row r="27" spans="1:36">
      <c r="A27" s="18" t="s">
        <v>145</v>
      </c>
      <c r="B27" s="18" t="s">
        <v>82</v>
      </c>
      <c r="C27" s="18" t="s">
        <v>1069</v>
      </c>
      <c r="D27" s="18" t="s">
        <v>46</v>
      </c>
      <c r="E27" s="19" t="s">
        <v>146</v>
      </c>
      <c r="F27" s="18">
        <v>2011</v>
      </c>
      <c r="G27" s="18" t="str" cm="1">
        <f t="array" ref="G27">IFERROR(INDEX(Lecturas!$E$4:$E$3549,MATCH(1,(Lecturas!$B$4:$B$3549=$A27)*(Lecturas!$E$4:$E$3549&lt;&gt;"")*(Lecturas!$A$4:$A$3549=_xlfn.MAXIFS(Lecturas!$A$4:$A$3549,Lecturas!$B$4:$B$3549,$A27,Lecturas!$E$4:$E$3549,"&lt;&gt;")),0)),"")</f>
        <v>Palmucho</v>
      </c>
      <c r="H27" s="18" t="s">
        <v>147</v>
      </c>
      <c r="I27" s="18" t="s">
        <v>18</v>
      </c>
      <c r="J27" s="18">
        <v>250</v>
      </c>
      <c r="K27" s="18">
        <f>IFERROR(IF($I27="KM",ROUND((_xlfn.MAXIFS(tblLecturas[Kilometraje],tblLecturas[Codigo],$A27)-_xlfn.MINIFS(tblLecturas[Kilometraje],tblLecturas[Codigo],$A27))/(MAX(1,_xlfn.MAXIFS(tblLecturas[Fecha],tblLecturas[Codigo],$A27)-_xlfn.MINIFS(tblLecturas[Fecha],tblLecturas[Codigo],$A27))),1),ROUND((_xlfn.MAXIFS(tblLecturas[Horometro],tblLecturas[Codigo],$A27)-_xlfn.MINIFS(tblLecturas[Horometro],tblLecturas[Codigo],$A27))/(MAX(1,_xlfn.MAXIFS(tblLecturas[Fecha],tblLecturas[Codigo],$A27)-_xlfn.MINIFS(tblLecturas[Fecha],tblLecturas[Codigo],$A27))),1)),"")</f>
        <v>0</v>
      </c>
      <c r="L27" s="20">
        <f>IFERROR(_xlfn.MAXIFS(tblLecturas[Fecha],tblLecturas[Codigo],$A27),"")</f>
        <v>46107</v>
      </c>
      <c r="M27" s="26">
        <f>IFERROR(_xlfn.MAXIFS(Lecturas!$C:$C,Lecturas!$B:$B,$A27,Lecturas!$C:$C,"&gt;0"),"")</f>
        <v>0</v>
      </c>
      <c r="N27" s="78">
        <f>IFERROR(_xlfn.MAXIFS(tblLecturas[Kilometraje],tblLecturas[Codigo],$A27,tblLecturas[Kilometraje],"&gt;0"),"")</f>
        <v>805073</v>
      </c>
      <c r="O27" s="78" t="str" cm="1">
        <f t="array" ref="O27">IFERROR(IF($I27="KM",LOOKUP(2,1/(Lecturas!$B:$B=$A27)/(Lecturas!$D:$D&gt;0),Lecturas!$D:$D),LOOKUP(2,1/(Lecturas!$B:$B=$A27)/(Lecturas!$C:$C&gt;0),Lecturas!$C:$C)),"")</f>
        <v/>
      </c>
      <c r="P27" s="20">
        <f>IFERROR(_xlfn.MAXIFS(tblMantenciones[Fecha],tblMantenciones[Codigo],tblMaestroEquipos[[#This Row],[Codigo]],tblMantenciones[EsPM],"Sí"),"")</f>
        <v>0</v>
      </c>
      <c r="Q27" s="78" t="str">
        <f>IF(_xlfn.MAXIFS(Mantenciones!$D:$D,Mantenciones!$B:$B,A27)=0,"Sin datos de mantención registrado",_xlfn.MAXIFS(Mantenciones!$D:$D,Mantenciones!$B:$B,A27))</f>
        <v>Sin datos de mantención registrado</v>
      </c>
      <c r="R27" s="18" t="str">
        <f>IFERROR(IF(_xlfn.MAXIFS(Mantenciones!$D:$D,Mantenciones!$B:$B,$A27,Mantenciones!$E:$E,"Sí",Mantenciones!$D:$D,"&gt;0")=0,"Sin datos de mantención registrado",_xlfn.MAXIFS(Mantenciones!$D:$D,Mantenciones!$B:$B,$A27,Mantenciones!$E:$E,"Sí",Mantenciones!$D:$D,"&gt;0")),"Sin datos de mantención registrado")</f>
        <v>Sin datos de mantención registrado</v>
      </c>
      <c r="S27" s="21">
        <f>IFERROR(SUMIFS(tblMantenciones[Costo Mantencion CLP],tblMantenciones[Codigo],A27),0)</f>
        <v>0</v>
      </c>
      <c r="T27" s="21">
        <f>IFERROR(SUMIFS(tblComprasPM[Costo PM CLP],tblComprasPM[Codigo],tblMaestroEquipos[[#This Row],[Codigo]]),0)</f>
        <v>131994.79999999999</v>
      </c>
      <c r="U27" s="21">
        <f>IFERROR(tblMaestroEquipos[[#This Row],[Costo Mantenciones CLP]]+tblMaestroEquipos[[#This Row],[Costo Compras PM CLP]],0)</f>
        <v>131994.79999999999</v>
      </c>
      <c r="V27" s="18" t="str">
        <f>IFERROR(_xlfn.XLOOKUP(tblMaestroEquipos[[#This Row],[Codigo]],tblEquipos[Codigo],tblEquipos[Estado Base]),"")</f>
        <v>Operativo</v>
      </c>
      <c r="W27" s="18" t="str">
        <f t="shared" si="0"/>
        <v>EN PROCESO</v>
      </c>
      <c r="X27" s="18" t="str">
        <f t="shared" si="1"/>
        <v/>
      </c>
      <c r="Y2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7" s="25">
        <f>IFERROR(IF(_xlfn.MINIFS(tblComprasPM[Fecha],tblComprasPM[Codigo],tblMaestroEquipos[[#This Row],[Codigo]])=0,"",_xlfn.MINIFS(tblComprasPM[Fecha],tblComprasPM[Codigo],tblMaestroEquipos[[#This Row],[Codigo]])),"")</f>
        <v>46079.4319211806</v>
      </c>
      <c r="AA27" s="25" t="str">
        <f>IFERROR(IF(_xlfn.MAXIFS(tblBodega[Fecha],tblBodega[Codigo],tblMaestroEquipos[[#This Row],[Codigo]])=0,"",_xlfn.MAXIFS(tblBodega[Fecha],tblBodega[Codigo],tblMaestroEquipos[[#This Row],[Codigo]])),"")</f>
        <v/>
      </c>
      <c r="AB2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66</v>
      </c>
      <c r="AC2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7" s="51" t="str">
        <f t="shared" si="2"/>
        <v>EN PROCESO</v>
      </c>
      <c r="AF27" s="18" t="str">
        <f t="shared" si="3"/>
        <v>SEGUIMIENTO</v>
      </c>
      <c r="AG27" s="18" t="str">
        <f t="shared" si="4"/>
        <v>Hacer seguimiento al taller y cerrar report</v>
      </c>
      <c r="AH27" s="27">
        <f t="shared" si="5"/>
        <v>0</v>
      </c>
      <c r="AI27" s="27" t="str">
        <f t="shared" si="6"/>
        <v/>
      </c>
      <c r="AJ27" s="24">
        <f t="shared" si="7"/>
        <v>2</v>
      </c>
    </row>
    <row r="28" spans="1:36">
      <c r="A28" s="18" t="s">
        <v>190</v>
      </c>
      <c r="B28" s="18" t="s">
        <v>45</v>
      </c>
      <c r="C28" s="18" t="s">
        <v>1069</v>
      </c>
      <c r="D28" s="18" t="s">
        <v>46</v>
      </c>
      <c r="E28" s="19" t="s">
        <v>191</v>
      </c>
      <c r="F28" s="18">
        <v>2014</v>
      </c>
      <c r="G28" s="18" t="str" cm="1">
        <f t="array" ref="G28">IFERROR(INDEX(Lecturas!$E$4:$E$3549,MATCH(1,(Lecturas!$B$4:$B$3549=$A28)*(Lecturas!$E$4:$E$3549&lt;&gt;"")*(Lecturas!$A$4:$A$3549=_xlfn.MAXIFS(Lecturas!$A$4:$A$3549,Lecturas!$B$4:$B$3549,$A28,Lecturas!$E$4:$E$3549,"&lt;&gt;")),0)),"")</f>
        <v>Curicó</v>
      </c>
      <c r="H28" s="18" t="s">
        <v>1103</v>
      </c>
      <c r="I28" s="18" t="s">
        <v>18</v>
      </c>
      <c r="J28" s="18">
        <v>250</v>
      </c>
      <c r="K28" s="18">
        <f>IFERROR(IF($I28="KM",ROUND((_xlfn.MAXIFS(tblLecturas[Kilometraje],tblLecturas[Codigo],$A28)-_xlfn.MINIFS(tblLecturas[Kilometraje],tblLecturas[Codigo],$A28))/(MAX(1,_xlfn.MAXIFS(tblLecturas[Fecha],tblLecturas[Codigo],$A28)-_xlfn.MINIFS(tblLecturas[Fecha],tblLecturas[Codigo],$A28))),1),ROUND((_xlfn.MAXIFS(tblLecturas[Horometro],tblLecturas[Codigo],$A28)-_xlfn.MINIFS(tblLecturas[Horometro],tblLecturas[Codigo],$A28))/(MAX(1,_xlfn.MAXIFS(tblLecturas[Fecha],tblLecturas[Codigo],$A28)-_xlfn.MINIFS(tblLecturas[Fecha],tblLecturas[Codigo],$A28))),1)),"")</f>
        <v>0</v>
      </c>
      <c r="L28" s="20">
        <f>IFERROR(_xlfn.MAXIFS(tblLecturas[Fecha],tblLecturas[Codigo],$A28),"")</f>
        <v>46114</v>
      </c>
      <c r="M28" s="26">
        <f>IFERROR(_xlfn.MAXIFS(Lecturas!$C:$C,Lecturas!$B:$B,$A28,Lecturas!$C:$C,"&gt;0"),"")</f>
        <v>2023</v>
      </c>
      <c r="N28" s="78">
        <f>IFERROR(_xlfn.MAXIFS(tblLecturas[Kilometraje],tblLecturas[Codigo],$A28,tblLecturas[Kilometraje],"&gt;0"),"")</f>
        <v>342905</v>
      </c>
      <c r="O28" s="78" cm="1">
        <f t="array" ref="O28">IFERROR(IF($I28="KM",LOOKUP(2,1/(Lecturas!$B:$B=$A28)/(Lecturas!$D:$D&gt;0),Lecturas!$D:$D),LOOKUP(2,1/(Lecturas!$B:$B=$A28)/(Lecturas!$C:$C&gt;0),Lecturas!$C:$C)),"")</f>
        <v>2023</v>
      </c>
      <c r="P28" s="20">
        <f>IFERROR(_xlfn.MAXIFS(tblMantenciones[Fecha],tblMantenciones[Codigo],tblMaestroEquipos[[#This Row],[Codigo]],tblMantenciones[EsPM],"Sí"),"")</f>
        <v>46112</v>
      </c>
      <c r="Q28" s="78">
        <f>IF(_xlfn.MAXIFS(Mantenciones!$D:$D,Mantenciones!$B:$B,A28)=0,"Sin datos de mantención registrado",_xlfn.MAXIFS(Mantenciones!$D:$D,Mantenciones!$B:$B,A28))</f>
        <v>342684</v>
      </c>
      <c r="R28" s="18">
        <f>IFERROR(IF(_xlfn.MAXIFS(Mantenciones!$D:$D,Mantenciones!$B:$B,$A28,Mantenciones!$E:$E,"Sí",Mantenciones!$D:$D,"&gt;0")=0,"Sin datos de mantención registrado",_xlfn.MAXIFS(Mantenciones!$D:$D,Mantenciones!$B:$B,$A28,Mantenciones!$E:$E,"Sí",Mantenciones!$D:$D,"&gt;0")),"Sin datos de mantención registrado")</f>
        <v>342684</v>
      </c>
      <c r="S28" s="21">
        <f>IFERROR(SUMIFS(tblMantenciones[Costo Mantencion CLP],tblMantenciones[Codigo],A28),0)</f>
        <v>0</v>
      </c>
      <c r="T28" s="21">
        <f>IFERROR(SUMIFS(tblComprasPM[Costo PM CLP],tblComprasPM[Codigo],tblMaestroEquipos[[#This Row],[Codigo]]),0)</f>
        <v>271270.02</v>
      </c>
      <c r="U28" s="21">
        <f>IFERROR(tblMaestroEquipos[[#This Row],[Costo Mantenciones CLP]]+tblMaestroEquipos[[#This Row],[Costo Compras PM CLP]],0)</f>
        <v>271270.02</v>
      </c>
      <c r="V28" s="18" t="str">
        <f>IFERROR(_xlfn.XLOOKUP(tblMaestroEquipos[[#This Row],[Codigo]],tblEquipos[Codigo],tblEquipos[Estado Base]),"")</f>
        <v>Operativo</v>
      </c>
      <c r="W28" s="18" t="str">
        <f t="shared" si="0"/>
        <v>AL DÍA</v>
      </c>
      <c r="X28" s="18">
        <f t="shared" si="1"/>
        <v>340911</v>
      </c>
      <c r="Y28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387025</v>
      </c>
      <c r="Z28" s="25">
        <f>IFERROR(IF(_xlfn.MINIFS(tblComprasPM[Fecha],tblComprasPM[Codigo],tblMaestroEquipos[[#This Row],[Codigo]])=0,"",_xlfn.MINIFS(tblComprasPM[Fecha],tblComprasPM[Codigo],tblMaestroEquipos[[#This Row],[Codigo]])),"")</f>
        <v>46076.407432673601</v>
      </c>
      <c r="AA28" s="25">
        <f>IFERROR(IF(_xlfn.MAXIFS(tblBodega[Fecha],tblBodega[Codigo],tblMaestroEquipos[[#This Row],[Codigo]])=0,"",_xlfn.MAXIFS(tblBodega[Fecha],tblBodega[Codigo],tblMaestroEquipos[[#This Row],[Codigo]])),"")</f>
        <v>46097</v>
      </c>
      <c r="AB2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36</v>
      </c>
      <c r="AC28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15</v>
      </c>
      <c r="AD2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28" s="51" t="str">
        <f t="shared" si="2"/>
        <v>OPERATIVO</v>
      </c>
      <c r="AF28" s="18" t="str">
        <f t="shared" si="3"/>
        <v>BAJA</v>
      </c>
      <c r="AG28" s="18" t="str">
        <f t="shared" si="4"/>
        <v>Monitorear próximo vencimiento</v>
      </c>
      <c r="AH28">
        <f t="shared" si="5"/>
        <v>0</v>
      </c>
      <c r="AI28" t="str">
        <f t="shared" si="6"/>
        <v/>
      </c>
      <c r="AJ28" s="24">
        <f t="shared" si="7"/>
        <v>99</v>
      </c>
    </row>
    <row r="29" spans="1:36">
      <c r="A29" s="18" t="s">
        <v>117</v>
      </c>
      <c r="B29" s="18" t="s">
        <v>20</v>
      </c>
      <c r="C29" s="18" t="s">
        <v>1069</v>
      </c>
      <c r="D29" s="18" t="s">
        <v>118</v>
      </c>
      <c r="E29" s="19" t="s">
        <v>119</v>
      </c>
      <c r="F29" s="18">
        <v>2021</v>
      </c>
      <c r="G29" s="18" t="str" cm="1">
        <f t="array" ref="G29">IFERROR(INDEX(Lecturas!$E$4:$E$3549,MATCH(1,(Lecturas!$B$4:$B$3549=$A29)*(Lecturas!$E$4:$E$3549&lt;&gt;"")*(Lecturas!$A$4:$A$3549=_xlfn.MAXIFS(Lecturas!$A$4:$A$3549,Lecturas!$B$4:$B$3549,$A29,Lecturas!$E$4:$E$3549,"&lt;&gt;")),0)),"")</f>
        <v/>
      </c>
      <c r="H29" s="18" t="s">
        <v>57</v>
      </c>
      <c r="I29" s="18" t="s">
        <v>18</v>
      </c>
      <c r="J29" s="18">
        <v>250</v>
      </c>
      <c r="K29" s="18">
        <f>IFERROR(IF($I29="KM",ROUND((_xlfn.MAXIFS(tblLecturas[Kilometraje],tblLecturas[Codigo],$A29)-_xlfn.MINIFS(tblLecturas[Kilometraje],tblLecturas[Codigo],$A29))/(MAX(1,_xlfn.MAXIFS(tblLecturas[Fecha],tblLecturas[Codigo],$A29)-_xlfn.MINIFS(tblLecturas[Fecha],tblLecturas[Codigo],$A29))),1),ROUND((_xlfn.MAXIFS(tblLecturas[Horometro],tblLecturas[Codigo],$A29)-_xlfn.MINIFS(tblLecturas[Horometro],tblLecturas[Codigo],$A29))/(MAX(1,_xlfn.MAXIFS(tblLecturas[Fecha],tblLecturas[Codigo],$A29)-_xlfn.MINIFS(tblLecturas[Fecha],tblLecturas[Codigo],$A29))),1)),"")</f>
        <v>0</v>
      </c>
      <c r="L29" s="20">
        <f>IFERROR(_xlfn.MAXIFS(tblLecturas[Fecha],tblLecturas[Codigo],$A29),"")</f>
        <v>46020</v>
      </c>
      <c r="M29" s="26">
        <f>IFERROR(_xlfn.MAXIFS(Lecturas!$C:$C,Lecturas!$B:$B,$A29,Lecturas!$C:$C,"&gt;0"),"")</f>
        <v>0</v>
      </c>
      <c r="N29" s="78">
        <f>IFERROR(_xlfn.MAXIFS(tblLecturas[Kilometraje],tblLecturas[Codigo],$A29,tblLecturas[Kilometraje],"&gt;0"),"")</f>
        <v>80732</v>
      </c>
      <c r="O29" s="78" t="str" cm="1">
        <f t="array" ref="O29">IFERROR(IF($I29="KM",LOOKUP(2,1/(Lecturas!$B:$B=$A29)/(Lecturas!$D:$D&gt;0),Lecturas!$D:$D),LOOKUP(2,1/(Lecturas!$B:$B=$A29)/(Lecturas!$C:$C&gt;0),Lecturas!$C:$C)),"")</f>
        <v/>
      </c>
      <c r="P29" s="20">
        <f>IFERROR(_xlfn.MAXIFS(tblMantenciones[Fecha],tblMantenciones[Codigo],tblMaestroEquipos[[#This Row],[Codigo]],tblMantenciones[EsPM],"Sí"),"")</f>
        <v>0</v>
      </c>
      <c r="Q29" s="78" t="str">
        <f>IF(_xlfn.MAXIFS(Mantenciones!$D:$D,Mantenciones!$B:$B,A29)=0,"Sin datos de mantención registrado",_xlfn.MAXIFS(Mantenciones!$D:$D,Mantenciones!$B:$B,A29))</f>
        <v>Sin datos de mantención registrado</v>
      </c>
      <c r="R29" s="18" t="str">
        <f>IFERROR(IF(_xlfn.MAXIFS(Mantenciones!$D:$D,Mantenciones!$B:$B,$A29,Mantenciones!$E:$E,"Sí",Mantenciones!$D:$D,"&gt;0")=0,"Sin datos de mantención registrado",_xlfn.MAXIFS(Mantenciones!$D:$D,Mantenciones!$B:$B,$A29,Mantenciones!$E:$E,"Sí",Mantenciones!$D:$D,"&gt;0")),"Sin datos de mantención registrado")</f>
        <v>Sin datos de mantención registrado</v>
      </c>
      <c r="S29" s="21">
        <f>IFERROR(SUMIFS(tblMantenciones[Costo Mantencion CLP],tblMantenciones[Codigo],A29),0)</f>
        <v>0</v>
      </c>
      <c r="T29" s="21">
        <f>IFERROR(SUMIFS(tblComprasPM[Costo PM CLP],tblComprasPM[Codigo],tblMaestroEquipos[[#This Row],[Codigo]]),0)</f>
        <v>0</v>
      </c>
      <c r="U29" s="21">
        <f>IFERROR(tblMaestroEquipos[[#This Row],[Costo Mantenciones CLP]]+tblMaestroEquipos[[#This Row],[Costo Compras PM CLP]],0)</f>
        <v>0</v>
      </c>
      <c r="V29" s="18" t="str">
        <f>IFERROR(_xlfn.XLOOKUP(tblMaestroEquipos[[#This Row],[Codigo]],tblEquipos[Codigo],tblEquipos[Estado Base]),"")</f>
        <v>Fuera de Servicio</v>
      </c>
      <c r="W29" s="18" t="str">
        <f t="shared" si="0"/>
        <v>FUERA DE SERVICIO</v>
      </c>
      <c r="X29" s="18" t="str">
        <f t="shared" si="1"/>
        <v/>
      </c>
      <c r="Y2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9" s="25" t="str">
        <f>IFERROR(IF(_xlfn.MAXIFS(tblBodega[Fecha],tblBodega[Codigo],tblMaestroEquipos[[#This Row],[Codigo]])=0,"",_xlfn.MAXIFS(tblBodega[Fecha],tblBodega[Codigo],tblMaestroEquipos[[#This Row],[Codigo]])),"")</f>
        <v/>
      </c>
      <c r="AB2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9" s="51" t="str">
        <f t="shared" si="2"/>
        <v>FUERA DE SERVICIO</v>
      </c>
      <c r="AF29" s="18" t="str">
        <f t="shared" si="3"/>
        <v>NO APLICA</v>
      </c>
      <c r="AG29" s="18" t="str">
        <f t="shared" si="4"/>
        <v>No programar compra</v>
      </c>
      <c r="AH29">
        <f t="shared" si="5"/>
        <v>0</v>
      </c>
      <c r="AI29" t="str">
        <f t="shared" si="6"/>
        <v/>
      </c>
      <c r="AJ29" s="24">
        <f t="shared" si="7"/>
        <v>99</v>
      </c>
    </row>
    <row r="30" spans="1:36">
      <c r="A30" s="18" t="s">
        <v>603</v>
      </c>
      <c r="B30" s="18" t="s">
        <v>459</v>
      </c>
      <c r="C30" s="18" t="s">
        <v>1074</v>
      </c>
      <c r="D30" s="18" t="s">
        <v>604</v>
      </c>
      <c r="E30" s="19" t="s">
        <v>605</v>
      </c>
      <c r="F30" s="18">
        <v>2018</v>
      </c>
      <c r="G30" s="18" t="str" cm="1">
        <f t="array" ref="G30">IFERROR(INDEX(Lecturas!$E$4:$E$3549,MATCH(1,(Lecturas!$B$4:$B$3549=$A30)*(Lecturas!$E$4:$E$3549&lt;&gt;"")*(Lecturas!$A$4:$A$3549=_xlfn.MAXIFS(Lecturas!$A$4:$A$3549,Lecturas!$B$4:$B$3549,$A30,Lecturas!$E$4:$E$3549,"&lt;&gt;")),0)),"")</f>
        <v/>
      </c>
      <c r="H30" s="18" t="s">
        <v>313</v>
      </c>
      <c r="I30" s="18" t="s">
        <v>462</v>
      </c>
      <c r="J30" s="18">
        <v>15000</v>
      </c>
      <c r="K30" s="18">
        <f>IFERROR(IF($I30="KM",ROUND((_xlfn.MAXIFS(tblLecturas[Kilometraje],tblLecturas[Codigo],$A30)-_xlfn.MINIFS(tblLecturas[Kilometraje],tblLecturas[Codigo],$A30))/(MAX(1,_xlfn.MAXIFS(tblLecturas[Fecha],tblLecturas[Codigo],$A30)-_xlfn.MINIFS(tblLecturas[Fecha],tblLecturas[Codigo],$A30))),1),ROUND((_xlfn.MAXIFS(tblLecturas[Horometro],tblLecturas[Codigo],$A30)-_xlfn.MINIFS(tblLecturas[Horometro],tblLecturas[Codigo],$A30))/(MAX(1,_xlfn.MAXIFS(tblLecturas[Fecha],tblLecturas[Codigo],$A30)-_xlfn.MINIFS(tblLecturas[Fecha],tblLecturas[Codigo],$A30))),1)),"")</f>
        <v>0</v>
      </c>
      <c r="L30" s="20">
        <f>IFERROR(_xlfn.MAXIFS(tblLecturas[Fecha],tblLecturas[Codigo],$A30),"")</f>
        <v>46007</v>
      </c>
      <c r="M30" s="26">
        <f>IFERROR(_xlfn.MAXIFS(Lecturas!$C:$C,Lecturas!$B:$B,$A30,Lecturas!$C:$C,"&gt;0"),"")</f>
        <v>0</v>
      </c>
      <c r="N30" s="78">
        <f>IFERROR(_xlfn.MAXIFS(tblLecturas[Kilometraje],tblLecturas[Codigo],$A30,tblLecturas[Kilometraje],"&gt;0"),"")</f>
        <v>153679</v>
      </c>
      <c r="O30" s="78" cm="1">
        <f t="array" ref="O30">IFERROR(IF($I30="KM",LOOKUP(2,1/(Lecturas!$B:$B=$A30)/(Lecturas!$D:$D&gt;0),Lecturas!$D:$D),LOOKUP(2,1/(Lecturas!$B:$B=$A30)/(Lecturas!$C:$C&gt;0),Lecturas!$C:$C)),"")</f>
        <v>153679</v>
      </c>
      <c r="P30" s="20">
        <f>IFERROR(_xlfn.MAXIFS(tblMantenciones[Fecha],tblMantenciones[Codigo],tblMaestroEquipos[[#This Row],[Codigo]],tblMantenciones[EsPM],"Sí"),"")</f>
        <v>0</v>
      </c>
      <c r="Q30" s="78" t="str">
        <f>IF(_xlfn.MAXIFS(Mantenciones!$D:$D,Mantenciones!$B:$B,A30)=0,"Sin datos de mantención registrado",_xlfn.MAXIFS(Mantenciones!$D:$D,Mantenciones!$B:$B,A30))</f>
        <v>Sin datos de mantención registrado</v>
      </c>
      <c r="R30" s="18" t="str">
        <f>IFERROR(IF(_xlfn.MAXIFS(Mantenciones!$D:$D,Mantenciones!$B:$B,$A30,Mantenciones!$E:$E,"Sí",Mantenciones!$D:$D,"&gt;0")=0,"Sin datos de mantención registrado",_xlfn.MAXIFS(Mantenciones!$D:$D,Mantenciones!$B:$B,$A30,Mantenciones!$E:$E,"Sí",Mantenciones!$D:$D,"&gt;0")),"Sin datos de mantención registrado")</f>
        <v>Sin datos de mantención registrado</v>
      </c>
      <c r="S30" s="21">
        <f>IFERROR(SUMIFS(tblMantenciones[Costo Mantencion CLP],tblMantenciones[Codigo],tblMaestroEquipos[[#This Row],[Codigo]]),0)</f>
        <v>0</v>
      </c>
      <c r="T30" s="21">
        <f>IFERROR(SUMIFS(tblComprasPM[Costo PM CLP],tblComprasPM[Codigo],tblMaestroEquipos[[#This Row],[Codigo]]),0)</f>
        <v>0</v>
      </c>
      <c r="U30" s="21">
        <f>IFERROR(tblMaestroEquipos[[#This Row],[Costo Mantenciones CLP]]+tblMaestroEquipos[[#This Row],[Costo Compras PM CLP]],0)</f>
        <v>0</v>
      </c>
      <c r="V30" s="18" t="str">
        <f>IFERROR(_xlfn.XLOOKUP(tblMaestroEquipos[[#This Row],[Codigo]],tblEquipos[Codigo],tblEquipos[Estado Base]),"")</f>
        <v>Operativo</v>
      </c>
      <c r="W30" s="18" t="str">
        <f t="shared" si="0"/>
        <v>AL DÍA</v>
      </c>
      <c r="X30" s="18" t="str">
        <f t="shared" si="1"/>
        <v/>
      </c>
      <c r="Y3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3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30" s="25" t="str">
        <f>IFERROR(IF(_xlfn.MAXIFS(tblBodega[Fecha],tblBodega[Codigo],tblMaestroEquipos[[#This Row],[Codigo]])=0,"",_xlfn.MAXIFS(tblBodega[Fecha],tblBodega[Codigo],tblMaestroEquipos[[#This Row],[Codigo]])),"")</f>
        <v/>
      </c>
      <c r="AB3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3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3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30" s="51" t="str">
        <f t="shared" si="2"/>
        <v>OPERATIVO</v>
      </c>
      <c r="AF30" s="18" t="str">
        <f t="shared" si="3"/>
        <v>BAJA</v>
      </c>
      <c r="AG30" s="18" t="str">
        <f t="shared" si="4"/>
        <v>Monitorear próximo vencimiento</v>
      </c>
      <c r="AH30">
        <f t="shared" si="5"/>
        <v>0</v>
      </c>
      <c r="AI30" t="str">
        <f t="shared" si="6"/>
        <v/>
      </c>
      <c r="AJ30" s="24">
        <f t="shared" si="7"/>
        <v>99</v>
      </c>
    </row>
    <row r="31" spans="1:36">
      <c r="A31" s="18" t="s">
        <v>120</v>
      </c>
      <c r="B31" s="18" t="s">
        <v>20</v>
      </c>
      <c r="C31" s="18" t="s">
        <v>1069</v>
      </c>
      <c r="D31" s="18" t="s">
        <v>118</v>
      </c>
      <c r="E31" s="19" t="s">
        <v>119</v>
      </c>
      <c r="F31" s="18">
        <v>2021</v>
      </c>
      <c r="G31" s="18" t="str" cm="1">
        <f t="array" ref="G31">IFERROR(INDEX(Lecturas!$E$4:$E$3549,MATCH(1,(Lecturas!$B$4:$B$3549=$A31)*(Lecturas!$E$4:$E$3549&lt;&gt;"")*(Lecturas!$A$4:$A$3549=_xlfn.MAXIFS(Lecturas!$A$4:$A$3549,Lecturas!$B$4:$B$3549,$A31,Lecturas!$E$4:$E$3549,"&lt;&gt;")),0)),"")</f>
        <v/>
      </c>
      <c r="H31" s="18" t="s">
        <v>57</v>
      </c>
      <c r="I31" s="18" t="s">
        <v>18</v>
      </c>
      <c r="J31" s="18">
        <v>250</v>
      </c>
      <c r="K31" s="18">
        <f>IFERROR(IF($I31="KM",ROUND((_xlfn.MAXIFS(tblLecturas[Kilometraje],tblLecturas[Codigo],$A31)-_xlfn.MINIFS(tblLecturas[Kilometraje],tblLecturas[Codigo],$A31))/(MAX(1,_xlfn.MAXIFS(tblLecturas[Fecha],tblLecturas[Codigo],$A31)-_xlfn.MINIFS(tblLecturas[Fecha],tblLecturas[Codigo],$A31))),1),ROUND((_xlfn.MAXIFS(tblLecturas[Horometro],tblLecturas[Codigo],$A31)-_xlfn.MINIFS(tblLecturas[Horometro],tblLecturas[Codigo],$A31))/(MAX(1,_xlfn.MAXIFS(tblLecturas[Fecha],tblLecturas[Codigo],$A31)-_xlfn.MINIFS(tblLecturas[Fecha],tblLecturas[Codigo],$A31))),1)),"")</f>
        <v>0</v>
      </c>
      <c r="L31" s="20">
        <f>IFERROR(_xlfn.MAXIFS(tblLecturas[Fecha],tblLecturas[Codigo],$A31),"")</f>
        <v>46003</v>
      </c>
      <c r="M31" s="26">
        <f>IFERROR(_xlfn.MAXIFS(Lecturas!$C:$C,Lecturas!$B:$B,$A31,Lecturas!$C:$C,"&gt;0"),"")</f>
        <v>0</v>
      </c>
      <c r="N31" s="78">
        <f>IFERROR(_xlfn.MAXIFS(tblLecturas[Kilometraje],tblLecturas[Codigo],$A31,tblLecturas[Kilometraje],"&gt;0"),"")</f>
        <v>80500</v>
      </c>
      <c r="O31" s="78" t="str" cm="1">
        <f t="array" ref="O31">IFERROR(IF($I31="KM",LOOKUP(2,1/(Lecturas!$B:$B=$A31)/(Lecturas!$D:$D&gt;0),Lecturas!$D:$D),LOOKUP(2,1/(Lecturas!$B:$B=$A31)/(Lecturas!$C:$C&gt;0),Lecturas!$C:$C)),"")</f>
        <v/>
      </c>
      <c r="P31" s="20">
        <f>IFERROR(_xlfn.MAXIFS(tblMantenciones[Fecha],tblMantenciones[Codigo],tblMaestroEquipos[[#This Row],[Codigo]],tblMantenciones[EsPM],"Sí"),"")</f>
        <v>0</v>
      </c>
      <c r="Q31" s="78" t="str">
        <f>IF(_xlfn.MAXIFS(Mantenciones!$D:$D,Mantenciones!$B:$B,A31)=0,"Sin datos de mantención registrado",_xlfn.MAXIFS(Mantenciones!$D:$D,Mantenciones!$B:$B,A31))</f>
        <v>Sin datos de mantención registrado</v>
      </c>
      <c r="R31" s="18" t="str">
        <f>IFERROR(IF(_xlfn.MAXIFS(Mantenciones!$D:$D,Mantenciones!$B:$B,$A31,Mantenciones!$E:$E,"Sí",Mantenciones!$D:$D,"&gt;0")=0,"Sin datos de mantención registrado",_xlfn.MAXIFS(Mantenciones!$D:$D,Mantenciones!$B:$B,$A31,Mantenciones!$E:$E,"Sí",Mantenciones!$D:$D,"&gt;0")),"Sin datos de mantención registrado")</f>
        <v>Sin datos de mantención registrado</v>
      </c>
      <c r="S31" s="21">
        <f>IFERROR(SUMIFS(tblMantenciones[Costo Mantencion CLP],tblMantenciones[Codigo],A31),0)</f>
        <v>0</v>
      </c>
      <c r="T31" s="21">
        <f>IFERROR(SUMIFS(tblComprasPM[Costo PM CLP],tblComprasPM[Codigo],tblMaestroEquipos[[#This Row],[Codigo]]),0)</f>
        <v>0</v>
      </c>
      <c r="U31" s="21">
        <f>IFERROR(tblMaestroEquipos[[#This Row],[Costo Mantenciones CLP]]+tblMaestroEquipos[[#This Row],[Costo Compras PM CLP]],0)</f>
        <v>0</v>
      </c>
      <c r="V31" s="18" t="str">
        <f>IFERROR(_xlfn.XLOOKUP(tblMaestroEquipos[[#This Row],[Codigo]],tblEquipos[Codigo],tblEquipos[Estado Base]),"")</f>
        <v>Fuera de Servicio</v>
      </c>
      <c r="W31" s="18" t="str">
        <f t="shared" si="0"/>
        <v>FUERA DE SERVICIO</v>
      </c>
      <c r="X31" s="18" t="str">
        <f t="shared" si="1"/>
        <v/>
      </c>
      <c r="Y3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31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31" s="25" t="str">
        <f>IFERROR(IF(_xlfn.MAXIFS(tblBodega[Fecha],tblBodega[Codigo],tblMaestroEquipos[[#This Row],[Codigo]])=0,"",_xlfn.MAXIFS(tblBodega[Fecha],tblBodega[Codigo],tblMaestroEquipos[[#This Row],[Codigo]])),"")</f>
        <v/>
      </c>
      <c r="AB31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3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3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31" s="51" t="str">
        <f t="shared" si="2"/>
        <v>FUERA DE SERVICIO</v>
      </c>
      <c r="AF31" s="18" t="str">
        <f t="shared" si="3"/>
        <v>NO APLICA</v>
      </c>
      <c r="AG31" s="18" t="str">
        <f t="shared" si="4"/>
        <v>No programar compra</v>
      </c>
      <c r="AH31" s="27">
        <f t="shared" si="5"/>
        <v>0</v>
      </c>
      <c r="AI31" s="27" t="str">
        <f t="shared" si="6"/>
        <v/>
      </c>
      <c r="AJ31" s="24">
        <f t="shared" si="7"/>
        <v>99</v>
      </c>
    </row>
    <row r="32" spans="1:36">
      <c r="A32" s="18" t="s">
        <v>198</v>
      </c>
      <c r="B32" s="18" t="s">
        <v>199</v>
      </c>
      <c r="C32" s="18" t="s">
        <v>1070</v>
      </c>
      <c r="D32" s="18" t="s">
        <v>200</v>
      </c>
      <c r="E32" s="19" t="s">
        <v>201</v>
      </c>
      <c r="F32" s="18">
        <v>2010</v>
      </c>
      <c r="G32" s="18" t="str" cm="1">
        <f t="array" ref="G32">IFERROR(INDEX(Lecturas!$E$4:$E$3549,MATCH(1,(Lecturas!$B$4:$B$3549=$A32)*(Lecturas!$E$4:$E$3549&lt;&gt;"")*(Lecturas!$A$4:$A$3549=_xlfn.MAXIFS(Lecturas!$A$4:$A$3549,Lecturas!$B$4:$B$3549,$A32,Lecturas!$E$4:$E$3549,"&lt;&gt;")),0)),"")</f>
        <v/>
      </c>
      <c r="H32" s="18" t="s">
        <v>53</v>
      </c>
      <c r="I32" s="18" t="s">
        <v>18</v>
      </c>
      <c r="J32" s="18">
        <v>250</v>
      </c>
      <c r="K32" s="18">
        <f>IFERROR(IF($I32="KM",ROUND((_xlfn.MAXIFS(tblLecturas[Kilometraje],tblLecturas[Codigo],$A32)-_xlfn.MINIFS(tblLecturas[Kilometraje],tblLecturas[Codigo],$A32))/(MAX(1,_xlfn.MAXIFS(tblLecturas[Fecha],tblLecturas[Codigo],$A32)-_xlfn.MINIFS(tblLecturas[Fecha],tblLecturas[Codigo],$A32))),1),ROUND((_xlfn.MAXIFS(tblLecturas[Horometro],tblLecturas[Codigo],$A32)-_xlfn.MINIFS(tblLecturas[Horometro],tblLecturas[Codigo],$A32))/(MAX(1,_xlfn.MAXIFS(tblLecturas[Fecha],tblLecturas[Codigo],$A32)-_xlfn.MINIFS(tblLecturas[Fecha],tblLecturas[Codigo],$A32))),1)),"")</f>
        <v>0</v>
      </c>
      <c r="L32" s="20">
        <f>IFERROR(_xlfn.MAXIFS(tblLecturas[Fecha],tblLecturas[Codigo],$A32),"")</f>
        <v>46104</v>
      </c>
      <c r="M32" s="26">
        <f>IFERROR(_xlfn.MAXIFS(Lecturas!$C:$C,Lecturas!$B:$B,$A32,Lecturas!$C:$C,"&gt;0"),"")</f>
        <v>609</v>
      </c>
      <c r="N32" s="78">
        <f>IFERROR(_xlfn.MAXIFS(tblLecturas[Kilometraje],tblLecturas[Codigo],$A32,tblLecturas[Kilometraje],"&gt;0"),"")</f>
        <v>352</v>
      </c>
      <c r="O32" s="78" cm="1">
        <f t="array" ref="O32">IFERROR(IF($I32="KM",LOOKUP(2,1/(Lecturas!$B:$B=$A32)/(Lecturas!$D:$D&gt;0),Lecturas!$D:$D),LOOKUP(2,1/(Lecturas!$B:$B=$A32)/(Lecturas!$C:$C&gt;0),Lecturas!$C:$C)),"")</f>
        <v>609</v>
      </c>
      <c r="P32" s="20">
        <f>IFERROR(_xlfn.MAXIFS(tblMantenciones[Fecha],tblMantenciones[Codigo],tblMaestroEquipos[[#This Row],[Codigo]],tblMantenciones[EsPM],"Sí"),"")</f>
        <v>0</v>
      </c>
      <c r="Q32" s="78" t="str">
        <f>IF(_xlfn.MAXIFS(Mantenciones!$D:$D,Mantenciones!$B:$B,A32)=0,"Sin datos de mantención registrado",_xlfn.MAXIFS(Mantenciones!$D:$D,Mantenciones!$B:$B,A32))</f>
        <v>Sin datos de mantención registrado</v>
      </c>
      <c r="R32" s="18" t="str">
        <f>IFERROR(IF(_xlfn.MAXIFS(Mantenciones!$D:$D,Mantenciones!$B:$B,$A32,Mantenciones!$E:$E,"Sí",Mantenciones!$D:$D,"&gt;0")=0,"Sin datos de mantención registrado",_xlfn.MAXIFS(Mantenciones!$D:$D,Mantenciones!$B:$B,$A32,Mantenciones!$E:$E,"Sí",Mantenciones!$D:$D,"&gt;0")),"Sin datos de mantención registrado")</f>
        <v>Sin datos de mantención registrado</v>
      </c>
      <c r="S32" s="21">
        <f>IFERROR(SUMIFS(tblMantenciones[Costo Mantencion CLP],tblMantenciones[Codigo],A32),0)</f>
        <v>0</v>
      </c>
      <c r="T32" s="21">
        <f>IFERROR(SUMIFS(tblComprasPM[Costo PM CLP],tblComprasPM[Codigo],tblMaestroEquipos[[#This Row],[Codigo]]),0)</f>
        <v>0</v>
      </c>
      <c r="U32" s="21">
        <f>IFERROR(tblMaestroEquipos[[#This Row],[Costo Mantenciones CLP]]+tblMaestroEquipos[[#This Row],[Costo Compras PM CLP]],0)</f>
        <v>0</v>
      </c>
      <c r="V32" s="18" t="str">
        <f>IFERROR(_xlfn.XLOOKUP(tblMaestroEquipos[[#This Row],[Codigo]],tblEquipos[Codigo],tblEquipos[Estado Base]),"")</f>
        <v>Operativo</v>
      </c>
      <c r="W32" s="18" t="str">
        <f t="shared" si="0"/>
        <v>AL DÍA</v>
      </c>
      <c r="X32" s="18" t="str">
        <f t="shared" si="1"/>
        <v/>
      </c>
      <c r="Y3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3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32" s="25" t="str">
        <f>IFERROR(IF(_xlfn.MAXIFS(tblBodega[Fecha],tblBodega[Codigo],tblMaestroEquipos[[#This Row],[Codigo]])=0,"",_xlfn.MAXIFS(tblBodega[Fecha],tblBodega[Codigo],tblMaestroEquipos[[#This Row],[Codigo]])),"")</f>
        <v/>
      </c>
      <c r="AB3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3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3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32" s="51" t="str">
        <f t="shared" si="2"/>
        <v>OPERATIVO</v>
      </c>
      <c r="AF32" s="18" t="str">
        <f t="shared" si="3"/>
        <v>BAJA</v>
      </c>
      <c r="AG32" s="18" t="str">
        <f t="shared" si="4"/>
        <v>Monitorear próximo vencimiento</v>
      </c>
      <c r="AH32">
        <f t="shared" si="5"/>
        <v>0</v>
      </c>
      <c r="AI32" t="str">
        <f t="shared" si="6"/>
        <v/>
      </c>
      <c r="AJ32" s="24">
        <f t="shared" si="7"/>
        <v>99</v>
      </c>
    </row>
    <row r="33" spans="1:36">
      <c r="A33" s="18" t="s">
        <v>390</v>
      </c>
      <c r="B33" s="18" t="s">
        <v>259</v>
      </c>
      <c r="C33" s="18" t="s">
        <v>1070</v>
      </c>
      <c r="D33" s="18" t="s">
        <v>265</v>
      </c>
      <c r="E33" s="19" t="s">
        <v>391</v>
      </c>
      <c r="F33" s="18">
        <v>2012</v>
      </c>
      <c r="G33" s="18" t="str" cm="1">
        <f t="array" ref="G33">IFERROR(INDEX(Lecturas!$E$4:$E$3549,MATCH(1,(Lecturas!$B$4:$B$3549=$A33)*(Lecturas!$E$4:$E$3549&lt;&gt;"")*(Lecturas!$A$4:$A$3549=_xlfn.MAXIFS(Lecturas!$A$4:$A$3549,Lecturas!$B$4:$B$3549,$A33,Lecturas!$E$4:$E$3549,"&lt;&gt;")),0)),"")</f>
        <v/>
      </c>
      <c r="H33" s="18" t="s">
        <v>392</v>
      </c>
      <c r="I33" s="18" t="s">
        <v>18</v>
      </c>
      <c r="J33" s="18">
        <v>250</v>
      </c>
      <c r="K33" s="18">
        <f>IFERROR(IF($I33="KM",ROUND((_xlfn.MAXIFS(tblLecturas[Kilometraje],tblLecturas[Codigo],$A33)-_xlfn.MINIFS(tblLecturas[Kilometraje],tblLecturas[Codigo],$A33))/(MAX(1,_xlfn.MAXIFS(tblLecturas[Fecha],tblLecturas[Codigo],$A33)-_xlfn.MINIFS(tblLecturas[Fecha],tblLecturas[Codigo],$A33))),1),ROUND((_xlfn.MAXIFS(tblLecturas[Horometro],tblLecturas[Codigo],$A33)-_xlfn.MINIFS(tblLecturas[Horometro],tblLecturas[Codigo],$A33))/(MAX(1,_xlfn.MAXIFS(tblLecturas[Fecha],tblLecturas[Codigo],$A33)-_xlfn.MINIFS(tblLecturas[Fecha],tblLecturas[Codigo],$A33))),1)),"")</f>
        <v>0</v>
      </c>
      <c r="L33" s="20">
        <f>IFERROR(_xlfn.MAXIFS(tblLecturas[Fecha],tblLecturas[Codigo],$A33),"")</f>
        <v>45996</v>
      </c>
      <c r="M33" s="26">
        <f>IFERROR(_xlfn.MAXIFS(Lecturas!$C:$C,Lecturas!$B:$B,$A33,Lecturas!$C:$C,"&gt;0"),"")</f>
        <v>9276</v>
      </c>
      <c r="N33" s="78">
        <f>IFERROR(_xlfn.MAXIFS(tblLecturas[Kilometraje],tblLecturas[Codigo],$A33,tblLecturas[Kilometraje],"&gt;0"),"")</f>
        <v>227056</v>
      </c>
      <c r="O33" s="78" cm="1">
        <f t="array" ref="O33">IFERROR(IF($I33="KM",LOOKUP(2,1/(Lecturas!$B:$B=$A33)/(Lecturas!$D:$D&gt;0),Lecturas!$D:$D),LOOKUP(2,1/(Lecturas!$B:$B=$A33)/(Lecturas!$C:$C&gt;0),Lecturas!$C:$C)),"")</f>
        <v>9276</v>
      </c>
      <c r="P33" s="20">
        <f>IFERROR(_xlfn.MAXIFS(tblMantenciones[Fecha],tblMantenciones[Codigo],tblMaestroEquipos[[#This Row],[Codigo]],tblMantenciones[EsPM],"Sí"),"")</f>
        <v>0</v>
      </c>
      <c r="Q33" s="78" t="str">
        <f>IF(_xlfn.MAXIFS(Mantenciones!$D:$D,Mantenciones!$B:$B,A33)=0,"Sin datos de mantención registrado",_xlfn.MAXIFS(Mantenciones!$D:$D,Mantenciones!$B:$B,A33))</f>
        <v>Sin datos de mantención registrado</v>
      </c>
      <c r="R33" s="18" t="str">
        <f>IFERROR(IF(_xlfn.MAXIFS(Mantenciones!$D:$D,Mantenciones!$B:$B,$A33,Mantenciones!$E:$E,"Sí",Mantenciones!$D:$D,"&gt;0")=0,"Sin datos de mantención registrado",_xlfn.MAXIFS(Mantenciones!$D:$D,Mantenciones!$B:$B,$A33,Mantenciones!$E:$E,"Sí",Mantenciones!$D:$D,"&gt;0")),"Sin datos de mantención registrado")</f>
        <v>Sin datos de mantención registrado</v>
      </c>
      <c r="S33" s="21">
        <f>IFERROR(SUMIFS(tblMantenciones[Costo Mantencion CLP],tblMantenciones[Codigo],A33),0)</f>
        <v>0</v>
      </c>
      <c r="T33" s="21">
        <f>IFERROR(SUMIFS(tblComprasPM[Costo PM CLP],tblComprasPM[Codigo],tblMaestroEquipos[[#This Row],[Codigo]]),0)</f>
        <v>0</v>
      </c>
      <c r="U33" s="21">
        <f>IFERROR(tblMaestroEquipos[[#This Row],[Costo Mantenciones CLP]]+tblMaestroEquipos[[#This Row],[Costo Compras PM CLP]],0)</f>
        <v>0</v>
      </c>
      <c r="V33" s="18" t="str">
        <f>IFERROR(_xlfn.XLOOKUP(tblMaestroEquipos[[#This Row],[Codigo]],tblEquipos[Codigo],tblEquipos[Estado Base]),"")</f>
        <v>Operativo</v>
      </c>
      <c r="W33" s="18" t="str">
        <f t="shared" si="0"/>
        <v>AL DÍA</v>
      </c>
      <c r="X33" s="18" t="str">
        <f t="shared" si="1"/>
        <v/>
      </c>
      <c r="Y33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33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33" s="25" t="str">
        <f>IFERROR(IF(_xlfn.MAXIFS(tblBodega[Fecha],tblBodega[Codigo],tblMaestroEquipos[[#This Row],[Codigo]])=0,"",_xlfn.MAXIFS(tblBodega[Fecha],tblBodega[Codigo],tblMaestroEquipos[[#This Row],[Codigo]])),"")</f>
        <v/>
      </c>
      <c r="AB33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3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3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33" s="51" t="str">
        <f t="shared" si="2"/>
        <v>OPERATIVO</v>
      </c>
      <c r="AF33" s="18" t="str">
        <f t="shared" si="3"/>
        <v>BAJA</v>
      </c>
      <c r="AG33" s="18" t="str">
        <f t="shared" si="4"/>
        <v>Monitorear próximo vencimiento</v>
      </c>
      <c r="AH33">
        <f t="shared" si="5"/>
        <v>0</v>
      </c>
      <c r="AI33" t="str">
        <f t="shared" si="6"/>
        <v/>
      </c>
      <c r="AJ33" s="24">
        <f t="shared" si="7"/>
        <v>99</v>
      </c>
    </row>
    <row r="34" spans="1:36">
      <c r="A34" s="18" t="s">
        <v>437</v>
      </c>
      <c r="B34" s="18" t="s">
        <v>279</v>
      </c>
      <c r="C34" s="18" t="s">
        <v>1070</v>
      </c>
      <c r="D34" s="18" t="s">
        <v>302</v>
      </c>
      <c r="E34" s="19" t="s">
        <v>438</v>
      </c>
      <c r="F34" s="18">
        <v>2013</v>
      </c>
      <c r="G34" s="18" t="str" cm="1">
        <f t="array" ref="G34">IFERROR(INDEX(Lecturas!$E$4:$E$3549,MATCH(1,(Lecturas!$B$4:$B$3549=$A34)*(Lecturas!$E$4:$E$3549&lt;&gt;"")*(Lecturas!$A$4:$A$3549=_xlfn.MAXIFS(Lecturas!$A$4:$A$3549,Lecturas!$B$4:$B$3549,$A34,Lecturas!$E$4:$E$3549,"&lt;&gt;")),0)),"")</f>
        <v/>
      </c>
      <c r="H34" s="18" t="s">
        <v>439</v>
      </c>
      <c r="I34" s="18" t="s">
        <v>18</v>
      </c>
      <c r="J34" s="18">
        <v>250</v>
      </c>
      <c r="K34" s="18">
        <f>IFERROR(IF($I34="KM",ROUND((_xlfn.MAXIFS(tblLecturas[Kilometraje],tblLecturas[Codigo],$A34)-_xlfn.MINIFS(tblLecturas[Kilometraje],tblLecturas[Codigo],$A34))/(MAX(1,_xlfn.MAXIFS(tblLecturas[Fecha],tblLecturas[Codigo],$A34)-_xlfn.MINIFS(tblLecturas[Fecha],tblLecturas[Codigo],$A34))),1),ROUND((_xlfn.MAXIFS(tblLecturas[Horometro],tblLecturas[Codigo],$A34)-_xlfn.MINIFS(tblLecturas[Horometro],tblLecturas[Codigo],$A34))/(MAX(1,_xlfn.MAXIFS(tblLecturas[Fecha],tblLecturas[Codigo],$A34)-_xlfn.MINIFS(tblLecturas[Fecha],tblLecturas[Codigo],$A34))),1)),"")</f>
        <v>0</v>
      </c>
      <c r="L34" s="20">
        <f>IFERROR(_xlfn.MAXIFS(tblLecturas[Fecha],tblLecturas[Codigo],$A34),"")</f>
        <v>45994</v>
      </c>
      <c r="M34" s="26">
        <f>IFERROR(_xlfn.MAXIFS(Lecturas!$C:$C,Lecturas!$B:$B,$A34,Lecturas!$C:$C,"&gt;0"),"")</f>
        <v>1733</v>
      </c>
      <c r="N34" s="78">
        <f>IFERROR(_xlfn.MAXIFS(tblLecturas[Kilometraje],tblLecturas[Codigo],$A34,tblLecturas[Kilometraje],"&gt;0"),"")</f>
        <v>0</v>
      </c>
      <c r="O34" s="78" cm="1">
        <f t="array" ref="O34">IFERROR(IF($I34="KM",LOOKUP(2,1/(Lecturas!$B:$B=$A34)/(Lecturas!$D:$D&gt;0),Lecturas!$D:$D),LOOKUP(2,1/(Lecturas!$B:$B=$A34)/(Lecturas!$C:$C&gt;0),Lecturas!$C:$C)),"")</f>
        <v>1733</v>
      </c>
      <c r="P34" s="20">
        <f>IFERROR(_xlfn.MAXIFS(tblMantenciones[Fecha],tblMantenciones[Codigo],tblMaestroEquipos[[#This Row],[Codigo]],tblMantenciones[EsPM],"Sí"),"")</f>
        <v>0</v>
      </c>
      <c r="Q34" s="78" t="str">
        <f>IF(_xlfn.MAXIFS(Mantenciones!$D:$D,Mantenciones!$B:$B,A34)=0,"Sin datos de mantención registrado",_xlfn.MAXIFS(Mantenciones!$D:$D,Mantenciones!$B:$B,A34))</f>
        <v>Sin datos de mantención registrado</v>
      </c>
      <c r="R34" s="18" t="str">
        <f>IFERROR(IF(_xlfn.MAXIFS(Mantenciones!$D:$D,Mantenciones!$B:$B,$A34,Mantenciones!$E:$E,"Sí",Mantenciones!$D:$D,"&gt;0")=0,"Sin datos de mantención registrado",_xlfn.MAXIFS(Mantenciones!$D:$D,Mantenciones!$B:$B,$A34,Mantenciones!$E:$E,"Sí",Mantenciones!$D:$D,"&gt;0")),"Sin datos de mantención registrado")</f>
        <v>Sin datos de mantención registrado</v>
      </c>
      <c r="S34" s="21">
        <f>IFERROR(SUMIFS(tblMantenciones[Costo Mantencion CLP],tblMantenciones[Codigo],A34),0)</f>
        <v>0</v>
      </c>
      <c r="T34" s="21">
        <f>IFERROR(SUMIFS(tblComprasPM[Costo PM CLP],tblComprasPM[Codigo],tblMaestroEquipos[[#This Row],[Codigo]]),0)</f>
        <v>0</v>
      </c>
      <c r="U34" s="21">
        <f>IFERROR(tblMaestroEquipos[[#This Row],[Costo Mantenciones CLP]]+tblMaestroEquipos[[#This Row],[Costo Compras PM CLP]],0)</f>
        <v>0</v>
      </c>
      <c r="V34" s="18" t="str">
        <f>IFERROR(_xlfn.XLOOKUP(tblMaestroEquipos[[#This Row],[Codigo]],tblEquipos[Codigo],tblEquipos[Estado Base]),"")</f>
        <v>Fuera de Servicio</v>
      </c>
      <c r="W34" s="18" t="str">
        <f t="shared" si="0"/>
        <v>FUERA DE SERVICIO</v>
      </c>
      <c r="X34" s="18" t="str">
        <f t="shared" si="1"/>
        <v/>
      </c>
      <c r="Y3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3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34" s="25" t="str">
        <f>IFERROR(IF(_xlfn.MAXIFS(tblBodega[Fecha],tblBodega[Codigo],tblMaestroEquipos[[#This Row],[Codigo]])=0,"",_xlfn.MAXIFS(tblBodega[Fecha],tblBodega[Codigo],tblMaestroEquipos[[#This Row],[Codigo]])),"")</f>
        <v/>
      </c>
      <c r="AB3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3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3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34" s="51" t="str">
        <f t="shared" si="2"/>
        <v>FUERA DE SERVICIO</v>
      </c>
      <c r="AF34" s="18" t="str">
        <f t="shared" si="3"/>
        <v>NO APLICA</v>
      </c>
      <c r="AG34" s="18" t="str">
        <f t="shared" si="4"/>
        <v>No programar compra</v>
      </c>
      <c r="AH34" s="27">
        <f t="shared" si="5"/>
        <v>0</v>
      </c>
      <c r="AI34" s="27" t="str">
        <f t="shared" si="6"/>
        <v/>
      </c>
      <c r="AJ34" s="24">
        <f t="shared" si="7"/>
        <v>99</v>
      </c>
    </row>
    <row r="35" spans="1:36">
      <c r="A35" s="18" t="s">
        <v>479</v>
      </c>
      <c r="B35" s="18" t="s">
        <v>459</v>
      </c>
      <c r="C35" s="18" t="s">
        <v>1074</v>
      </c>
      <c r="D35" s="18" t="s">
        <v>73</v>
      </c>
      <c r="E35" s="19" t="s">
        <v>480</v>
      </c>
      <c r="F35" s="18">
        <v>2011</v>
      </c>
      <c r="G35" s="18" t="str" cm="1">
        <f t="array" ref="G35">IFERROR(INDEX(Lecturas!$E$4:$E$3549,MATCH(1,(Lecturas!$B$4:$B$3549=$A35)*(Lecturas!$E$4:$E$3549&lt;&gt;"")*(Lecturas!$A$4:$A$3549=_xlfn.MAXIFS(Lecturas!$A$4:$A$3549,Lecturas!$B$4:$B$3549,$A35,Lecturas!$E$4:$E$3549,"&lt;&gt;")),0)),"")</f>
        <v/>
      </c>
      <c r="H35" s="18" t="s">
        <v>151</v>
      </c>
      <c r="I35" s="18" t="s">
        <v>462</v>
      </c>
      <c r="J35" s="18">
        <v>15000</v>
      </c>
      <c r="K35" s="18">
        <f>IFERROR(IF($I35="KM",ROUND((_xlfn.MAXIFS(tblLecturas[Kilometraje],tblLecturas[Codigo],$A35)-_xlfn.MINIFS(tblLecturas[Kilometraje],tblLecturas[Codigo],$A35))/(MAX(1,_xlfn.MAXIFS(tblLecturas[Fecha],tblLecturas[Codigo],$A35)-_xlfn.MINIFS(tblLecturas[Fecha],tblLecturas[Codigo],$A35))),1),ROUND((_xlfn.MAXIFS(tblLecturas[Horometro],tblLecturas[Codigo],$A35)-_xlfn.MINIFS(tblLecturas[Horometro],tblLecturas[Codigo],$A35))/(MAX(1,_xlfn.MAXIFS(tblLecturas[Fecha],tblLecturas[Codigo],$A35)-_xlfn.MINIFS(tblLecturas[Fecha],tblLecturas[Codigo],$A35))),1)),"")</f>
        <v>0</v>
      </c>
      <c r="L35" s="20">
        <f>IFERROR(_xlfn.MAXIFS(tblLecturas[Fecha],tblLecturas[Codigo],$A35),"")</f>
        <v>45994</v>
      </c>
      <c r="M35" s="26">
        <f>IFERROR(_xlfn.MAXIFS(Lecturas!$C:$C,Lecturas!$B:$B,$A35,Lecturas!$C:$C,"&gt;0"),"")</f>
        <v>0</v>
      </c>
      <c r="N35" s="78">
        <f>IFERROR(_xlfn.MAXIFS(tblLecturas[Kilometraje],tblLecturas[Codigo],$A35,tblLecturas[Kilometraje],"&gt;0"),"")</f>
        <v>66902</v>
      </c>
      <c r="O35" s="78" cm="1">
        <f t="array" ref="O35">IFERROR(IF($I35="KM",LOOKUP(2,1/(Lecturas!$B:$B=$A35)/(Lecturas!$D:$D&gt;0),Lecturas!$D:$D),LOOKUP(2,1/(Lecturas!$B:$B=$A35)/(Lecturas!$C:$C&gt;0),Lecturas!$C:$C)),"")</f>
        <v>66902</v>
      </c>
      <c r="P35" s="20">
        <f>IFERROR(_xlfn.MAXIFS(tblMantenciones[Fecha],tblMantenciones[Codigo],tblMaestroEquipos[[#This Row],[Codigo]],tblMantenciones[EsPM],"Sí"),"")</f>
        <v>0</v>
      </c>
      <c r="Q35" s="78" t="str">
        <f>IF(_xlfn.MAXIFS(Mantenciones!$D:$D,Mantenciones!$B:$B,A35)=0,"Sin datos de mantención registrado",_xlfn.MAXIFS(Mantenciones!$D:$D,Mantenciones!$B:$B,A35))</f>
        <v>Sin datos de mantención registrado</v>
      </c>
      <c r="R35" s="18" t="str">
        <f>IFERROR(IF(_xlfn.MAXIFS(Mantenciones!$D:$D,Mantenciones!$B:$B,$A35,Mantenciones!$E:$E,"Sí",Mantenciones!$D:$D,"&gt;0")=0,"Sin datos de mantención registrado",_xlfn.MAXIFS(Mantenciones!$D:$D,Mantenciones!$B:$B,$A35,Mantenciones!$E:$E,"Sí",Mantenciones!$D:$D,"&gt;0")),"Sin datos de mantención registrado")</f>
        <v>Sin datos de mantención registrado</v>
      </c>
      <c r="S35" s="21">
        <f>IFERROR(SUMIFS(tblMantenciones[Costo Mantencion CLP],tblMantenciones[Codigo],A35),0)</f>
        <v>0</v>
      </c>
      <c r="T35" s="21">
        <f>IFERROR(SUMIFS(tblComprasPM[Costo PM CLP],tblComprasPM[Codigo],tblMaestroEquipos[[#This Row],[Codigo]]),0)</f>
        <v>0</v>
      </c>
      <c r="U35" s="21">
        <f>IFERROR(tblMaestroEquipos[[#This Row],[Costo Mantenciones CLP]]+tblMaestroEquipos[[#This Row],[Costo Compras PM CLP]],0)</f>
        <v>0</v>
      </c>
      <c r="V35" s="18" t="str">
        <f>IFERROR(_xlfn.XLOOKUP(tblMaestroEquipos[[#This Row],[Codigo]],tblEquipos[Codigo],tblEquipos[Estado Base]),"")</f>
        <v>Fuera de Servicio</v>
      </c>
      <c r="W35" s="18" t="str">
        <f t="shared" si="0"/>
        <v>FUERA DE SERVICIO</v>
      </c>
      <c r="X35" s="18" t="str">
        <f t="shared" si="1"/>
        <v/>
      </c>
      <c r="Y3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3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35" s="25" t="str">
        <f>IFERROR(IF(_xlfn.MAXIFS(tblBodega[Fecha],tblBodega[Codigo],tblMaestroEquipos[[#This Row],[Codigo]])=0,"",_xlfn.MAXIFS(tblBodega[Fecha],tblBodega[Codigo],tblMaestroEquipos[[#This Row],[Codigo]])),"")</f>
        <v/>
      </c>
      <c r="AB3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3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3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35" s="51" t="str">
        <f t="shared" si="2"/>
        <v>FUERA DE SERVICIO</v>
      </c>
      <c r="AF35" s="18" t="str">
        <f t="shared" si="3"/>
        <v>NO APLICA</v>
      </c>
      <c r="AG35" s="18" t="str">
        <f t="shared" si="4"/>
        <v>No programar compra</v>
      </c>
      <c r="AH35" s="27">
        <f t="shared" si="5"/>
        <v>0</v>
      </c>
      <c r="AI35" s="27" t="str">
        <f t="shared" si="6"/>
        <v/>
      </c>
      <c r="AJ35" s="24">
        <f t="shared" si="7"/>
        <v>99</v>
      </c>
    </row>
    <row r="36" spans="1:36">
      <c r="A36" s="18" t="s">
        <v>12</v>
      </c>
      <c r="B36" s="18" t="s">
        <v>13</v>
      </c>
      <c r="C36" s="18" t="s">
        <v>1069</v>
      </c>
      <c r="D36" s="18" t="s">
        <v>14</v>
      </c>
      <c r="E36" s="19">
        <v>26220</v>
      </c>
      <c r="F36" s="18">
        <v>2008</v>
      </c>
      <c r="G36" s="18" t="str" cm="1">
        <f t="array" ref="G36">IFERROR(INDEX(Lecturas!$E$4:$E$3549,MATCH(1,(Lecturas!$B$4:$B$3549=$A36)*(Lecturas!$E$4:$E$3549&lt;&gt;"")*(Lecturas!$A$4:$A$3549=_xlfn.MAXIFS(Lecturas!$A$4:$A$3549,Lecturas!$B$4:$B$3549,$A36,Lecturas!$E$4:$E$3549,"&lt;&gt;")),0)),"")</f>
        <v/>
      </c>
      <c r="H36" s="18" t="s">
        <v>16</v>
      </c>
      <c r="I36" s="18" t="s">
        <v>18</v>
      </c>
      <c r="J36" s="18">
        <v>250</v>
      </c>
      <c r="K36" s="18">
        <f>IFERROR(IF($I36="KM",ROUND((_xlfn.MAXIFS(tblLecturas[Kilometraje],tblLecturas[Codigo],$A36)-_xlfn.MINIFS(tblLecturas[Kilometraje],tblLecturas[Codigo],$A36))/(MAX(1,_xlfn.MAXIFS(tblLecturas[Fecha],tblLecturas[Codigo],$A36)-_xlfn.MINIFS(tblLecturas[Fecha],tblLecturas[Codigo],$A36))),1),ROUND((_xlfn.MAXIFS(tblLecturas[Horometro],tblLecturas[Codigo],$A36)-_xlfn.MINIFS(tblLecturas[Horometro],tblLecturas[Codigo],$A36))/(MAX(1,_xlfn.MAXIFS(tblLecturas[Fecha],tblLecturas[Codigo],$A36)-_xlfn.MINIFS(tblLecturas[Fecha],tblLecturas[Codigo],$A36))),1)),"")</f>
        <v>16.5</v>
      </c>
      <c r="L36" s="20">
        <f>IFERROR(_xlfn.MAXIFS(tblLecturas[Fecha],tblLecturas[Codigo],$A36),"")</f>
        <v>45993</v>
      </c>
      <c r="M36" s="26">
        <f>IFERROR(_xlfn.MAXIFS(Lecturas!$C:$C,Lecturas!$B:$B,$A36,Lecturas!$C:$C,"&gt;0"),"")</f>
        <v>28522</v>
      </c>
      <c r="N36" s="78">
        <f>IFERROR(_xlfn.MAXIFS(tblLecturas[Kilometraje],tblLecturas[Codigo],$A36,tblLecturas[Kilometraje],"&gt;0"),"")</f>
        <v>0</v>
      </c>
      <c r="O36" s="78" cm="1">
        <f t="array" ref="O36">IFERROR(IF($I36="KM",LOOKUP(2,1/(Lecturas!$B:$B=$A36)/(Lecturas!$D:$D&gt;0),Lecturas!$D:$D),LOOKUP(2,1/(Lecturas!$B:$B=$A36)/(Lecturas!$C:$C&gt;0),Lecturas!$C:$C)),"")</f>
        <v>1937</v>
      </c>
      <c r="P36" s="20">
        <f>IFERROR(_xlfn.MAXIFS(tblMantenciones[Fecha],tblMantenciones[Codigo],tblMaestroEquipos[[#This Row],[Codigo]],tblMantenciones[EsPM],"Sí"),"")</f>
        <v>46113</v>
      </c>
      <c r="Q36" s="78">
        <f>IF(_xlfn.MAXIFS(Mantenciones!$D:$D,Mantenciones!$B:$B,A36)=0,"Sin datos de mantención registrado",_xlfn.MAXIFS(Mantenciones!$D:$D,Mantenciones!$B:$B,A36))</f>
        <v>2882</v>
      </c>
      <c r="R36" s="18">
        <f>IFERROR(IF(_xlfn.MAXIFS(Mantenciones!$D:$D,Mantenciones!$B:$B,$A36,Mantenciones!$E:$E,"Sí",Mantenciones!$D:$D,"&gt;0")=0,"Sin datos de mantención registrado",_xlfn.MAXIFS(Mantenciones!$D:$D,Mantenciones!$B:$B,$A36,Mantenciones!$E:$E,"Sí",Mantenciones!$D:$D,"&gt;0")),"Sin datos de mantención registrado")</f>
        <v>2882</v>
      </c>
      <c r="S36" s="21">
        <f>IFERROR(SUMIFS(tblMantenciones[Costo Mantencion CLP],tblMantenciones[Codigo],A36),0)</f>
        <v>0</v>
      </c>
      <c r="T36" s="21">
        <f>IFERROR(SUMIFS(tblComprasPM[Costo PM CLP],tblComprasPM[Codigo],tblMaestroEquipos[[#This Row],[Codigo]]),0)</f>
        <v>199255.98</v>
      </c>
      <c r="U36" s="21">
        <f>IFERROR(tblMaestroEquipos[[#This Row],[Costo Mantenciones CLP]]+tblMaestroEquipos[[#This Row],[Costo Compras PM CLP]],0)</f>
        <v>199255.98</v>
      </c>
      <c r="V36" s="18" t="str">
        <f>IFERROR(_xlfn.XLOOKUP(tblMaestroEquipos[[#This Row],[Codigo]],tblEquipos[Codigo],tblEquipos[Estado Base]),"")</f>
        <v>Operativo</v>
      </c>
      <c r="W36" s="18" t="str">
        <f t="shared" si="0"/>
        <v>AL DÍA</v>
      </c>
      <c r="X36" s="18">
        <f t="shared" si="1"/>
        <v>1195</v>
      </c>
      <c r="Y36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47188</v>
      </c>
      <c r="Z36" s="25">
        <f>IFERROR(IF(_xlfn.MINIFS(tblComprasPM[Fecha],tblComprasPM[Codigo],tblMaestroEquipos[[#This Row],[Codigo]])=0,"",_xlfn.MINIFS(tblComprasPM[Fecha],tblComprasPM[Codigo],tblMaestroEquipos[[#This Row],[Codigo]])),"")</f>
        <v>46085.626711226898</v>
      </c>
      <c r="AA36" s="25">
        <f>IFERROR(IF(_xlfn.MAXIFS(tblBodega[Fecha],tblBodega[Codigo],tblMaestroEquipos[[#This Row],[Codigo]])=0,"",_xlfn.MAXIFS(tblBodega[Fecha],tblBodega[Codigo],tblMaestroEquipos[[#This Row],[Codigo]])),"")</f>
        <v>46113</v>
      </c>
      <c r="AB3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28</v>
      </c>
      <c r="AC3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3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36" s="51" t="str">
        <f t="shared" si="2"/>
        <v>OPERATIVO</v>
      </c>
      <c r="AF36" s="18" t="str">
        <f t="shared" si="3"/>
        <v>BAJA</v>
      </c>
      <c r="AG36" s="18" t="str">
        <f t="shared" si="4"/>
        <v>Monitorear próximo vencimiento</v>
      </c>
      <c r="AH36">
        <f t="shared" si="5"/>
        <v>0</v>
      </c>
      <c r="AI36" t="str">
        <f t="shared" si="6"/>
        <v/>
      </c>
      <c r="AJ36" s="24">
        <f t="shared" si="7"/>
        <v>99</v>
      </c>
    </row>
    <row r="37" spans="1:36">
      <c r="A37" s="18" t="s">
        <v>25</v>
      </c>
      <c r="B37" s="18" t="s">
        <v>20</v>
      </c>
      <c r="C37" s="18" t="s">
        <v>1069</v>
      </c>
      <c r="D37" s="18" t="s">
        <v>21</v>
      </c>
      <c r="E37" s="19" t="s">
        <v>22</v>
      </c>
      <c r="F37" s="18">
        <v>2018</v>
      </c>
      <c r="G37" s="18" t="str" cm="1">
        <f t="array" ref="G37">IFERROR(INDEX(Lecturas!$E$4:$E$3549,MATCH(1,(Lecturas!$B$4:$B$3549=$A37)*(Lecturas!$E$4:$E$3549&lt;&gt;"")*(Lecturas!$A$4:$A$3549=_xlfn.MAXIFS(Lecturas!$A$4:$A$3549,Lecturas!$B$4:$B$3549,$A37,Lecturas!$E$4:$E$3549,"&lt;&gt;")),0)),"")</f>
        <v/>
      </c>
      <c r="H37" s="18" t="s">
        <v>27</v>
      </c>
      <c r="I37" s="18" t="s">
        <v>18</v>
      </c>
      <c r="J37" s="18">
        <v>250</v>
      </c>
      <c r="K37" s="18">
        <f>IFERROR(IF($I37="KM",ROUND((_xlfn.MAXIFS(tblLecturas[Kilometraje],tblLecturas[Codigo],$A37)-_xlfn.MINIFS(tblLecturas[Kilometraje],tblLecturas[Codigo],$A37))/(MAX(1,_xlfn.MAXIFS(tblLecturas[Fecha],tblLecturas[Codigo],$A37)-_xlfn.MINIFS(tblLecturas[Fecha],tblLecturas[Codigo],$A37))),1),ROUND((_xlfn.MAXIFS(tblLecturas[Horometro],tblLecturas[Codigo],$A37)-_xlfn.MINIFS(tblLecturas[Horometro],tblLecturas[Codigo],$A37))/(MAX(1,_xlfn.MAXIFS(tblLecturas[Fecha],tblLecturas[Codigo],$A37)-_xlfn.MINIFS(tblLecturas[Fecha],tblLecturas[Codigo],$A37))),1)),"")</f>
        <v>0</v>
      </c>
      <c r="L37" s="20">
        <f>IFERROR(_xlfn.MAXIFS(tblLecturas[Fecha],tblLecturas[Codigo],$A37),"")</f>
        <v>45056</v>
      </c>
      <c r="M37" s="26">
        <f>IFERROR(_xlfn.MAXIFS(Lecturas!$C:$C,Lecturas!$B:$B,$A37,Lecturas!$C:$C,"&gt;0"),"")</f>
        <v>5327</v>
      </c>
      <c r="N37" s="78">
        <f>IFERROR(_xlfn.MAXIFS(tblLecturas[Kilometraje],tblLecturas[Codigo],$A37,tblLecturas[Kilometraje],"&gt;0"),"")</f>
        <v>126893</v>
      </c>
      <c r="O37" s="78" cm="1">
        <f t="array" ref="O37">IFERROR(IF($I37="KM",LOOKUP(2,1/(Lecturas!$B:$B=$A37)/(Lecturas!$D:$D&gt;0),Lecturas!$D:$D),LOOKUP(2,1/(Lecturas!$B:$B=$A37)/(Lecturas!$C:$C&gt;0),Lecturas!$C:$C)),"")</f>
        <v>5327</v>
      </c>
      <c r="P37" s="20">
        <f>IFERROR(_xlfn.MAXIFS(tblMantenciones[Fecha],tblMantenciones[Codigo],tblMaestroEquipos[[#This Row],[Codigo]],tblMantenciones[EsPM],"Sí"),"")</f>
        <v>0</v>
      </c>
      <c r="Q37" s="78" t="str">
        <f>IF(_xlfn.MAXIFS(Mantenciones!$D:$D,Mantenciones!$B:$B,A37)=0,"Sin datos de mantención registrado",_xlfn.MAXIFS(Mantenciones!$D:$D,Mantenciones!$B:$B,A37))</f>
        <v>Sin datos de mantención registrado</v>
      </c>
      <c r="R37" s="18" t="str">
        <f>IFERROR(IF(_xlfn.MAXIFS(Mantenciones!$D:$D,Mantenciones!$B:$B,$A37,Mantenciones!$E:$E,"Sí",Mantenciones!$D:$D,"&gt;0")=0,"Sin datos de mantención registrado",_xlfn.MAXIFS(Mantenciones!$D:$D,Mantenciones!$B:$B,$A37,Mantenciones!$E:$E,"Sí",Mantenciones!$D:$D,"&gt;0")),"Sin datos de mantención registrado")</f>
        <v>Sin datos de mantención registrado</v>
      </c>
      <c r="S37" s="21">
        <f>IFERROR(SUMIFS(tblMantenciones[Costo Mantencion CLP],tblMantenciones[Codigo],A37),0)</f>
        <v>0</v>
      </c>
      <c r="T37" s="21">
        <f>IFERROR(SUMIFS(tblComprasPM[Costo PM CLP],tblComprasPM[Codigo],tblMaestroEquipos[[#This Row],[Codigo]]),0)</f>
        <v>63430.805899999999</v>
      </c>
      <c r="U37" s="21">
        <f>IFERROR(tblMaestroEquipos[[#This Row],[Costo Mantenciones CLP]]+tblMaestroEquipos[[#This Row],[Costo Compras PM CLP]],0)</f>
        <v>63430.805899999999</v>
      </c>
      <c r="V37" s="18" t="str">
        <f>IFERROR(_xlfn.XLOOKUP(tblMaestroEquipos[[#This Row],[Codigo]],tblEquipos[Codigo],tblEquipos[Estado Base]),"")</f>
        <v>Fuera de Servicio</v>
      </c>
      <c r="W37" s="18" t="str">
        <f t="shared" si="0"/>
        <v>FUERA DE SERVICIO</v>
      </c>
      <c r="X37" s="18" t="str">
        <f t="shared" si="1"/>
        <v/>
      </c>
      <c r="Y3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37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37" s="25" t="str">
        <f>IFERROR(IF(_xlfn.MAXIFS(tblBodega[Fecha],tblBodega[Codigo],tblMaestroEquipos[[#This Row],[Codigo]])=0,"",_xlfn.MAXIFS(tblBodega[Fecha],tblBodega[Codigo],tblMaestroEquipos[[#This Row],[Codigo]])),"")</f>
        <v/>
      </c>
      <c r="AB3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76</v>
      </c>
      <c r="AC3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3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37" s="51" t="str">
        <f t="shared" si="2"/>
        <v>FUERA DE SERVICIO</v>
      </c>
      <c r="AF37" s="18" t="str">
        <f t="shared" si="3"/>
        <v>NO APLICA</v>
      </c>
      <c r="AG37" s="18" t="str">
        <f t="shared" si="4"/>
        <v>No programar compra</v>
      </c>
      <c r="AH37" s="27">
        <f t="shared" si="5"/>
        <v>0</v>
      </c>
      <c r="AI37" s="27" t="str">
        <f t="shared" si="6"/>
        <v/>
      </c>
      <c r="AJ37" s="24">
        <f t="shared" si="7"/>
        <v>99</v>
      </c>
    </row>
    <row r="38" spans="1:36">
      <c r="A38" s="18" t="s">
        <v>54</v>
      </c>
      <c r="B38" s="18" t="s">
        <v>45</v>
      </c>
      <c r="C38" s="18" t="s">
        <v>1069</v>
      </c>
      <c r="D38" s="18" t="s">
        <v>55</v>
      </c>
      <c r="E38" s="19" t="s">
        <v>56</v>
      </c>
      <c r="F38" s="18">
        <v>2007</v>
      </c>
      <c r="G38" s="18" t="str" cm="1">
        <f t="array" ref="G38">IFERROR(INDEX(Lecturas!$E$4:$E$3549,MATCH(1,(Lecturas!$B$4:$B$3549=$A38)*(Lecturas!$E$4:$E$3549&lt;&gt;"")*(Lecturas!$A$4:$A$3549=_xlfn.MAXIFS(Lecturas!$A$4:$A$3549,Lecturas!$B$4:$B$3549,$A38,Lecturas!$E$4:$E$3549,"&lt;&gt;")),0)),"")</f>
        <v/>
      </c>
      <c r="H38" s="18" t="s">
        <v>57</v>
      </c>
      <c r="I38" s="18" t="s">
        <v>18</v>
      </c>
      <c r="J38" s="18">
        <v>250</v>
      </c>
      <c r="K38" s="18">
        <f>IFERROR(IF($I38="KM",ROUND((_xlfn.MAXIFS(tblLecturas[Kilometraje],tblLecturas[Codigo],$A38)-_xlfn.MINIFS(tblLecturas[Kilometraje],tblLecturas[Codigo],$A38))/(MAX(1,_xlfn.MAXIFS(tblLecturas[Fecha],tblLecturas[Codigo],$A38)-_xlfn.MINIFS(tblLecturas[Fecha],tblLecturas[Codigo],$A38))),1),ROUND((_xlfn.MAXIFS(tblLecturas[Horometro],tblLecturas[Codigo],$A38)-_xlfn.MINIFS(tblLecturas[Horometro],tblLecturas[Codigo],$A38))/(MAX(1,_xlfn.MAXIFS(tblLecturas[Fecha],tblLecturas[Codigo],$A38)-_xlfn.MINIFS(tblLecturas[Fecha],tblLecturas[Codigo],$A38))),1)),"")</f>
        <v>0</v>
      </c>
      <c r="L38" s="20">
        <f>IFERROR(_xlfn.MAXIFS(tblLecturas[Fecha],tblLecturas[Codigo],$A38),"")</f>
        <v>0</v>
      </c>
      <c r="M38" s="26">
        <f>IFERROR(_xlfn.MAXIFS(Lecturas!$C:$C,Lecturas!$B:$B,$A38,Lecturas!$C:$C,"&gt;0"),"")</f>
        <v>0</v>
      </c>
      <c r="N38" s="78">
        <f>IFERROR(_xlfn.MAXIFS(tblLecturas[Kilometraje],tblLecturas[Codigo],$A38,tblLecturas[Kilometraje],"&gt;0"),"")</f>
        <v>0</v>
      </c>
      <c r="O38" s="78" t="str" cm="1">
        <f t="array" ref="O38">IFERROR(IF($I38="KM",LOOKUP(2,1/(Lecturas!$B:$B=$A38)/(Lecturas!$D:$D&gt;0),Lecturas!$D:$D),LOOKUP(2,1/(Lecturas!$B:$B=$A38)/(Lecturas!$C:$C&gt;0),Lecturas!$C:$C)),"")</f>
        <v/>
      </c>
      <c r="P38" s="20">
        <f>IFERROR(_xlfn.MAXIFS(tblMantenciones[Fecha],tblMantenciones[Codigo],tblMaestroEquipos[[#This Row],[Codigo]],tblMantenciones[EsPM],"Sí"),"")</f>
        <v>0</v>
      </c>
      <c r="Q38" s="78" t="str">
        <f>IF(_xlfn.MAXIFS(Mantenciones!$D:$D,Mantenciones!$B:$B,A38)=0,"Sin datos de mantención registrado",_xlfn.MAXIFS(Mantenciones!$D:$D,Mantenciones!$B:$B,A38))</f>
        <v>Sin datos de mantención registrado</v>
      </c>
      <c r="R38" s="18" t="str">
        <f>IFERROR(IF(_xlfn.MAXIFS(Mantenciones!$D:$D,Mantenciones!$B:$B,$A38,Mantenciones!$E:$E,"Sí",Mantenciones!$D:$D,"&gt;0")=0,"Sin datos de mantención registrado",_xlfn.MAXIFS(Mantenciones!$D:$D,Mantenciones!$B:$B,$A38,Mantenciones!$E:$E,"Sí",Mantenciones!$D:$D,"&gt;0")),"Sin datos de mantención registrado")</f>
        <v>Sin datos de mantención registrado</v>
      </c>
      <c r="S38" s="21">
        <f>IFERROR(SUMIFS(tblMantenciones[Costo Mantencion CLP],tblMantenciones[Codigo],A38),0)</f>
        <v>0</v>
      </c>
      <c r="T38" s="21">
        <f>IFERROR(SUMIFS(tblComprasPM[Costo PM CLP],tblComprasPM[Codigo],tblMaestroEquipos[[#This Row],[Codigo]]),0)</f>
        <v>0</v>
      </c>
      <c r="U38" s="21">
        <f>IFERROR(tblMaestroEquipos[[#This Row],[Costo Mantenciones CLP]]+tblMaestroEquipos[[#This Row],[Costo Compras PM CLP]],0)</f>
        <v>0</v>
      </c>
      <c r="V38" s="18" t="str">
        <f>IFERROR(_xlfn.XLOOKUP(tblMaestroEquipos[[#This Row],[Codigo]],tblEquipos[Codigo],tblEquipos[Estado Base]),"")</f>
        <v>Fuera de Servicio</v>
      </c>
      <c r="W38" s="18" t="str">
        <f t="shared" si="0"/>
        <v>FUERA DE SERVICIO</v>
      </c>
      <c r="X38" s="18" t="str">
        <f t="shared" si="1"/>
        <v/>
      </c>
      <c r="Y3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38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38" s="25" t="str">
        <f>IFERROR(IF(_xlfn.MAXIFS(tblBodega[Fecha],tblBodega[Codigo],tblMaestroEquipos[[#This Row],[Codigo]])=0,"",_xlfn.MAXIFS(tblBodega[Fecha],tblBodega[Codigo],tblMaestroEquipos[[#This Row],[Codigo]])),"")</f>
        <v/>
      </c>
      <c r="AB38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3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3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38" s="51" t="str">
        <f t="shared" si="2"/>
        <v>FUERA DE SERVICIO</v>
      </c>
      <c r="AF38" s="18" t="str">
        <f t="shared" si="3"/>
        <v>NO APLICA</v>
      </c>
      <c r="AG38" s="18" t="str">
        <f t="shared" si="4"/>
        <v>No programar compra</v>
      </c>
      <c r="AH38" s="27">
        <f t="shared" si="5"/>
        <v>0</v>
      </c>
      <c r="AI38" s="27" t="str">
        <f t="shared" si="6"/>
        <v/>
      </c>
      <c r="AJ38" s="24">
        <f t="shared" si="7"/>
        <v>99</v>
      </c>
    </row>
    <row r="39" spans="1:36">
      <c r="A39" s="18" t="s">
        <v>58</v>
      </c>
      <c r="B39" s="18" t="s">
        <v>59</v>
      </c>
      <c r="C39" s="18" t="s">
        <v>1069</v>
      </c>
      <c r="D39" s="18" t="s">
        <v>60</v>
      </c>
      <c r="E39" s="19" t="s">
        <v>60</v>
      </c>
      <c r="F39" s="18" t="s">
        <v>60</v>
      </c>
      <c r="G39" s="18" t="str" cm="1">
        <f t="array" ref="G39">IFERROR(INDEX(Lecturas!$E$4:$E$3549,MATCH(1,(Lecturas!$B$4:$B$3549=$A39)*(Lecturas!$E$4:$E$3549&lt;&gt;"")*(Lecturas!$A$4:$A$3549=_xlfn.MAXIFS(Lecturas!$A$4:$A$3549,Lecturas!$B$4:$B$3549,$A39,Lecturas!$E$4:$E$3549,"&lt;&gt;")),0)),"")</f>
        <v/>
      </c>
      <c r="H39" s="18" t="s">
        <v>57</v>
      </c>
      <c r="I39" s="18" t="s">
        <v>18</v>
      </c>
      <c r="J39" s="18">
        <v>250</v>
      </c>
      <c r="K39" s="18">
        <f>IFERROR(IF($I39="KM",ROUND((_xlfn.MAXIFS(tblLecturas[Kilometraje],tblLecturas[Codigo],$A39)-_xlfn.MINIFS(tblLecturas[Kilometraje],tblLecturas[Codigo],$A39))/(MAX(1,_xlfn.MAXIFS(tblLecturas[Fecha],tblLecturas[Codigo],$A39)-_xlfn.MINIFS(tblLecturas[Fecha],tblLecturas[Codigo],$A39))),1),ROUND((_xlfn.MAXIFS(tblLecturas[Horometro],tblLecturas[Codigo],$A39)-_xlfn.MINIFS(tblLecturas[Horometro],tblLecturas[Codigo],$A39))/(MAX(1,_xlfn.MAXIFS(tblLecturas[Fecha],tblLecturas[Codigo],$A39)-_xlfn.MINIFS(tblLecturas[Fecha],tblLecturas[Codigo],$A39))),1)),"")</f>
        <v>0</v>
      </c>
      <c r="L39" s="20">
        <f>IFERROR(_xlfn.MAXIFS(tblLecturas[Fecha],tblLecturas[Codigo],$A39),"")</f>
        <v>0</v>
      </c>
      <c r="M39" s="26">
        <f>IFERROR(_xlfn.MAXIFS(Lecturas!$C:$C,Lecturas!$B:$B,$A39,Lecturas!$C:$C,"&gt;0"),"")</f>
        <v>0</v>
      </c>
      <c r="N39" s="78">
        <f>IFERROR(_xlfn.MAXIFS(tblLecturas[Kilometraje],tblLecturas[Codigo],$A39,tblLecturas[Kilometraje],"&gt;0"),"")</f>
        <v>0</v>
      </c>
      <c r="O39" s="78" t="str" cm="1">
        <f t="array" ref="O39">IFERROR(IF($I39="KM",LOOKUP(2,1/(Lecturas!$B:$B=$A39)/(Lecturas!$D:$D&gt;0),Lecturas!$D:$D),LOOKUP(2,1/(Lecturas!$B:$B=$A39)/(Lecturas!$C:$C&gt;0),Lecturas!$C:$C)),"")</f>
        <v/>
      </c>
      <c r="P39" s="20">
        <f>IFERROR(_xlfn.MAXIFS(tblMantenciones[Fecha],tblMantenciones[Codigo],tblMaestroEquipos[[#This Row],[Codigo]],tblMantenciones[EsPM],"Sí"),"")</f>
        <v>0</v>
      </c>
      <c r="Q39" s="78" t="str">
        <f>IF(_xlfn.MAXIFS(Mantenciones!$D:$D,Mantenciones!$B:$B,A39)=0,"Sin datos de mantención registrado",_xlfn.MAXIFS(Mantenciones!$D:$D,Mantenciones!$B:$B,A39))</f>
        <v>Sin datos de mantención registrado</v>
      </c>
      <c r="R39" s="18" t="str">
        <f>IFERROR(IF(_xlfn.MAXIFS(Mantenciones!$D:$D,Mantenciones!$B:$B,$A39,Mantenciones!$E:$E,"Sí",Mantenciones!$D:$D,"&gt;0")=0,"Sin datos de mantención registrado",_xlfn.MAXIFS(Mantenciones!$D:$D,Mantenciones!$B:$B,$A39,Mantenciones!$E:$E,"Sí",Mantenciones!$D:$D,"&gt;0")),"Sin datos de mantención registrado")</f>
        <v>Sin datos de mantención registrado</v>
      </c>
      <c r="S39" s="21">
        <f>IFERROR(SUMIFS(tblMantenciones[Costo Mantencion CLP],tblMantenciones[Codigo],A39),0)</f>
        <v>0</v>
      </c>
      <c r="T39" s="21">
        <f>IFERROR(SUMIFS(tblComprasPM[Costo PM CLP],tblComprasPM[Codigo],tblMaestroEquipos[[#This Row],[Codigo]]),0)</f>
        <v>0</v>
      </c>
      <c r="U39" s="21">
        <f>IFERROR(tblMaestroEquipos[[#This Row],[Costo Mantenciones CLP]]+tblMaestroEquipos[[#This Row],[Costo Compras PM CLP]],0)</f>
        <v>0</v>
      </c>
      <c r="V39" s="18" t="str">
        <f>IFERROR(_xlfn.XLOOKUP(tblMaestroEquipos[[#This Row],[Codigo]],tblEquipos[Codigo],tblEquipos[Estado Base]),"")</f>
        <v>Fuera de Servicio</v>
      </c>
      <c r="W39" s="18" t="str">
        <f t="shared" si="0"/>
        <v>FUERA DE SERVICIO</v>
      </c>
      <c r="X39" s="18" t="str">
        <f t="shared" si="1"/>
        <v/>
      </c>
      <c r="Y3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3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39" s="25" t="str">
        <f>IFERROR(IF(_xlfn.MAXIFS(tblBodega[Fecha],tblBodega[Codigo],tblMaestroEquipos[[#This Row],[Codigo]])=0,"",_xlfn.MAXIFS(tblBodega[Fecha],tblBodega[Codigo],tblMaestroEquipos[[#This Row],[Codigo]])),"")</f>
        <v/>
      </c>
      <c r="AB3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3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3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39" s="51" t="str">
        <f t="shared" si="2"/>
        <v>FUERA DE SERVICIO</v>
      </c>
      <c r="AF39" s="18" t="str">
        <f t="shared" si="3"/>
        <v>NO APLICA</v>
      </c>
      <c r="AG39" s="18" t="str">
        <f t="shared" si="4"/>
        <v>No programar compra</v>
      </c>
      <c r="AH39" s="27">
        <f t="shared" si="5"/>
        <v>0</v>
      </c>
      <c r="AI39" s="27" t="str">
        <f t="shared" si="6"/>
        <v/>
      </c>
      <c r="AJ39" s="24">
        <f t="shared" si="7"/>
        <v>99</v>
      </c>
    </row>
    <row r="40" spans="1:36">
      <c r="A40" s="18" t="s">
        <v>103</v>
      </c>
      <c r="B40" s="18" t="s">
        <v>98</v>
      </c>
      <c r="C40" s="18" t="s">
        <v>1069</v>
      </c>
      <c r="D40" s="18" t="s">
        <v>99</v>
      </c>
      <c r="E40" s="19" t="s">
        <v>100</v>
      </c>
      <c r="F40" s="18">
        <v>2023</v>
      </c>
      <c r="G40" s="18" t="str" cm="1">
        <f t="array" ref="G40">IFERROR(INDEX(Lecturas!$E$4:$E$3549,MATCH(1,(Lecturas!$B$4:$B$3549=$A40)*(Lecturas!$E$4:$E$3549&lt;&gt;"")*(Lecturas!$A$4:$A$3549=_xlfn.MAXIFS(Lecturas!$A$4:$A$3549,Lecturas!$B$4:$B$3549,$A40,Lecturas!$E$4:$E$3549,"&lt;&gt;")),0)),"")</f>
        <v/>
      </c>
      <c r="H40" s="18" t="s">
        <v>105</v>
      </c>
      <c r="I40" s="18" t="s">
        <v>18</v>
      </c>
      <c r="J40" s="18">
        <v>250</v>
      </c>
      <c r="K40" s="18">
        <f>IFERROR(IF($I40="KM",ROUND((_xlfn.MAXIFS(tblLecturas[Kilometraje],tblLecturas[Codigo],$A40)-_xlfn.MINIFS(tblLecturas[Kilometraje],tblLecturas[Codigo],$A40))/(MAX(1,_xlfn.MAXIFS(tblLecturas[Fecha],tblLecturas[Codigo],$A40)-_xlfn.MINIFS(tblLecturas[Fecha],tblLecturas[Codigo],$A40))),1),ROUND((_xlfn.MAXIFS(tblLecturas[Horometro],tblLecturas[Codigo],$A40)-_xlfn.MINIFS(tblLecturas[Horometro],tblLecturas[Codigo],$A40))/(MAX(1,_xlfn.MAXIFS(tblLecturas[Fecha],tblLecturas[Codigo],$A40)-_xlfn.MINIFS(tblLecturas[Fecha],tblLecturas[Codigo],$A40))),1)),"")</f>
        <v>0</v>
      </c>
      <c r="L40" s="20">
        <f>IFERROR(_xlfn.MAXIFS(tblLecturas[Fecha],tblLecturas[Codigo],$A40),"")</f>
        <v>0</v>
      </c>
      <c r="M40" s="26">
        <f>IFERROR(_xlfn.MAXIFS(Lecturas!$C:$C,Lecturas!$B:$B,$A40,Lecturas!$C:$C,"&gt;0"),"")</f>
        <v>0</v>
      </c>
      <c r="N40" s="78">
        <f>IFERROR(_xlfn.MAXIFS(tblLecturas[Kilometraje],tblLecturas[Codigo],$A40,tblLecturas[Kilometraje],"&gt;0"),"")</f>
        <v>0</v>
      </c>
      <c r="O40" s="78" t="str" cm="1">
        <f t="array" ref="O40">IFERROR(IF($I40="KM",LOOKUP(2,1/(Lecturas!$B:$B=$A40)/(Lecturas!$D:$D&gt;0),Lecturas!$D:$D),LOOKUP(2,1/(Lecturas!$B:$B=$A40)/(Lecturas!$C:$C&gt;0),Lecturas!$C:$C)),"")</f>
        <v/>
      </c>
      <c r="P40" s="20">
        <f>IFERROR(_xlfn.MAXIFS(tblMantenciones[Fecha],tblMantenciones[Codigo],tblMaestroEquipos[[#This Row],[Codigo]],tblMantenciones[EsPM],"Sí"),"")</f>
        <v>0</v>
      </c>
      <c r="Q40" s="78" t="str">
        <f>IF(_xlfn.MAXIFS(Mantenciones!$D:$D,Mantenciones!$B:$B,A40)=0,"Sin datos de mantención registrado",_xlfn.MAXIFS(Mantenciones!$D:$D,Mantenciones!$B:$B,A40))</f>
        <v>Sin datos de mantención registrado</v>
      </c>
      <c r="R40" s="18" t="str">
        <f>IFERROR(IF(_xlfn.MAXIFS(Mantenciones!$D:$D,Mantenciones!$B:$B,$A40,Mantenciones!$E:$E,"Sí",Mantenciones!$D:$D,"&gt;0")=0,"Sin datos de mantención registrado",_xlfn.MAXIFS(Mantenciones!$D:$D,Mantenciones!$B:$B,$A40,Mantenciones!$E:$E,"Sí",Mantenciones!$D:$D,"&gt;0")),"Sin datos de mantención registrado")</f>
        <v>Sin datos de mantención registrado</v>
      </c>
      <c r="S40" s="21">
        <f>IFERROR(SUMIFS(tblMantenciones[Costo Mantencion CLP],tblMantenciones[Codigo],A40),0)</f>
        <v>0</v>
      </c>
      <c r="T40" s="21">
        <f>IFERROR(SUMIFS(tblComprasPM[Costo PM CLP],tblComprasPM[Codigo],tblMaestroEquipos[[#This Row],[Codigo]]),0)</f>
        <v>0</v>
      </c>
      <c r="U40" s="21">
        <f>IFERROR(tblMaestroEquipos[[#This Row],[Costo Mantenciones CLP]]+tblMaestroEquipos[[#This Row],[Costo Compras PM CLP]],0)</f>
        <v>0</v>
      </c>
      <c r="V40" s="18" t="str">
        <f>IFERROR(_xlfn.XLOOKUP(tblMaestroEquipos[[#This Row],[Codigo]],tblEquipos[Codigo],tblEquipos[Estado Base]),"")</f>
        <v>Operativo</v>
      </c>
      <c r="W40" s="18" t="str">
        <f t="shared" si="0"/>
        <v>AL DÍA</v>
      </c>
      <c r="X40" s="18" t="str">
        <f t="shared" si="1"/>
        <v/>
      </c>
      <c r="Y4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4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40" s="25" t="str">
        <f>IFERROR(IF(_xlfn.MAXIFS(tblBodega[Fecha],tblBodega[Codigo],tblMaestroEquipos[[#This Row],[Codigo]])=0,"",_xlfn.MAXIFS(tblBodega[Fecha],tblBodega[Codigo],tblMaestroEquipos[[#This Row],[Codigo]])),"")</f>
        <v/>
      </c>
      <c r="AB4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4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4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40" s="51" t="str">
        <f t="shared" si="2"/>
        <v>OPERATIVO</v>
      </c>
      <c r="AF40" s="18" t="str">
        <f t="shared" si="3"/>
        <v>BAJA</v>
      </c>
      <c r="AG40" s="18" t="str">
        <f t="shared" si="4"/>
        <v>Monitorear próximo vencimiento</v>
      </c>
      <c r="AH40">
        <f t="shared" si="5"/>
        <v>0</v>
      </c>
      <c r="AI40" t="str">
        <f t="shared" si="6"/>
        <v/>
      </c>
      <c r="AJ40" s="24">
        <f t="shared" si="7"/>
        <v>99</v>
      </c>
    </row>
    <row r="41" spans="1:36">
      <c r="A41" s="18" t="s">
        <v>115</v>
      </c>
      <c r="B41" s="18" t="s">
        <v>116</v>
      </c>
      <c r="C41" s="18" t="s">
        <v>1069</v>
      </c>
      <c r="D41" s="18" t="s">
        <v>111</v>
      </c>
      <c r="E41" s="19" t="s">
        <v>112</v>
      </c>
      <c r="F41" s="18">
        <v>2012</v>
      </c>
      <c r="G41" s="18" t="str" cm="1">
        <f t="array" ref="G41">IFERROR(INDEX(Lecturas!$E$4:$E$3549,MATCH(1,(Lecturas!$B$4:$B$3549=$A41)*(Lecturas!$E$4:$E$3549&lt;&gt;"")*(Lecturas!$A$4:$A$3549=_xlfn.MAXIFS(Lecturas!$A$4:$A$3549,Lecturas!$B$4:$B$3549,$A41,Lecturas!$E$4:$E$3549,"&lt;&gt;")),0)),"")</f>
        <v/>
      </c>
      <c r="H41" s="18" t="s">
        <v>57</v>
      </c>
      <c r="I41" s="18" t="s">
        <v>18</v>
      </c>
      <c r="J41" s="18">
        <v>250</v>
      </c>
      <c r="K41" s="18">
        <f>IFERROR(IF($I41="KM",ROUND((_xlfn.MAXIFS(tblLecturas[Kilometraje],tblLecturas[Codigo],$A41)-_xlfn.MINIFS(tblLecturas[Kilometraje],tblLecturas[Codigo],$A41))/(MAX(1,_xlfn.MAXIFS(tblLecturas[Fecha],tblLecturas[Codigo],$A41)-_xlfn.MINIFS(tblLecturas[Fecha],tblLecturas[Codigo],$A41))),1),ROUND((_xlfn.MAXIFS(tblLecturas[Horometro],tblLecturas[Codigo],$A41)-_xlfn.MINIFS(tblLecturas[Horometro],tblLecturas[Codigo],$A41))/(MAX(1,_xlfn.MAXIFS(tblLecturas[Fecha],tblLecturas[Codigo],$A41)-_xlfn.MINIFS(tblLecturas[Fecha],tblLecturas[Codigo],$A41))),1)),"")</f>
        <v>0</v>
      </c>
      <c r="L41" s="20">
        <f>IFERROR(_xlfn.MAXIFS(tblLecturas[Fecha],tblLecturas[Codigo],$A41),"")</f>
        <v>0</v>
      </c>
      <c r="M41" s="26">
        <f>IFERROR(_xlfn.MAXIFS(Lecturas!$C:$C,Lecturas!$B:$B,$A41,Lecturas!$C:$C,"&gt;0"),"")</f>
        <v>0</v>
      </c>
      <c r="N41" s="78">
        <f>IFERROR(_xlfn.MAXIFS(tblLecturas[Kilometraje],tblLecturas[Codigo],$A41,tblLecturas[Kilometraje],"&gt;0"),"")</f>
        <v>0</v>
      </c>
      <c r="O41" s="78" t="str" cm="1">
        <f t="array" ref="O41">IFERROR(IF($I41="KM",LOOKUP(2,1/(Lecturas!$B:$B=$A41)/(Lecturas!$D:$D&gt;0),Lecturas!$D:$D),LOOKUP(2,1/(Lecturas!$B:$B=$A41)/(Lecturas!$C:$C&gt;0),Lecturas!$C:$C)),"")</f>
        <v/>
      </c>
      <c r="P41" s="20">
        <f>IFERROR(_xlfn.MAXIFS(tblMantenciones[Fecha],tblMantenciones[Codigo],tblMaestroEquipos[[#This Row],[Codigo]],tblMantenciones[EsPM],"Sí"),"")</f>
        <v>0</v>
      </c>
      <c r="Q41" s="78" t="str">
        <f>IF(_xlfn.MAXIFS(Mantenciones!$D:$D,Mantenciones!$B:$B,A41)=0,"Sin datos de mantención registrado",_xlfn.MAXIFS(Mantenciones!$D:$D,Mantenciones!$B:$B,A41))</f>
        <v>Sin datos de mantención registrado</v>
      </c>
      <c r="R41" s="18" t="str">
        <f>IFERROR(IF(_xlfn.MAXIFS(Mantenciones!$D:$D,Mantenciones!$B:$B,$A41,Mantenciones!$E:$E,"Sí",Mantenciones!$D:$D,"&gt;0")=0,"Sin datos de mantención registrado",_xlfn.MAXIFS(Mantenciones!$D:$D,Mantenciones!$B:$B,$A41,Mantenciones!$E:$E,"Sí",Mantenciones!$D:$D,"&gt;0")),"Sin datos de mantención registrado")</f>
        <v>Sin datos de mantención registrado</v>
      </c>
      <c r="S41" s="21">
        <f>IFERROR(SUMIFS(tblMantenciones[Costo Mantencion CLP],tblMantenciones[Codigo],A41),0)</f>
        <v>0</v>
      </c>
      <c r="T41" s="21">
        <f>IFERROR(SUMIFS(tblComprasPM[Costo PM CLP],tblComprasPM[Codigo],tblMaestroEquipos[[#This Row],[Codigo]]),0)</f>
        <v>0</v>
      </c>
      <c r="U41" s="21">
        <f>IFERROR(tblMaestroEquipos[[#This Row],[Costo Mantenciones CLP]]+tblMaestroEquipos[[#This Row],[Costo Compras PM CLP]],0)</f>
        <v>0</v>
      </c>
      <c r="V41" s="18" t="str">
        <f>IFERROR(_xlfn.XLOOKUP(tblMaestroEquipos[[#This Row],[Codigo]],tblEquipos[Codigo],tblEquipos[Estado Base]),"")</f>
        <v>Fuera de Servicio</v>
      </c>
      <c r="W41" s="18" t="str">
        <f t="shared" si="0"/>
        <v>FUERA DE SERVICIO</v>
      </c>
      <c r="X41" s="18" t="str">
        <f t="shared" si="1"/>
        <v/>
      </c>
      <c r="Y4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41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41" s="25" t="str">
        <f>IFERROR(IF(_xlfn.MAXIFS(tblBodega[Fecha],tblBodega[Codigo],tblMaestroEquipos[[#This Row],[Codigo]])=0,"",_xlfn.MAXIFS(tblBodega[Fecha],tblBodega[Codigo],tblMaestroEquipos[[#This Row],[Codigo]])),"")</f>
        <v/>
      </c>
      <c r="AB41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4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4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41" s="51" t="str">
        <f t="shared" si="2"/>
        <v>FUERA DE SERVICIO</v>
      </c>
      <c r="AF41" s="18" t="str">
        <f t="shared" si="3"/>
        <v>NO APLICA</v>
      </c>
      <c r="AG41" s="18" t="str">
        <f t="shared" si="4"/>
        <v>No programar compra</v>
      </c>
      <c r="AH41" s="27">
        <f t="shared" si="5"/>
        <v>0</v>
      </c>
      <c r="AI41" s="27" t="str">
        <f t="shared" si="6"/>
        <v/>
      </c>
      <c r="AJ41" s="24">
        <f t="shared" si="7"/>
        <v>99</v>
      </c>
    </row>
    <row r="42" spans="1:36">
      <c r="A42" s="18" t="s">
        <v>123</v>
      </c>
      <c r="B42" s="18" t="s">
        <v>45</v>
      </c>
      <c r="C42" s="18" t="s">
        <v>1069</v>
      </c>
      <c r="D42" s="18" t="s">
        <v>42</v>
      </c>
      <c r="E42" s="19">
        <v>7400</v>
      </c>
      <c r="F42" s="18">
        <v>2010</v>
      </c>
      <c r="G42" s="18" t="str" cm="1">
        <f t="array" ref="G42">IFERROR(INDEX(Lecturas!$E$4:$E$3549,MATCH(1,(Lecturas!$B$4:$B$3549=$A42)*(Lecturas!$E$4:$E$3549&lt;&gt;"")*(Lecturas!$A$4:$A$3549=_xlfn.MAXIFS(Lecturas!$A$4:$A$3549,Lecturas!$B$4:$B$3549,$A42,Lecturas!$E$4:$E$3549,"&lt;&gt;")),0)),"")</f>
        <v/>
      </c>
      <c r="H42" s="18" t="s">
        <v>57</v>
      </c>
      <c r="I42" s="18" t="s">
        <v>18</v>
      </c>
      <c r="J42" s="18">
        <v>250</v>
      </c>
      <c r="K42" s="18">
        <f>IFERROR(IF($I42="KM",ROUND((_xlfn.MAXIFS(tblLecturas[Kilometraje],tblLecturas[Codigo],$A42)-_xlfn.MINIFS(tblLecturas[Kilometraje],tblLecturas[Codigo],$A42))/(MAX(1,_xlfn.MAXIFS(tblLecturas[Fecha],tblLecturas[Codigo],$A42)-_xlfn.MINIFS(tblLecturas[Fecha],tblLecturas[Codigo],$A42))),1),ROUND((_xlfn.MAXIFS(tblLecturas[Horometro],tblLecturas[Codigo],$A42)-_xlfn.MINIFS(tblLecturas[Horometro],tblLecturas[Codigo],$A42))/(MAX(1,_xlfn.MAXIFS(tblLecturas[Fecha],tblLecturas[Codigo],$A42)-_xlfn.MINIFS(tblLecturas[Fecha],tblLecturas[Codigo],$A42))),1)),"")</f>
        <v>0</v>
      </c>
      <c r="L42" s="20">
        <f>IFERROR(_xlfn.MAXIFS(tblLecturas[Fecha],tblLecturas[Codigo],$A42),"")</f>
        <v>0</v>
      </c>
      <c r="M42" s="26">
        <f>IFERROR(_xlfn.MAXIFS(Lecturas!$C:$C,Lecturas!$B:$B,$A42,Lecturas!$C:$C,"&gt;0"),"")</f>
        <v>0</v>
      </c>
      <c r="N42" s="78">
        <f>IFERROR(_xlfn.MAXIFS(tblLecturas[Kilometraje],tblLecturas[Codigo],$A42,tblLecturas[Kilometraje],"&gt;0"),"")</f>
        <v>0</v>
      </c>
      <c r="O42" s="78" t="str" cm="1">
        <f t="array" ref="O42">IFERROR(IF($I42="KM",LOOKUP(2,1/(Lecturas!$B:$B=$A42)/(Lecturas!$D:$D&gt;0),Lecturas!$D:$D),LOOKUP(2,1/(Lecturas!$B:$B=$A42)/(Lecturas!$C:$C&gt;0),Lecturas!$C:$C)),"")</f>
        <v/>
      </c>
      <c r="P42" s="20">
        <f>IFERROR(_xlfn.MAXIFS(tblMantenciones[Fecha],tblMantenciones[Codigo],tblMaestroEquipos[[#This Row],[Codigo]],tblMantenciones[EsPM],"Sí"),"")</f>
        <v>0</v>
      </c>
      <c r="Q42" s="78" t="str">
        <f>IF(_xlfn.MAXIFS(Mantenciones!$D:$D,Mantenciones!$B:$B,A42)=0,"Sin datos de mantención registrado",_xlfn.MAXIFS(Mantenciones!$D:$D,Mantenciones!$B:$B,A42))</f>
        <v>Sin datos de mantención registrado</v>
      </c>
      <c r="R42" s="18" t="str">
        <f>IFERROR(IF(_xlfn.MAXIFS(Mantenciones!$D:$D,Mantenciones!$B:$B,$A42,Mantenciones!$E:$E,"Sí",Mantenciones!$D:$D,"&gt;0")=0,"Sin datos de mantención registrado",_xlfn.MAXIFS(Mantenciones!$D:$D,Mantenciones!$B:$B,$A42,Mantenciones!$E:$E,"Sí",Mantenciones!$D:$D,"&gt;0")),"Sin datos de mantención registrado")</f>
        <v>Sin datos de mantención registrado</v>
      </c>
      <c r="S42" s="21">
        <f>IFERROR(SUMIFS(tblMantenciones[Costo Mantencion CLP],tblMantenciones[Codigo],A42),0)</f>
        <v>0</v>
      </c>
      <c r="T42" s="21">
        <f>IFERROR(SUMIFS(tblComprasPM[Costo PM CLP],tblComprasPM[Codigo],tblMaestroEquipos[[#This Row],[Codigo]]),0)</f>
        <v>0</v>
      </c>
      <c r="U42" s="21">
        <f>IFERROR(tblMaestroEquipos[[#This Row],[Costo Mantenciones CLP]]+tblMaestroEquipos[[#This Row],[Costo Compras PM CLP]],0)</f>
        <v>0</v>
      </c>
      <c r="V42" s="18" t="str">
        <f>IFERROR(_xlfn.XLOOKUP(tblMaestroEquipos[[#This Row],[Codigo]],tblEquipos[Codigo],tblEquipos[Estado Base]),"")</f>
        <v>Fuera de Servicio</v>
      </c>
      <c r="W42" s="18" t="str">
        <f t="shared" si="0"/>
        <v>FUERA DE SERVICIO</v>
      </c>
      <c r="X42" s="18" t="str">
        <f t="shared" si="1"/>
        <v/>
      </c>
      <c r="Y4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4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42" s="25" t="str">
        <f>IFERROR(IF(_xlfn.MAXIFS(tblBodega[Fecha],tblBodega[Codigo],tblMaestroEquipos[[#This Row],[Codigo]])=0,"",_xlfn.MAXIFS(tblBodega[Fecha],tblBodega[Codigo],tblMaestroEquipos[[#This Row],[Codigo]])),"")</f>
        <v/>
      </c>
      <c r="AB4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4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4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42" s="51" t="str">
        <f t="shared" si="2"/>
        <v>FUERA DE SERVICIO</v>
      </c>
      <c r="AF42" s="18" t="str">
        <f t="shared" si="3"/>
        <v>NO APLICA</v>
      </c>
      <c r="AG42" s="18" t="str">
        <f t="shared" si="4"/>
        <v>No programar compra</v>
      </c>
      <c r="AH42" s="27">
        <f t="shared" si="5"/>
        <v>0</v>
      </c>
      <c r="AI42" s="27" t="str">
        <f t="shared" si="6"/>
        <v/>
      </c>
      <c r="AJ42" s="24">
        <f t="shared" si="7"/>
        <v>99</v>
      </c>
    </row>
    <row r="43" spans="1:36">
      <c r="A43" s="18" t="s">
        <v>125</v>
      </c>
      <c r="B43" s="18" t="s">
        <v>45</v>
      </c>
      <c r="C43" s="18" t="s">
        <v>1069</v>
      </c>
      <c r="D43" s="18" t="s">
        <v>111</v>
      </c>
      <c r="E43" s="19" t="s">
        <v>112</v>
      </c>
      <c r="F43" s="18">
        <v>2014</v>
      </c>
      <c r="G43" s="18" t="str" cm="1">
        <f t="array" ref="G43">IFERROR(INDEX(Lecturas!$E$4:$E$3549,MATCH(1,(Lecturas!$B$4:$B$3549=$A43)*(Lecturas!$E$4:$E$3549&lt;&gt;"")*(Lecturas!$A$4:$A$3549=_xlfn.MAXIFS(Lecturas!$A$4:$A$3549,Lecturas!$B$4:$B$3549,$A43,Lecturas!$E$4:$E$3549,"&lt;&gt;")),0)),"")</f>
        <v/>
      </c>
      <c r="H43" s="18" t="s">
        <v>57</v>
      </c>
      <c r="I43" s="18" t="s">
        <v>18</v>
      </c>
      <c r="J43" s="18">
        <v>250</v>
      </c>
      <c r="K43" s="18">
        <f>IFERROR(IF($I43="KM",ROUND((_xlfn.MAXIFS(tblLecturas[Kilometraje],tblLecturas[Codigo],$A43)-_xlfn.MINIFS(tblLecturas[Kilometraje],tblLecturas[Codigo],$A43))/(MAX(1,_xlfn.MAXIFS(tblLecturas[Fecha],tblLecturas[Codigo],$A43)-_xlfn.MINIFS(tblLecturas[Fecha],tblLecturas[Codigo],$A43))),1),ROUND((_xlfn.MAXIFS(tblLecturas[Horometro],tblLecturas[Codigo],$A43)-_xlfn.MINIFS(tblLecturas[Horometro],tblLecturas[Codigo],$A43))/(MAX(1,_xlfn.MAXIFS(tblLecturas[Fecha],tblLecturas[Codigo],$A43)-_xlfn.MINIFS(tblLecturas[Fecha],tblLecturas[Codigo],$A43))),1)),"")</f>
        <v>0</v>
      </c>
      <c r="L43" s="20">
        <f>IFERROR(_xlfn.MAXIFS(tblLecturas[Fecha],tblLecturas[Codigo],$A43),"")</f>
        <v>0</v>
      </c>
      <c r="M43" s="26">
        <f>IFERROR(_xlfn.MAXIFS(Lecturas!$C:$C,Lecturas!$B:$B,$A43,Lecturas!$C:$C,"&gt;0"),"")</f>
        <v>0</v>
      </c>
      <c r="N43" s="78">
        <f>IFERROR(_xlfn.MAXIFS(tblLecturas[Kilometraje],tblLecturas[Codigo],$A43,tblLecturas[Kilometraje],"&gt;0"),"")</f>
        <v>0</v>
      </c>
      <c r="O43" s="78" t="str" cm="1">
        <f t="array" ref="O43">IFERROR(IF($I43="KM",LOOKUP(2,1/(Lecturas!$B:$B=$A43)/(Lecturas!$D:$D&gt;0),Lecturas!$D:$D),LOOKUP(2,1/(Lecturas!$B:$B=$A43)/(Lecturas!$C:$C&gt;0),Lecturas!$C:$C)),"")</f>
        <v/>
      </c>
      <c r="P43" s="20">
        <f>IFERROR(_xlfn.MAXIFS(tblMantenciones[Fecha],tblMantenciones[Codigo],tblMaestroEquipos[[#This Row],[Codigo]],tblMantenciones[EsPM],"Sí"),"")</f>
        <v>0</v>
      </c>
      <c r="Q43" s="78" t="str">
        <f>IF(_xlfn.MAXIFS(Mantenciones!$D:$D,Mantenciones!$B:$B,A43)=0,"Sin datos de mantención registrado",_xlfn.MAXIFS(Mantenciones!$D:$D,Mantenciones!$B:$B,A43))</f>
        <v>Sin datos de mantención registrado</v>
      </c>
      <c r="R43" s="18" t="str">
        <f>IFERROR(IF(_xlfn.MAXIFS(Mantenciones!$D:$D,Mantenciones!$B:$B,$A43,Mantenciones!$E:$E,"Sí",Mantenciones!$D:$D,"&gt;0")=0,"Sin datos de mantención registrado",_xlfn.MAXIFS(Mantenciones!$D:$D,Mantenciones!$B:$B,$A43,Mantenciones!$E:$E,"Sí",Mantenciones!$D:$D,"&gt;0")),"Sin datos de mantención registrado")</f>
        <v>Sin datos de mantención registrado</v>
      </c>
      <c r="S43" s="21">
        <f>IFERROR(SUMIFS(tblMantenciones[Costo Mantencion CLP],tblMantenciones[Codigo],A43),0)</f>
        <v>0</v>
      </c>
      <c r="T43" s="21">
        <f>IFERROR(SUMIFS(tblComprasPM[Costo PM CLP],tblComprasPM[Codigo],tblMaestroEquipos[[#This Row],[Codigo]]),0)</f>
        <v>0</v>
      </c>
      <c r="U43" s="21">
        <f>IFERROR(tblMaestroEquipos[[#This Row],[Costo Mantenciones CLP]]+tblMaestroEquipos[[#This Row],[Costo Compras PM CLP]],0)</f>
        <v>0</v>
      </c>
      <c r="V43" s="18" t="str">
        <f>IFERROR(_xlfn.XLOOKUP(tblMaestroEquipos[[#This Row],[Codigo]],tblEquipos[Codigo],tblEquipos[Estado Base]),"")</f>
        <v>Fuera de Servicio</v>
      </c>
      <c r="W43" s="18" t="str">
        <f t="shared" si="0"/>
        <v>FUERA DE SERVICIO</v>
      </c>
      <c r="X43" s="18" t="str">
        <f t="shared" si="1"/>
        <v/>
      </c>
      <c r="Y43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43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43" s="25" t="str">
        <f>IFERROR(IF(_xlfn.MAXIFS(tblBodega[Fecha],tblBodega[Codigo],tblMaestroEquipos[[#This Row],[Codigo]])=0,"",_xlfn.MAXIFS(tblBodega[Fecha],tblBodega[Codigo],tblMaestroEquipos[[#This Row],[Codigo]])),"")</f>
        <v/>
      </c>
      <c r="AB43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4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4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43" s="51" t="str">
        <f t="shared" si="2"/>
        <v>FUERA DE SERVICIO</v>
      </c>
      <c r="AF43" s="18" t="str">
        <f t="shared" si="3"/>
        <v>NO APLICA</v>
      </c>
      <c r="AG43" s="18" t="str">
        <f t="shared" si="4"/>
        <v>No programar compra</v>
      </c>
      <c r="AH43" s="27">
        <f t="shared" si="5"/>
        <v>0</v>
      </c>
      <c r="AI43" s="27" t="str">
        <f t="shared" si="6"/>
        <v/>
      </c>
      <c r="AJ43" s="24">
        <f t="shared" si="7"/>
        <v>99</v>
      </c>
    </row>
    <row r="44" spans="1:36">
      <c r="A44" s="18" t="s">
        <v>135</v>
      </c>
      <c r="B44" s="18" t="s">
        <v>136</v>
      </c>
      <c r="C44" s="18" t="s">
        <v>1070</v>
      </c>
      <c r="D44" s="18" t="s">
        <v>55</v>
      </c>
      <c r="E44" s="19" t="s">
        <v>137</v>
      </c>
      <c r="F44" s="18">
        <v>2011</v>
      </c>
      <c r="G44" s="18" t="str" cm="1">
        <f t="array" ref="G44">IFERROR(INDEX(Lecturas!$E$4:$E$3549,MATCH(1,(Lecturas!$B$4:$B$3549=$A44)*(Lecturas!$E$4:$E$3549&lt;&gt;"")*(Lecturas!$A$4:$A$3549=_xlfn.MAXIFS(Lecturas!$A$4:$A$3549,Lecturas!$B$4:$B$3549,$A44,Lecturas!$E$4:$E$3549,"&lt;&gt;")),0)),"")</f>
        <v/>
      </c>
      <c r="H44" s="18"/>
      <c r="I44" s="18" t="s">
        <v>18</v>
      </c>
      <c r="J44" s="18">
        <v>250</v>
      </c>
      <c r="K44" s="18">
        <f>IFERROR(IF($I44="KM",ROUND((_xlfn.MAXIFS(tblLecturas[Kilometraje],tblLecturas[Codigo],$A44)-_xlfn.MINIFS(tblLecturas[Kilometraje],tblLecturas[Codigo],$A44))/(MAX(1,_xlfn.MAXIFS(tblLecturas[Fecha],tblLecturas[Codigo],$A44)-_xlfn.MINIFS(tblLecturas[Fecha],tblLecturas[Codigo],$A44))),1),ROUND((_xlfn.MAXIFS(tblLecturas[Horometro],tblLecturas[Codigo],$A44)-_xlfn.MINIFS(tblLecturas[Horometro],tblLecturas[Codigo],$A44))/(MAX(1,_xlfn.MAXIFS(tblLecturas[Fecha],tblLecturas[Codigo],$A44)-_xlfn.MINIFS(tblLecturas[Fecha],tblLecturas[Codigo],$A44))),1)),"")</f>
        <v>0</v>
      </c>
      <c r="L44" s="20">
        <f>IFERROR(_xlfn.MAXIFS(tblLecturas[Fecha],tblLecturas[Codigo],$A44),"")</f>
        <v>0</v>
      </c>
      <c r="M44" s="26">
        <f>IFERROR(_xlfn.MAXIFS(Lecturas!$C:$C,Lecturas!$B:$B,$A44,Lecturas!$C:$C,"&gt;0"),"")</f>
        <v>0</v>
      </c>
      <c r="N44" s="78">
        <f>IFERROR(_xlfn.MAXIFS(tblLecturas[Kilometraje],tblLecturas[Codigo],$A44,tblLecturas[Kilometraje],"&gt;0"),"")</f>
        <v>0</v>
      </c>
      <c r="O44" s="78" t="str" cm="1">
        <f t="array" ref="O44">IFERROR(IF($I44="KM",LOOKUP(2,1/(Lecturas!$B:$B=$A44)/(Lecturas!$D:$D&gt;0),Lecturas!$D:$D),LOOKUP(2,1/(Lecturas!$B:$B=$A44)/(Lecturas!$C:$C&gt;0),Lecturas!$C:$C)),"")</f>
        <v/>
      </c>
      <c r="P44" s="20">
        <f>IFERROR(_xlfn.MAXIFS(tblMantenciones[Fecha],tblMantenciones[Codigo],tblMaestroEquipos[[#This Row],[Codigo]],tblMantenciones[EsPM],"Sí"),"")</f>
        <v>0</v>
      </c>
      <c r="Q44" s="78" t="str">
        <f>IF(_xlfn.MAXIFS(Mantenciones!$D:$D,Mantenciones!$B:$B,A44)=0,"Sin datos de mantención registrado",_xlfn.MAXIFS(Mantenciones!$D:$D,Mantenciones!$B:$B,A44))</f>
        <v>Sin datos de mantención registrado</v>
      </c>
      <c r="R44" s="18" t="str">
        <f>IFERROR(IF(_xlfn.MAXIFS(Mantenciones!$D:$D,Mantenciones!$B:$B,$A44,Mantenciones!$E:$E,"Sí",Mantenciones!$D:$D,"&gt;0")=0,"Sin datos de mantención registrado",_xlfn.MAXIFS(Mantenciones!$D:$D,Mantenciones!$B:$B,$A44,Mantenciones!$E:$E,"Sí",Mantenciones!$D:$D,"&gt;0")),"Sin datos de mantención registrado")</f>
        <v>Sin datos de mantención registrado</v>
      </c>
      <c r="S44" s="21">
        <f>IFERROR(SUMIFS(tblMantenciones[Costo Mantencion CLP],tblMantenciones[Codigo],A44),0)</f>
        <v>0</v>
      </c>
      <c r="T44" s="21">
        <f>IFERROR(SUMIFS(tblComprasPM[Costo PM CLP],tblComprasPM[Codigo],tblMaestroEquipos[[#This Row],[Codigo]]),0)</f>
        <v>0</v>
      </c>
      <c r="U44" s="21">
        <f>IFERROR(tblMaestroEquipos[[#This Row],[Costo Mantenciones CLP]]+tblMaestroEquipos[[#This Row],[Costo Compras PM CLP]],0)</f>
        <v>0</v>
      </c>
      <c r="V44" s="18" t="str">
        <f>IFERROR(_xlfn.XLOOKUP(tblMaestroEquipos[[#This Row],[Codigo]],tblEquipos[Codigo],tblEquipos[Estado Base]),"")</f>
        <v>Fuera de Servicio</v>
      </c>
      <c r="W44" s="18" t="str">
        <f t="shared" si="0"/>
        <v>FUERA DE SERVICIO</v>
      </c>
      <c r="X44" s="18" t="str">
        <f t="shared" si="1"/>
        <v/>
      </c>
      <c r="Y4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4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44" s="25" t="str">
        <f>IFERROR(IF(_xlfn.MAXIFS(tblBodega[Fecha],tblBodega[Codigo],tblMaestroEquipos[[#This Row],[Codigo]])=0,"",_xlfn.MAXIFS(tblBodega[Fecha],tblBodega[Codigo],tblMaestroEquipos[[#This Row],[Codigo]])),"")</f>
        <v/>
      </c>
      <c r="AB4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4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4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44" s="51" t="str">
        <f t="shared" si="2"/>
        <v>FUERA DE SERVICIO</v>
      </c>
      <c r="AF44" s="18" t="str">
        <f t="shared" si="3"/>
        <v>NO APLICA</v>
      </c>
      <c r="AG44" s="18" t="str">
        <f t="shared" si="4"/>
        <v>No programar compra</v>
      </c>
      <c r="AH44" s="27">
        <f t="shared" si="5"/>
        <v>0</v>
      </c>
      <c r="AI44" s="27" t="str">
        <f t="shared" si="6"/>
        <v/>
      </c>
      <c r="AJ44" s="24">
        <f t="shared" si="7"/>
        <v>99</v>
      </c>
    </row>
    <row r="45" spans="1:36">
      <c r="A45" s="18" t="s">
        <v>140</v>
      </c>
      <c r="B45" s="18" t="s">
        <v>141</v>
      </c>
      <c r="C45" s="18" t="s">
        <v>1070</v>
      </c>
      <c r="D45" s="18" t="s">
        <v>111</v>
      </c>
      <c r="E45" s="19" t="s">
        <v>142</v>
      </c>
      <c r="F45" s="18">
        <v>1997</v>
      </c>
      <c r="G45" s="18" t="str" cm="1">
        <f t="array" ref="G45">IFERROR(INDEX(Lecturas!$E$4:$E$3549,MATCH(1,(Lecturas!$B$4:$B$3549=$A45)*(Lecturas!$E$4:$E$3549&lt;&gt;"")*(Lecturas!$A$4:$A$3549=_xlfn.MAXIFS(Lecturas!$A$4:$A$3549,Lecturas!$B$4:$B$3549,$A45,Lecturas!$E$4:$E$3549,"&lt;&gt;")),0)),"")</f>
        <v/>
      </c>
      <c r="H45" s="18"/>
      <c r="I45" s="18" t="s">
        <v>18</v>
      </c>
      <c r="J45" s="18">
        <v>250</v>
      </c>
      <c r="K45" s="18">
        <f>IFERROR(IF($I45="KM",ROUND((_xlfn.MAXIFS(tblLecturas[Kilometraje],tblLecturas[Codigo],$A45)-_xlfn.MINIFS(tblLecturas[Kilometraje],tblLecturas[Codigo],$A45))/(MAX(1,_xlfn.MAXIFS(tblLecturas[Fecha],tblLecturas[Codigo],$A45)-_xlfn.MINIFS(tblLecturas[Fecha],tblLecturas[Codigo],$A45))),1),ROUND((_xlfn.MAXIFS(tblLecturas[Horometro],tblLecturas[Codigo],$A45)-_xlfn.MINIFS(tblLecturas[Horometro],tblLecturas[Codigo],$A45))/(MAX(1,_xlfn.MAXIFS(tblLecturas[Fecha],tblLecturas[Codigo],$A45)-_xlfn.MINIFS(tblLecturas[Fecha],tblLecturas[Codigo],$A45))),1)),"")</f>
        <v>0</v>
      </c>
      <c r="L45" s="20">
        <f>IFERROR(_xlfn.MAXIFS(tblLecturas[Fecha],tblLecturas[Codigo],$A45),"")</f>
        <v>0</v>
      </c>
      <c r="M45" s="26">
        <f>IFERROR(_xlfn.MAXIFS(Lecturas!$C:$C,Lecturas!$B:$B,$A45,Lecturas!$C:$C,"&gt;0"),"")</f>
        <v>0</v>
      </c>
      <c r="N45" s="78">
        <f>IFERROR(_xlfn.MAXIFS(tblLecturas[Kilometraje],tblLecturas[Codigo],$A45,tblLecturas[Kilometraje],"&gt;0"),"")</f>
        <v>0</v>
      </c>
      <c r="O45" s="78" t="str" cm="1">
        <f t="array" ref="O45">IFERROR(IF($I45="KM",LOOKUP(2,1/(Lecturas!$B:$B=$A45)/(Lecturas!$D:$D&gt;0),Lecturas!$D:$D),LOOKUP(2,1/(Lecturas!$B:$B=$A45)/(Lecturas!$C:$C&gt;0),Lecturas!$C:$C)),"")</f>
        <v/>
      </c>
      <c r="P45" s="20">
        <f>IFERROR(_xlfn.MAXIFS(tblMantenciones[Fecha],tblMantenciones[Codigo],tblMaestroEquipos[[#This Row],[Codigo]],tblMantenciones[EsPM],"Sí"),"")</f>
        <v>0</v>
      </c>
      <c r="Q45" s="78" t="str">
        <f>IF(_xlfn.MAXIFS(Mantenciones!$D:$D,Mantenciones!$B:$B,A45)=0,"Sin datos de mantención registrado",_xlfn.MAXIFS(Mantenciones!$D:$D,Mantenciones!$B:$B,A45))</f>
        <v>Sin datos de mantención registrado</v>
      </c>
      <c r="R45" s="18" t="str">
        <f>IFERROR(IF(_xlfn.MAXIFS(Mantenciones!$D:$D,Mantenciones!$B:$B,$A45,Mantenciones!$E:$E,"Sí",Mantenciones!$D:$D,"&gt;0")=0,"Sin datos de mantención registrado",_xlfn.MAXIFS(Mantenciones!$D:$D,Mantenciones!$B:$B,$A45,Mantenciones!$E:$E,"Sí",Mantenciones!$D:$D,"&gt;0")),"Sin datos de mantención registrado")</f>
        <v>Sin datos de mantención registrado</v>
      </c>
      <c r="S45" s="21">
        <f>IFERROR(SUMIFS(tblMantenciones[Costo Mantencion CLP],tblMantenciones[Codigo],A45),0)</f>
        <v>0</v>
      </c>
      <c r="T45" s="21">
        <f>IFERROR(SUMIFS(tblComprasPM[Costo PM CLP],tblComprasPM[Codigo],tblMaestroEquipos[[#This Row],[Codigo]]),0)</f>
        <v>0</v>
      </c>
      <c r="U45" s="21">
        <f>IFERROR(tblMaestroEquipos[[#This Row],[Costo Mantenciones CLP]]+tblMaestroEquipos[[#This Row],[Costo Compras PM CLP]],0)</f>
        <v>0</v>
      </c>
      <c r="V45" s="18" t="str">
        <f>IFERROR(_xlfn.XLOOKUP(tblMaestroEquipos[[#This Row],[Codigo]],tblEquipos[Codigo],tblEquipos[Estado Base]),"")</f>
        <v>Operativo</v>
      </c>
      <c r="W45" s="18" t="str">
        <f t="shared" si="0"/>
        <v>AL DÍA</v>
      </c>
      <c r="X45" s="18" t="str">
        <f t="shared" si="1"/>
        <v/>
      </c>
      <c r="Y4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4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45" s="25" t="str">
        <f>IFERROR(IF(_xlfn.MAXIFS(tblBodega[Fecha],tblBodega[Codigo],tblMaestroEquipos[[#This Row],[Codigo]])=0,"",_xlfn.MAXIFS(tblBodega[Fecha],tblBodega[Codigo],tblMaestroEquipos[[#This Row],[Codigo]])),"")</f>
        <v/>
      </c>
      <c r="AB4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4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4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45" s="51" t="str">
        <f t="shared" si="2"/>
        <v>OPERATIVO</v>
      </c>
      <c r="AF45" s="18" t="str">
        <f t="shared" si="3"/>
        <v>BAJA</v>
      </c>
      <c r="AG45" s="18" t="str">
        <f t="shared" si="4"/>
        <v>Monitorear próximo vencimiento</v>
      </c>
      <c r="AH45">
        <f t="shared" si="5"/>
        <v>0</v>
      </c>
      <c r="AI45" t="str">
        <f t="shared" si="6"/>
        <v/>
      </c>
      <c r="AJ45" s="24">
        <f t="shared" si="7"/>
        <v>99</v>
      </c>
    </row>
    <row r="46" spans="1:36">
      <c r="A46" s="18" t="s">
        <v>143</v>
      </c>
      <c r="B46" s="18" t="s">
        <v>141</v>
      </c>
      <c r="C46" s="18" t="s">
        <v>1070</v>
      </c>
      <c r="D46" s="18" t="s">
        <v>66</v>
      </c>
      <c r="E46" s="19" t="s">
        <v>144</v>
      </c>
      <c r="F46" s="18">
        <v>2006</v>
      </c>
      <c r="G46" s="18" t="str" cm="1">
        <f t="array" ref="G46">IFERROR(INDEX(Lecturas!$E$4:$E$3549,MATCH(1,(Lecturas!$B$4:$B$3549=$A46)*(Lecturas!$E$4:$E$3549&lt;&gt;"")*(Lecturas!$A$4:$A$3549=_xlfn.MAXIFS(Lecturas!$A$4:$A$3549,Lecturas!$B$4:$B$3549,$A46,Lecturas!$E$4:$E$3549,"&lt;&gt;")),0)),"")</f>
        <v/>
      </c>
      <c r="H46" s="18"/>
      <c r="I46" s="18" t="s">
        <v>18</v>
      </c>
      <c r="J46" s="18">
        <v>250</v>
      </c>
      <c r="K46" s="18">
        <f>IFERROR(IF($I46="KM",ROUND((_xlfn.MAXIFS(tblLecturas[Kilometraje],tblLecturas[Codigo],$A46)-_xlfn.MINIFS(tblLecturas[Kilometraje],tblLecturas[Codigo],$A46))/(MAX(1,_xlfn.MAXIFS(tblLecturas[Fecha],tblLecturas[Codigo],$A46)-_xlfn.MINIFS(tblLecturas[Fecha],tblLecturas[Codigo],$A46))),1),ROUND((_xlfn.MAXIFS(tblLecturas[Horometro],tblLecturas[Codigo],$A46)-_xlfn.MINIFS(tblLecturas[Horometro],tblLecturas[Codigo],$A46))/(MAX(1,_xlfn.MAXIFS(tblLecturas[Fecha],tblLecturas[Codigo],$A46)-_xlfn.MINIFS(tblLecturas[Fecha],tblLecturas[Codigo],$A46))),1)),"")</f>
        <v>0</v>
      </c>
      <c r="L46" s="20">
        <f>IFERROR(_xlfn.MAXIFS(tblLecturas[Fecha],tblLecturas[Codigo],$A46),"")</f>
        <v>0</v>
      </c>
      <c r="M46" s="26">
        <f>IFERROR(_xlfn.MAXIFS(Lecturas!$C:$C,Lecturas!$B:$B,$A46,Lecturas!$C:$C,"&gt;0"),"")</f>
        <v>0</v>
      </c>
      <c r="N46" s="78">
        <f>IFERROR(_xlfn.MAXIFS(tblLecturas[Kilometraje],tblLecturas[Codigo],$A46,tblLecturas[Kilometraje],"&gt;0"),"")</f>
        <v>0</v>
      </c>
      <c r="O46" s="78" t="str" cm="1">
        <f t="array" ref="O46">IFERROR(IF($I46="KM",LOOKUP(2,1/(Lecturas!$B:$B=$A46)/(Lecturas!$D:$D&gt;0),Lecturas!$D:$D),LOOKUP(2,1/(Lecturas!$B:$B=$A46)/(Lecturas!$C:$C&gt;0),Lecturas!$C:$C)),"")</f>
        <v/>
      </c>
      <c r="P46" s="20">
        <f>IFERROR(_xlfn.MAXIFS(tblMantenciones[Fecha],tblMantenciones[Codigo],tblMaestroEquipos[[#This Row],[Codigo]],tblMantenciones[EsPM],"Sí"),"")</f>
        <v>46028</v>
      </c>
      <c r="Q46" s="78">
        <f>IF(_xlfn.MAXIFS(Mantenciones!$D:$D,Mantenciones!$B:$B,A46)=0,"Sin datos de mantención registrado",_xlfn.MAXIFS(Mantenciones!$D:$D,Mantenciones!$B:$B,A46))</f>
        <v>331891</v>
      </c>
      <c r="R46" s="18">
        <f>IFERROR(IF(_xlfn.MAXIFS(Mantenciones!$D:$D,Mantenciones!$B:$B,$A46,Mantenciones!$E:$E,"Sí",Mantenciones!$D:$D,"&gt;0")=0,"Sin datos de mantención registrado",_xlfn.MAXIFS(Mantenciones!$D:$D,Mantenciones!$B:$B,$A46,Mantenciones!$E:$E,"Sí",Mantenciones!$D:$D,"&gt;0")),"Sin datos de mantención registrado")</f>
        <v>331891</v>
      </c>
      <c r="S46" s="21">
        <f>IFERROR(SUMIFS(tblMantenciones[Costo Mantencion CLP],tblMantenciones[Codigo],A46),0)</f>
        <v>0</v>
      </c>
      <c r="T46" s="21">
        <f>IFERROR(SUMIFS(tblComprasPM[Costo PM CLP],tblComprasPM[Codigo],tblMaestroEquipos[[#This Row],[Codigo]]),0)</f>
        <v>0</v>
      </c>
      <c r="U46" s="21">
        <f>IFERROR(tblMaestroEquipos[[#This Row],[Costo Mantenciones CLP]]+tblMaestroEquipos[[#This Row],[Costo Compras PM CLP]],0)</f>
        <v>0</v>
      </c>
      <c r="V46" s="18" t="str">
        <f>IFERROR(_xlfn.XLOOKUP(tblMaestroEquipos[[#This Row],[Codigo]],tblEquipos[Codigo],tblEquipos[Estado Base]),"")</f>
        <v>Operativo</v>
      </c>
      <c r="W46" s="18" t="str">
        <f t="shared" si="0"/>
        <v>AL DÍA</v>
      </c>
      <c r="X46" s="18" t="str">
        <f t="shared" si="1"/>
        <v/>
      </c>
      <c r="Y4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4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46" s="25" t="str">
        <f>IFERROR(IF(_xlfn.MAXIFS(tblBodega[Fecha],tblBodega[Codigo],tblMaestroEquipos[[#This Row],[Codigo]])=0,"",_xlfn.MAXIFS(tblBodega[Fecha],tblBodega[Codigo],tblMaestroEquipos[[#This Row],[Codigo]])),"")</f>
        <v/>
      </c>
      <c r="AB4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4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4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46" s="51" t="str">
        <f t="shared" si="2"/>
        <v>OPERATIVO</v>
      </c>
      <c r="AF46" s="18" t="str">
        <f t="shared" si="3"/>
        <v>BAJA</v>
      </c>
      <c r="AG46" s="18" t="str">
        <f t="shared" si="4"/>
        <v>Monitorear próximo vencimiento</v>
      </c>
      <c r="AH46">
        <f t="shared" si="5"/>
        <v>0</v>
      </c>
      <c r="AI46" t="str">
        <f t="shared" si="6"/>
        <v/>
      </c>
      <c r="AJ46" s="24">
        <f t="shared" si="7"/>
        <v>99</v>
      </c>
    </row>
    <row r="47" spans="1:36">
      <c r="A47" s="18" t="s">
        <v>148</v>
      </c>
      <c r="B47" s="18" t="s">
        <v>45</v>
      </c>
      <c r="C47" s="18" t="s">
        <v>1069</v>
      </c>
      <c r="D47" s="18" t="s">
        <v>46</v>
      </c>
      <c r="E47" s="19" t="s">
        <v>149</v>
      </c>
      <c r="F47" s="18">
        <v>2012</v>
      </c>
      <c r="G47" s="18" t="str" cm="1">
        <f t="array" ref="G47">IFERROR(INDEX(Lecturas!$E$4:$E$3549,MATCH(1,(Lecturas!$B$4:$B$3549=$A47)*(Lecturas!$E$4:$E$3549&lt;&gt;"")*(Lecturas!$A$4:$A$3549=_xlfn.MAXIFS(Lecturas!$A$4:$A$3549,Lecturas!$B$4:$B$3549,$A47,Lecturas!$E$4:$E$3549,"&lt;&gt;")),0)),"")</f>
        <v/>
      </c>
      <c r="H47" s="18" t="s">
        <v>151</v>
      </c>
      <c r="I47" s="18" t="s">
        <v>18</v>
      </c>
      <c r="J47" s="18">
        <v>250</v>
      </c>
      <c r="K47" s="18">
        <f>IFERROR(IF($I47="KM",ROUND((_xlfn.MAXIFS(tblLecturas[Kilometraje],tblLecturas[Codigo],$A47)-_xlfn.MINIFS(tblLecturas[Kilometraje],tblLecturas[Codigo],$A47))/(MAX(1,_xlfn.MAXIFS(tblLecturas[Fecha],tblLecturas[Codigo],$A47)-_xlfn.MINIFS(tblLecturas[Fecha],tblLecturas[Codigo],$A47))),1),ROUND((_xlfn.MAXIFS(tblLecturas[Horometro],tblLecturas[Codigo],$A47)-_xlfn.MINIFS(tblLecturas[Horometro],tblLecturas[Codigo],$A47))/(MAX(1,_xlfn.MAXIFS(tblLecturas[Fecha],tblLecturas[Codigo],$A47)-_xlfn.MINIFS(tblLecturas[Fecha],tblLecturas[Codigo],$A47))),1)),"")</f>
        <v>0</v>
      </c>
      <c r="L47" s="20">
        <f>IFERROR(_xlfn.MAXIFS(tblLecturas[Fecha],tblLecturas[Codigo],$A47),"")</f>
        <v>44218</v>
      </c>
      <c r="M47" s="26">
        <f>IFERROR(_xlfn.MAXIFS(Lecturas!$C:$C,Lecturas!$B:$B,$A47,Lecturas!$C:$C,"&gt;0"),"")</f>
        <v>0</v>
      </c>
      <c r="N47" s="78">
        <f>IFERROR(_xlfn.MAXIFS(tblLecturas[Kilometraje],tblLecturas[Codigo],$A47,tblLecturas[Kilometraje],"&gt;0"),"")</f>
        <v>169355</v>
      </c>
      <c r="O47" s="78" t="str" cm="1">
        <f t="array" ref="O47">IFERROR(IF($I47="KM",LOOKUP(2,1/(Lecturas!$B:$B=$A47)/(Lecturas!$D:$D&gt;0),Lecturas!$D:$D),LOOKUP(2,1/(Lecturas!$B:$B=$A47)/(Lecturas!$C:$C&gt;0),Lecturas!$C:$C)),"")</f>
        <v/>
      </c>
      <c r="P47" s="20">
        <f>IFERROR(_xlfn.MAXIFS(tblMantenciones[Fecha],tblMantenciones[Codigo],tblMaestroEquipos[[#This Row],[Codigo]],tblMantenciones[EsPM],"Sí"),"")</f>
        <v>0</v>
      </c>
      <c r="Q47" s="78" t="str">
        <f>IF(_xlfn.MAXIFS(Mantenciones!$D:$D,Mantenciones!$B:$B,A47)=0,"Sin datos de mantención registrado",_xlfn.MAXIFS(Mantenciones!$D:$D,Mantenciones!$B:$B,A47))</f>
        <v>Sin datos de mantención registrado</v>
      </c>
      <c r="R47" s="18" t="str">
        <f>IFERROR(IF(_xlfn.MAXIFS(Mantenciones!$D:$D,Mantenciones!$B:$B,$A47,Mantenciones!$E:$E,"Sí",Mantenciones!$D:$D,"&gt;0")=0,"Sin datos de mantención registrado",_xlfn.MAXIFS(Mantenciones!$D:$D,Mantenciones!$B:$B,$A47,Mantenciones!$E:$E,"Sí",Mantenciones!$D:$D,"&gt;0")),"Sin datos de mantención registrado")</f>
        <v>Sin datos de mantención registrado</v>
      </c>
      <c r="S47" s="21">
        <f>IFERROR(SUMIFS(tblMantenciones[Costo Mantencion CLP],tblMantenciones[Codigo],A47),0)</f>
        <v>0</v>
      </c>
      <c r="T47" s="21">
        <f>IFERROR(SUMIFS(tblComprasPM[Costo PM CLP],tblComprasPM[Codigo],tblMaestroEquipos[[#This Row],[Codigo]]),0)</f>
        <v>0</v>
      </c>
      <c r="U47" s="21">
        <f>IFERROR(tblMaestroEquipos[[#This Row],[Costo Mantenciones CLP]]+tblMaestroEquipos[[#This Row],[Costo Compras PM CLP]],0)</f>
        <v>0</v>
      </c>
      <c r="V47" s="18" t="str">
        <f>IFERROR(_xlfn.XLOOKUP(tblMaestroEquipos[[#This Row],[Codigo]],tblEquipos[Codigo],tblEquipos[Estado Base]),"")</f>
        <v>Fuera de Servicio</v>
      </c>
      <c r="W47" s="18" t="str">
        <f t="shared" si="0"/>
        <v>FUERA DE SERVICIO</v>
      </c>
      <c r="X47" s="18" t="str">
        <f t="shared" si="1"/>
        <v/>
      </c>
      <c r="Y4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4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47" s="25" t="str">
        <f>IFERROR(IF(_xlfn.MAXIFS(tblBodega[Fecha],tblBodega[Codigo],tblMaestroEquipos[[#This Row],[Codigo]])=0,"",_xlfn.MAXIFS(tblBodega[Fecha],tblBodega[Codigo],tblMaestroEquipos[[#This Row],[Codigo]])),"")</f>
        <v/>
      </c>
      <c r="AB4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4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4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47" s="51" t="str">
        <f t="shared" si="2"/>
        <v>FUERA DE SERVICIO</v>
      </c>
      <c r="AF47" s="18" t="str">
        <f t="shared" si="3"/>
        <v>NO APLICA</v>
      </c>
      <c r="AG47" s="18" t="str">
        <f t="shared" si="4"/>
        <v>No programar compra</v>
      </c>
      <c r="AH47" s="27">
        <f t="shared" si="5"/>
        <v>0</v>
      </c>
      <c r="AI47" s="27" t="str">
        <f t="shared" si="6"/>
        <v/>
      </c>
      <c r="AJ47" s="24">
        <f t="shared" si="7"/>
        <v>99</v>
      </c>
    </row>
    <row r="48" spans="1:36">
      <c r="A48" s="18" t="s">
        <v>161</v>
      </c>
      <c r="B48" s="18" t="s">
        <v>116</v>
      </c>
      <c r="C48" s="18" t="s">
        <v>1069</v>
      </c>
      <c r="D48" s="18" t="s">
        <v>111</v>
      </c>
      <c r="E48" s="19" t="s">
        <v>112</v>
      </c>
      <c r="F48" s="18">
        <v>2014</v>
      </c>
      <c r="G48" s="18" t="str" cm="1">
        <f t="array" ref="G48">IFERROR(INDEX(Lecturas!$E$4:$E$3549,MATCH(1,(Lecturas!$B$4:$B$3549=$A48)*(Lecturas!$E$4:$E$3549&lt;&gt;"")*(Lecturas!$A$4:$A$3549=_xlfn.MAXIFS(Lecturas!$A$4:$A$3549,Lecturas!$B$4:$B$3549,$A48,Lecturas!$E$4:$E$3549,"&lt;&gt;")),0)),"")</f>
        <v/>
      </c>
      <c r="H48" s="18" t="s">
        <v>57</v>
      </c>
      <c r="I48" s="18" t="s">
        <v>18</v>
      </c>
      <c r="J48" s="18">
        <v>250</v>
      </c>
      <c r="K48" s="18">
        <f>IFERROR(IF($I48="KM",ROUND((_xlfn.MAXIFS(tblLecturas[Kilometraje],tblLecturas[Codigo],$A48)-_xlfn.MINIFS(tblLecturas[Kilometraje],tblLecturas[Codigo],$A48))/(MAX(1,_xlfn.MAXIFS(tblLecturas[Fecha],tblLecturas[Codigo],$A48)-_xlfn.MINIFS(tblLecturas[Fecha],tblLecturas[Codigo],$A48))),1),ROUND((_xlfn.MAXIFS(tblLecturas[Horometro],tblLecturas[Codigo],$A48)-_xlfn.MINIFS(tblLecturas[Horometro],tblLecturas[Codigo],$A48))/(MAX(1,_xlfn.MAXIFS(tblLecturas[Fecha],tblLecturas[Codigo],$A48)-_xlfn.MINIFS(tblLecturas[Fecha],tblLecturas[Codigo],$A48))),1)),"")</f>
        <v>0</v>
      </c>
      <c r="L48" s="20">
        <f>IFERROR(_xlfn.MAXIFS(tblLecturas[Fecha],tblLecturas[Codigo],$A48),"")</f>
        <v>44308</v>
      </c>
      <c r="M48" s="26">
        <f>IFERROR(_xlfn.MAXIFS(Lecturas!$C:$C,Lecturas!$B:$B,$A48,Lecturas!$C:$C,"&gt;0"),"")</f>
        <v>7867</v>
      </c>
      <c r="N48" s="78">
        <f>IFERROR(_xlfn.MAXIFS(tblLecturas[Kilometraje],tblLecturas[Codigo],$A48,tblLecturas[Kilometraje],"&gt;0"),"")</f>
        <v>112495</v>
      </c>
      <c r="O48" s="78" cm="1">
        <f t="array" ref="O48">IFERROR(IF($I48="KM",LOOKUP(2,1/(Lecturas!$B:$B=$A48)/(Lecturas!$D:$D&gt;0),Lecturas!$D:$D),LOOKUP(2,1/(Lecturas!$B:$B=$A48)/(Lecturas!$C:$C&gt;0),Lecturas!$C:$C)),"")</f>
        <v>7867</v>
      </c>
      <c r="P48" s="20">
        <f>IFERROR(_xlfn.MAXIFS(tblMantenciones[Fecha],tblMantenciones[Codigo],tblMaestroEquipos[[#This Row],[Codigo]],tblMantenciones[EsPM],"Sí"),"")</f>
        <v>0</v>
      </c>
      <c r="Q48" s="78" t="str">
        <f>IF(_xlfn.MAXIFS(Mantenciones!$D:$D,Mantenciones!$B:$B,A48)=0,"Sin datos de mantención registrado",_xlfn.MAXIFS(Mantenciones!$D:$D,Mantenciones!$B:$B,A48))</f>
        <v>Sin datos de mantención registrado</v>
      </c>
      <c r="R48" s="18" t="str">
        <f>IFERROR(IF(_xlfn.MAXIFS(Mantenciones!$D:$D,Mantenciones!$B:$B,$A48,Mantenciones!$E:$E,"Sí",Mantenciones!$D:$D,"&gt;0")=0,"Sin datos de mantención registrado",_xlfn.MAXIFS(Mantenciones!$D:$D,Mantenciones!$B:$B,$A48,Mantenciones!$E:$E,"Sí",Mantenciones!$D:$D,"&gt;0")),"Sin datos de mantención registrado")</f>
        <v>Sin datos de mantención registrado</v>
      </c>
      <c r="S48" s="21">
        <f>IFERROR(SUMIFS(tblMantenciones[Costo Mantencion CLP],tblMantenciones[Codigo],A48),0)</f>
        <v>0</v>
      </c>
      <c r="T48" s="21">
        <f>IFERROR(SUMIFS(tblComprasPM[Costo PM CLP],tblComprasPM[Codigo],tblMaestroEquipos[[#This Row],[Codigo]]),0)</f>
        <v>0</v>
      </c>
      <c r="U48" s="21">
        <f>IFERROR(tblMaestroEquipos[[#This Row],[Costo Mantenciones CLP]]+tblMaestroEquipos[[#This Row],[Costo Compras PM CLP]],0)</f>
        <v>0</v>
      </c>
      <c r="V48" s="18" t="str">
        <f>IFERROR(_xlfn.XLOOKUP(tblMaestroEquipos[[#This Row],[Codigo]],tblEquipos[Codigo],tblEquipos[Estado Base]),"")</f>
        <v>Operativo</v>
      </c>
      <c r="W48" s="18" t="str">
        <f t="shared" si="0"/>
        <v>AL DÍA</v>
      </c>
      <c r="X48" s="18" t="str">
        <f t="shared" si="1"/>
        <v/>
      </c>
      <c r="Y4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48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48" s="25" t="str">
        <f>IFERROR(IF(_xlfn.MAXIFS(tblBodega[Fecha],tblBodega[Codigo],tblMaestroEquipos[[#This Row],[Codigo]])=0,"",_xlfn.MAXIFS(tblBodega[Fecha],tblBodega[Codigo],tblMaestroEquipos[[#This Row],[Codigo]])),"")</f>
        <v/>
      </c>
      <c r="AB48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4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4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48" s="51" t="str">
        <f t="shared" si="2"/>
        <v>OPERATIVO</v>
      </c>
      <c r="AF48" s="18" t="str">
        <f t="shared" si="3"/>
        <v>BAJA</v>
      </c>
      <c r="AG48" s="18" t="str">
        <f t="shared" si="4"/>
        <v>Monitorear próximo vencimiento</v>
      </c>
      <c r="AH48">
        <f t="shared" si="5"/>
        <v>0</v>
      </c>
      <c r="AI48" t="str">
        <f t="shared" si="6"/>
        <v/>
      </c>
      <c r="AJ48" s="24">
        <f t="shared" si="7"/>
        <v>99</v>
      </c>
    </row>
    <row r="49" spans="1:36">
      <c r="A49" s="18" t="s">
        <v>162</v>
      </c>
      <c r="B49" s="18" t="s">
        <v>69</v>
      </c>
      <c r="C49" s="18" t="s">
        <v>1069</v>
      </c>
      <c r="D49" s="18" t="s">
        <v>118</v>
      </c>
      <c r="E49" s="19" t="s">
        <v>163</v>
      </c>
      <c r="F49" s="18">
        <v>2011</v>
      </c>
      <c r="G49" s="18" t="str" cm="1">
        <f t="array" ref="G49">IFERROR(INDEX(Lecturas!$E$4:$E$3549,MATCH(1,(Lecturas!$B$4:$B$3549=$A49)*(Lecturas!$E$4:$E$3549&lt;&gt;"")*(Lecturas!$A$4:$A$3549=_xlfn.MAXIFS(Lecturas!$A$4:$A$3549,Lecturas!$B$4:$B$3549,$A49,Lecturas!$E$4:$E$3549,"&lt;&gt;")),0)),"")</f>
        <v/>
      </c>
      <c r="H49" s="18" t="s">
        <v>57</v>
      </c>
      <c r="I49" s="18" t="s">
        <v>18</v>
      </c>
      <c r="J49" s="18">
        <v>250</v>
      </c>
      <c r="K49" s="18">
        <f>IFERROR(IF($I49="KM",ROUND((_xlfn.MAXIFS(tblLecturas[Kilometraje],tblLecturas[Codigo],$A49)-_xlfn.MINIFS(tblLecturas[Kilometraje],tblLecturas[Codigo],$A49))/(MAX(1,_xlfn.MAXIFS(tblLecturas[Fecha],tblLecturas[Codigo],$A49)-_xlfn.MINIFS(tblLecturas[Fecha],tblLecturas[Codigo],$A49))),1),ROUND((_xlfn.MAXIFS(tblLecturas[Horometro],tblLecturas[Codigo],$A49)-_xlfn.MINIFS(tblLecturas[Horometro],tblLecturas[Codigo],$A49))/(MAX(1,_xlfn.MAXIFS(tblLecturas[Fecha],tblLecturas[Codigo],$A49)-_xlfn.MINIFS(tblLecturas[Fecha],tblLecturas[Codigo],$A49))),1)),"")</f>
        <v>0</v>
      </c>
      <c r="L49" s="20">
        <f>IFERROR(_xlfn.MAXIFS(tblLecturas[Fecha],tblLecturas[Codigo],$A49),"")</f>
        <v>0</v>
      </c>
      <c r="M49" s="26">
        <f>IFERROR(_xlfn.MAXIFS(Lecturas!$C:$C,Lecturas!$B:$B,$A49,Lecturas!$C:$C,"&gt;0"),"")</f>
        <v>0</v>
      </c>
      <c r="N49" s="78">
        <f>IFERROR(_xlfn.MAXIFS(tblLecturas[Kilometraje],tblLecturas[Codigo],$A49,tblLecturas[Kilometraje],"&gt;0"),"")</f>
        <v>0</v>
      </c>
      <c r="O49" s="78" t="str" cm="1">
        <f t="array" ref="O49">IFERROR(IF($I49="KM",LOOKUP(2,1/(Lecturas!$B:$B=$A49)/(Lecturas!$D:$D&gt;0),Lecturas!$D:$D),LOOKUP(2,1/(Lecturas!$B:$B=$A49)/(Lecturas!$C:$C&gt;0),Lecturas!$C:$C)),"")</f>
        <v/>
      </c>
      <c r="P49" s="20">
        <f>IFERROR(_xlfn.MAXIFS(tblMantenciones[Fecha],tblMantenciones[Codigo],tblMaestroEquipos[[#This Row],[Codigo]],tblMantenciones[EsPM],"Sí"),"")</f>
        <v>0</v>
      </c>
      <c r="Q49" s="78" t="str">
        <f>IF(_xlfn.MAXIFS(Mantenciones!$D:$D,Mantenciones!$B:$B,A49)=0,"Sin datos de mantención registrado",_xlfn.MAXIFS(Mantenciones!$D:$D,Mantenciones!$B:$B,A49))</f>
        <v>Sin datos de mantención registrado</v>
      </c>
      <c r="R49" s="18" t="str">
        <f>IFERROR(IF(_xlfn.MAXIFS(Mantenciones!$D:$D,Mantenciones!$B:$B,$A49,Mantenciones!$E:$E,"Sí",Mantenciones!$D:$D,"&gt;0")=0,"Sin datos de mantención registrado",_xlfn.MAXIFS(Mantenciones!$D:$D,Mantenciones!$B:$B,$A49,Mantenciones!$E:$E,"Sí",Mantenciones!$D:$D,"&gt;0")),"Sin datos de mantención registrado")</f>
        <v>Sin datos de mantención registrado</v>
      </c>
      <c r="S49" s="21">
        <f>IFERROR(SUMIFS(tblMantenciones[Costo Mantencion CLP],tblMantenciones[Codigo],A49),0)</f>
        <v>0</v>
      </c>
      <c r="T49" s="21">
        <f>IFERROR(SUMIFS(tblComprasPM[Costo PM CLP],tblComprasPM[Codigo],tblMaestroEquipos[[#This Row],[Codigo]]),0)</f>
        <v>0</v>
      </c>
      <c r="U49" s="21">
        <f>IFERROR(tblMaestroEquipos[[#This Row],[Costo Mantenciones CLP]]+tblMaestroEquipos[[#This Row],[Costo Compras PM CLP]],0)</f>
        <v>0</v>
      </c>
      <c r="V49" s="18" t="str">
        <f>IFERROR(_xlfn.XLOOKUP(tblMaestroEquipos[[#This Row],[Codigo]],tblEquipos[Codigo],tblEquipos[Estado Base]),"")</f>
        <v>Fuera de Servicio</v>
      </c>
      <c r="W49" s="18" t="str">
        <f t="shared" si="0"/>
        <v>FUERA DE SERVICIO</v>
      </c>
      <c r="X49" s="18" t="str">
        <f t="shared" si="1"/>
        <v/>
      </c>
      <c r="Y4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4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49" s="25" t="str">
        <f>IFERROR(IF(_xlfn.MAXIFS(tblBodega[Fecha],tblBodega[Codigo],tblMaestroEquipos[[#This Row],[Codigo]])=0,"",_xlfn.MAXIFS(tblBodega[Fecha],tblBodega[Codigo],tblMaestroEquipos[[#This Row],[Codigo]])),"")</f>
        <v/>
      </c>
      <c r="AB4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4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4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49" s="51" t="str">
        <f t="shared" si="2"/>
        <v>FUERA DE SERVICIO</v>
      </c>
      <c r="AF49" s="18" t="str">
        <f t="shared" si="3"/>
        <v>NO APLICA</v>
      </c>
      <c r="AG49" s="18" t="str">
        <f t="shared" si="4"/>
        <v>No programar compra</v>
      </c>
      <c r="AH49" s="27">
        <f t="shared" si="5"/>
        <v>0</v>
      </c>
      <c r="AI49" s="27" t="str">
        <f t="shared" si="6"/>
        <v/>
      </c>
      <c r="AJ49" s="24">
        <f t="shared" si="7"/>
        <v>99</v>
      </c>
    </row>
    <row r="50" spans="1:36">
      <c r="A50" s="18" t="s">
        <v>164</v>
      </c>
      <c r="B50" s="18" t="s">
        <v>107</v>
      </c>
      <c r="C50" s="18" t="s">
        <v>1069</v>
      </c>
      <c r="D50" s="18" t="s">
        <v>42</v>
      </c>
      <c r="E50" s="19">
        <v>7600</v>
      </c>
      <c r="F50" s="18">
        <v>2012</v>
      </c>
      <c r="G50" s="18" t="str" cm="1">
        <f t="array" ref="G50">IFERROR(INDEX(Lecturas!$E$4:$E$3549,MATCH(1,(Lecturas!$B$4:$B$3549=$A50)*(Lecturas!$E$4:$E$3549&lt;&gt;"")*(Lecturas!$A$4:$A$3549=_xlfn.MAXIFS(Lecturas!$A$4:$A$3549,Lecturas!$B$4:$B$3549,$A50,Lecturas!$E$4:$E$3549,"&lt;&gt;")),0)),"")</f>
        <v/>
      </c>
      <c r="H50" s="18" t="s">
        <v>1016</v>
      </c>
      <c r="I50" s="18" t="s">
        <v>18</v>
      </c>
      <c r="J50" s="18">
        <v>250</v>
      </c>
      <c r="K50" s="18">
        <f>IFERROR(IF($I50="KM",ROUND((_xlfn.MAXIFS(tblLecturas[Kilometraje],tblLecturas[Codigo],$A50)-_xlfn.MINIFS(tblLecturas[Kilometraje],tblLecturas[Codigo],$A50))/(MAX(1,_xlfn.MAXIFS(tblLecturas[Fecha],tblLecturas[Codigo],$A50)-_xlfn.MINIFS(tblLecturas[Fecha],tblLecturas[Codigo],$A50))),1),ROUND((_xlfn.MAXIFS(tblLecturas[Horometro],tblLecturas[Codigo],$A50)-_xlfn.MINIFS(tblLecturas[Horometro],tblLecturas[Codigo],$A50))/(MAX(1,_xlfn.MAXIFS(tblLecturas[Fecha],tblLecturas[Codigo],$A50)-_xlfn.MINIFS(tblLecturas[Fecha],tblLecturas[Codigo],$A50))),1)),"")</f>
        <v>0</v>
      </c>
      <c r="L50" s="20">
        <f>IFERROR(_xlfn.MAXIFS(tblLecturas[Fecha],tblLecturas[Codigo],$A50),"")</f>
        <v>44991</v>
      </c>
      <c r="M50" s="26">
        <f>IFERROR(_xlfn.MAXIFS(Lecturas!$C:$C,Lecturas!$B:$B,$A50,Lecturas!$C:$C,"&gt;0"),"")</f>
        <v>10625</v>
      </c>
      <c r="N50" s="78">
        <f>IFERROR(_xlfn.MAXIFS(tblLecturas[Kilometraje],tblLecturas[Codigo],$A50,tblLecturas[Kilometraje],"&gt;0"),"")</f>
        <v>237000</v>
      </c>
      <c r="O50" s="78" cm="1">
        <f t="array" ref="O50">IFERROR(IF($I50="KM",LOOKUP(2,1/(Lecturas!$B:$B=$A50)/(Lecturas!$D:$D&gt;0),Lecturas!$D:$D),LOOKUP(2,1/(Lecturas!$B:$B=$A50)/(Lecturas!$C:$C&gt;0),Lecturas!$C:$C)),"")</f>
        <v>10625</v>
      </c>
      <c r="P50" s="20">
        <f>IFERROR(_xlfn.MAXIFS(tblMantenciones[Fecha],tblMantenciones[Codigo],tblMaestroEquipos[[#This Row],[Codigo]],tblMantenciones[EsPM],"Sí"),"")</f>
        <v>0</v>
      </c>
      <c r="Q50" s="78" t="str">
        <f>IF(_xlfn.MAXIFS(Mantenciones!$D:$D,Mantenciones!$B:$B,A50)=0,"Sin datos de mantención registrado",_xlfn.MAXIFS(Mantenciones!$D:$D,Mantenciones!$B:$B,A50))</f>
        <v>Sin datos de mantención registrado</v>
      </c>
      <c r="R50" s="18" t="str">
        <f>IFERROR(IF(_xlfn.MAXIFS(Mantenciones!$D:$D,Mantenciones!$B:$B,$A50,Mantenciones!$E:$E,"Sí",Mantenciones!$D:$D,"&gt;0")=0,"Sin datos de mantención registrado",_xlfn.MAXIFS(Mantenciones!$D:$D,Mantenciones!$B:$B,$A50,Mantenciones!$E:$E,"Sí",Mantenciones!$D:$D,"&gt;0")),"Sin datos de mantención registrado")</f>
        <v>Sin datos de mantención registrado</v>
      </c>
      <c r="S50" s="21">
        <f>IFERROR(SUMIFS(tblMantenciones[Costo Mantencion CLP],tblMantenciones[Codigo],A50),0)</f>
        <v>0</v>
      </c>
      <c r="T50" s="21">
        <f>IFERROR(SUMIFS(tblComprasPM[Costo PM CLP],tblComprasPM[Codigo],tblMaestroEquipos[[#This Row],[Codigo]]),0)</f>
        <v>0</v>
      </c>
      <c r="U50" s="21">
        <f>IFERROR(tblMaestroEquipos[[#This Row],[Costo Mantenciones CLP]]+tblMaestroEquipos[[#This Row],[Costo Compras PM CLP]],0)</f>
        <v>0</v>
      </c>
      <c r="V50" s="18" t="str">
        <f>IFERROR(_xlfn.XLOOKUP(tblMaestroEquipos[[#This Row],[Codigo]],tblEquipos[Codigo],tblEquipos[Estado Base]),"")</f>
        <v>Fuera de Servicio</v>
      </c>
      <c r="W50" s="18" t="str">
        <f t="shared" si="0"/>
        <v>FUERA DE SERVICIO</v>
      </c>
      <c r="X50" s="18" t="str">
        <f t="shared" si="1"/>
        <v/>
      </c>
      <c r="Y5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5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50" s="25" t="str">
        <f>IFERROR(IF(_xlfn.MAXIFS(tblBodega[Fecha],tblBodega[Codigo],tblMaestroEquipos[[#This Row],[Codigo]])=0,"",_xlfn.MAXIFS(tblBodega[Fecha],tblBodega[Codigo],tblMaestroEquipos[[#This Row],[Codigo]])),"")</f>
        <v/>
      </c>
      <c r="AB5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5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5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50" s="51" t="str">
        <f t="shared" si="2"/>
        <v>FUERA DE SERVICIO</v>
      </c>
      <c r="AF50" s="18" t="str">
        <f t="shared" si="3"/>
        <v>NO APLICA</v>
      </c>
      <c r="AG50" s="18" t="str">
        <f t="shared" si="4"/>
        <v>No programar compra</v>
      </c>
      <c r="AH50" s="27">
        <f t="shared" si="5"/>
        <v>0</v>
      </c>
      <c r="AI50" s="27" t="str">
        <f t="shared" si="6"/>
        <v/>
      </c>
      <c r="AJ50" s="24">
        <f t="shared" si="7"/>
        <v>99</v>
      </c>
    </row>
    <row r="51" spans="1:36">
      <c r="A51" s="18" t="s">
        <v>180</v>
      </c>
      <c r="B51" s="18" t="s">
        <v>45</v>
      </c>
      <c r="C51" s="18" t="s">
        <v>1069</v>
      </c>
      <c r="D51" s="18" t="s">
        <v>46</v>
      </c>
      <c r="E51" s="19" t="s">
        <v>149</v>
      </c>
      <c r="F51" s="18">
        <v>2013</v>
      </c>
      <c r="G51" s="18" t="str" cm="1">
        <f t="array" ref="G51">IFERROR(INDEX(Lecturas!$E$4:$E$3549,MATCH(1,(Lecturas!$B$4:$B$3549=$A51)*(Lecturas!$E$4:$E$3549&lt;&gt;"")*(Lecturas!$A$4:$A$3549=_xlfn.MAXIFS(Lecturas!$A$4:$A$3549,Lecturas!$B$4:$B$3549,$A51,Lecturas!$E$4:$E$3549,"&lt;&gt;")),0)),"")</f>
        <v/>
      </c>
      <c r="H51" s="18" t="s">
        <v>181</v>
      </c>
      <c r="I51" s="18" t="s">
        <v>18</v>
      </c>
      <c r="J51" s="18">
        <v>250</v>
      </c>
      <c r="K51" s="18">
        <f>IFERROR(IF($I51="KM",ROUND((_xlfn.MAXIFS(tblLecturas[Kilometraje],tblLecturas[Codigo],$A51)-_xlfn.MINIFS(tblLecturas[Kilometraje],tblLecturas[Codigo],$A51))/(MAX(1,_xlfn.MAXIFS(tblLecturas[Fecha],tblLecturas[Codigo],$A51)-_xlfn.MINIFS(tblLecturas[Fecha],tblLecturas[Codigo],$A51))),1),ROUND((_xlfn.MAXIFS(tblLecturas[Horometro],tblLecturas[Codigo],$A51)-_xlfn.MINIFS(tblLecturas[Horometro],tblLecturas[Codigo],$A51))/(MAX(1,_xlfn.MAXIFS(tblLecturas[Fecha],tblLecturas[Codigo],$A51)-_xlfn.MINIFS(tblLecturas[Fecha],tblLecturas[Codigo],$A51))),1)),"")</f>
        <v>0</v>
      </c>
      <c r="L51" s="20">
        <f>IFERROR(_xlfn.MAXIFS(tblLecturas[Fecha],tblLecturas[Codigo],$A51),"")</f>
        <v>0</v>
      </c>
      <c r="M51" s="26">
        <f>IFERROR(_xlfn.MAXIFS(Lecturas!$C:$C,Lecturas!$B:$B,$A51,Lecturas!$C:$C,"&gt;0"),"")</f>
        <v>0</v>
      </c>
      <c r="N51" s="78">
        <f>IFERROR(_xlfn.MAXIFS(tblLecturas[Kilometraje],tblLecturas[Codigo],$A51,tblLecturas[Kilometraje],"&gt;0"),"")</f>
        <v>0</v>
      </c>
      <c r="O51" s="78" t="str" cm="1">
        <f t="array" ref="O51">IFERROR(IF($I51="KM",LOOKUP(2,1/(Lecturas!$B:$B=$A51)/(Lecturas!$D:$D&gt;0),Lecturas!$D:$D),LOOKUP(2,1/(Lecturas!$B:$B=$A51)/(Lecturas!$C:$C&gt;0),Lecturas!$C:$C)),"")</f>
        <v/>
      </c>
      <c r="P51" s="20">
        <f>IFERROR(_xlfn.MAXIFS(tblMantenciones[Fecha],tblMantenciones[Codigo],tblMaestroEquipos[[#This Row],[Codigo]],tblMantenciones[EsPM],"Sí"),"")</f>
        <v>0</v>
      </c>
      <c r="Q51" s="78" t="str">
        <f>IF(_xlfn.MAXIFS(Mantenciones!$D:$D,Mantenciones!$B:$B,A51)=0,"Sin datos de mantención registrado",_xlfn.MAXIFS(Mantenciones!$D:$D,Mantenciones!$B:$B,A51))</f>
        <v>Sin datos de mantención registrado</v>
      </c>
      <c r="R51" s="18" t="str">
        <f>IFERROR(IF(_xlfn.MAXIFS(Mantenciones!$D:$D,Mantenciones!$B:$B,$A51,Mantenciones!$E:$E,"Sí",Mantenciones!$D:$D,"&gt;0")=0,"Sin datos de mantención registrado",_xlfn.MAXIFS(Mantenciones!$D:$D,Mantenciones!$B:$B,$A51,Mantenciones!$E:$E,"Sí",Mantenciones!$D:$D,"&gt;0")),"Sin datos de mantención registrado")</f>
        <v>Sin datos de mantención registrado</v>
      </c>
      <c r="S51" s="21">
        <f>IFERROR(SUMIFS(tblMantenciones[Costo Mantencion CLP],tblMantenciones[Codigo],A51),0)</f>
        <v>0</v>
      </c>
      <c r="T51" s="21">
        <f>IFERROR(SUMIFS(tblComprasPM[Costo PM CLP],tblComprasPM[Codigo],tblMaestroEquipos[[#This Row],[Codigo]]),0)</f>
        <v>170432.99</v>
      </c>
      <c r="U51" s="21">
        <f>IFERROR(tblMaestroEquipos[[#This Row],[Costo Mantenciones CLP]]+tblMaestroEquipos[[#This Row],[Costo Compras PM CLP]],0)</f>
        <v>170432.99</v>
      </c>
      <c r="V51" s="18" t="str">
        <f>IFERROR(_xlfn.XLOOKUP(tblMaestroEquipos[[#This Row],[Codigo]],tblEquipos[Codigo],tblEquipos[Estado Base]),"")</f>
        <v>Fuera de Servicio</v>
      </c>
      <c r="W51" s="18" t="str">
        <f t="shared" si="0"/>
        <v>FUERA DE SERVICIO</v>
      </c>
      <c r="X51" s="18" t="str">
        <f t="shared" si="1"/>
        <v/>
      </c>
      <c r="Y5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51" s="25">
        <f>IFERROR(IF(_xlfn.MINIFS(tblComprasPM[Fecha],tblComprasPM[Codigo],tblMaestroEquipos[[#This Row],[Codigo]])=0,"",_xlfn.MINIFS(tblComprasPM[Fecha],tblComprasPM[Codigo],tblMaestroEquipos[[#This Row],[Codigo]])),"")</f>
        <v>46079.431099421301</v>
      </c>
      <c r="AA51" s="25" t="str">
        <f>IFERROR(IF(_xlfn.MAXIFS(tblBodega[Fecha],tblBodega[Codigo],tblMaestroEquipos[[#This Row],[Codigo]])=0,"",_xlfn.MAXIFS(tblBodega[Fecha],tblBodega[Codigo],tblMaestroEquipos[[#This Row],[Codigo]])),"")</f>
        <v/>
      </c>
      <c r="AB5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66</v>
      </c>
      <c r="AC5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5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51" s="51" t="str">
        <f t="shared" si="2"/>
        <v>FUERA DE SERVICIO</v>
      </c>
      <c r="AF51" s="18" t="str">
        <f t="shared" si="3"/>
        <v>NO APLICA</v>
      </c>
      <c r="AG51" s="18" t="str">
        <f t="shared" si="4"/>
        <v>No programar compra</v>
      </c>
      <c r="AH51" s="27">
        <f t="shared" si="5"/>
        <v>0</v>
      </c>
      <c r="AI51" s="27" t="str">
        <f t="shared" si="6"/>
        <v/>
      </c>
      <c r="AJ51" s="24">
        <f t="shared" si="7"/>
        <v>99</v>
      </c>
    </row>
    <row r="52" spans="1:36">
      <c r="A52" s="18" t="s">
        <v>195</v>
      </c>
      <c r="B52" s="18" t="s">
        <v>196</v>
      </c>
      <c r="C52" s="18" t="s">
        <v>1070</v>
      </c>
      <c r="D52" s="18" t="s">
        <v>197</v>
      </c>
      <c r="E52" s="19">
        <v>400</v>
      </c>
      <c r="F52" s="18">
        <v>1990</v>
      </c>
      <c r="G52" s="18" t="str" cm="1">
        <f t="array" ref="G52">IFERROR(INDEX(Lecturas!$E$4:$E$3549,MATCH(1,(Lecturas!$B$4:$B$3549=$A52)*(Lecturas!$E$4:$E$3549&lt;&gt;"")*(Lecturas!$A$4:$A$3549=_xlfn.MAXIFS(Lecturas!$A$4:$A$3549,Lecturas!$B$4:$B$3549,$A52,Lecturas!$E$4:$E$3549,"&lt;&gt;")),0)),"")</f>
        <v/>
      </c>
      <c r="H52" s="18" t="s">
        <v>151</v>
      </c>
      <c r="I52" s="18" t="s">
        <v>18</v>
      </c>
      <c r="J52" s="18">
        <v>250</v>
      </c>
      <c r="K52" s="18">
        <f>IFERROR(IF($I52="KM",ROUND((_xlfn.MAXIFS(tblLecturas[Kilometraje],tblLecturas[Codigo],$A52)-_xlfn.MINIFS(tblLecturas[Kilometraje],tblLecturas[Codigo],$A52))/(MAX(1,_xlfn.MAXIFS(tblLecturas[Fecha],tblLecturas[Codigo],$A52)-_xlfn.MINIFS(tblLecturas[Fecha],tblLecturas[Codigo],$A52))),1),ROUND((_xlfn.MAXIFS(tblLecturas[Horometro],tblLecturas[Codigo],$A52)-_xlfn.MINIFS(tblLecturas[Horometro],tblLecturas[Codigo],$A52))/(MAX(1,_xlfn.MAXIFS(tblLecturas[Fecha],tblLecturas[Codigo],$A52)-_xlfn.MINIFS(tblLecturas[Fecha],tblLecturas[Codigo],$A52))),1)),"")</f>
        <v>0</v>
      </c>
      <c r="L52" s="20">
        <f>IFERROR(_xlfn.MAXIFS(tblLecturas[Fecha],tblLecturas[Codigo],$A52),"")</f>
        <v>0</v>
      </c>
      <c r="M52" s="26">
        <f>IFERROR(_xlfn.MAXIFS(Lecturas!$C:$C,Lecturas!$B:$B,$A52,Lecturas!$C:$C,"&gt;0"),"")</f>
        <v>0</v>
      </c>
      <c r="N52" s="78">
        <f>IFERROR(_xlfn.MAXIFS(tblLecturas[Kilometraje],tblLecturas[Codigo],$A52,tblLecturas[Kilometraje],"&gt;0"),"")</f>
        <v>0</v>
      </c>
      <c r="O52" s="78" t="str" cm="1">
        <f t="array" ref="O52">IFERROR(IF($I52="KM",LOOKUP(2,1/(Lecturas!$B:$B=$A52)/(Lecturas!$D:$D&gt;0),Lecturas!$D:$D),LOOKUP(2,1/(Lecturas!$B:$B=$A52)/(Lecturas!$C:$C&gt;0),Lecturas!$C:$C)),"")</f>
        <v/>
      </c>
      <c r="P52" s="20">
        <f>IFERROR(_xlfn.MAXIFS(tblMantenciones[Fecha],tblMantenciones[Codigo],tblMaestroEquipos[[#This Row],[Codigo]],tblMantenciones[EsPM],"Sí"),"")</f>
        <v>0</v>
      </c>
      <c r="Q52" s="78" t="str">
        <f>IF(_xlfn.MAXIFS(Mantenciones!$D:$D,Mantenciones!$B:$B,A52)=0,"Sin datos de mantención registrado",_xlfn.MAXIFS(Mantenciones!$D:$D,Mantenciones!$B:$B,A52))</f>
        <v>Sin datos de mantención registrado</v>
      </c>
      <c r="R52" s="18" t="str">
        <f>IFERROR(IF(_xlfn.MAXIFS(Mantenciones!$D:$D,Mantenciones!$B:$B,$A52,Mantenciones!$E:$E,"Sí",Mantenciones!$D:$D,"&gt;0")=0,"Sin datos de mantención registrado",_xlfn.MAXIFS(Mantenciones!$D:$D,Mantenciones!$B:$B,$A52,Mantenciones!$E:$E,"Sí",Mantenciones!$D:$D,"&gt;0")),"Sin datos de mantención registrado")</f>
        <v>Sin datos de mantención registrado</v>
      </c>
      <c r="S52" s="21">
        <f>IFERROR(SUMIFS(tblMantenciones[Costo Mantencion CLP],tblMantenciones[Codigo],A52),0)</f>
        <v>0</v>
      </c>
      <c r="T52" s="21">
        <f>IFERROR(SUMIFS(tblComprasPM[Costo PM CLP],tblComprasPM[Codigo],tblMaestroEquipos[[#This Row],[Codigo]]),0)</f>
        <v>0</v>
      </c>
      <c r="U52" s="21">
        <f>IFERROR(tblMaestroEquipos[[#This Row],[Costo Mantenciones CLP]]+tblMaestroEquipos[[#This Row],[Costo Compras PM CLP]],0)</f>
        <v>0</v>
      </c>
      <c r="V52" s="18" t="str">
        <f>IFERROR(_xlfn.XLOOKUP(tblMaestroEquipos[[#This Row],[Codigo]],tblEquipos[Codigo],tblEquipos[Estado Base]),"")</f>
        <v>Operativo</v>
      </c>
      <c r="W52" s="18" t="str">
        <f t="shared" si="0"/>
        <v>AL DÍA</v>
      </c>
      <c r="X52" s="18" t="str">
        <f t="shared" si="1"/>
        <v/>
      </c>
      <c r="Y5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5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52" s="25" t="str">
        <f>IFERROR(IF(_xlfn.MAXIFS(tblBodega[Fecha],tblBodega[Codigo],tblMaestroEquipos[[#This Row],[Codigo]])=0,"",_xlfn.MAXIFS(tblBodega[Fecha],tblBodega[Codigo],tblMaestroEquipos[[#This Row],[Codigo]])),"")</f>
        <v/>
      </c>
      <c r="AB5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5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5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52" s="51" t="str">
        <f t="shared" si="2"/>
        <v>OPERATIVO</v>
      </c>
      <c r="AF52" s="18" t="str">
        <f t="shared" si="3"/>
        <v>BAJA</v>
      </c>
      <c r="AG52" s="18" t="str">
        <f t="shared" si="4"/>
        <v>Monitorear próximo vencimiento</v>
      </c>
      <c r="AH52">
        <f t="shared" si="5"/>
        <v>0</v>
      </c>
      <c r="AI52" t="str">
        <f t="shared" si="6"/>
        <v/>
      </c>
      <c r="AJ52" s="24">
        <f t="shared" si="7"/>
        <v>99</v>
      </c>
    </row>
    <row r="53" spans="1:36">
      <c r="A53" s="18" t="s">
        <v>212</v>
      </c>
      <c r="B53" s="18" t="s">
        <v>213</v>
      </c>
      <c r="C53" s="18" t="s">
        <v>1070</v>
      </c>
      <c r="D53" s="18" t="s">
        <v>214</v>
      </c>
      <c r="E53" s="19" t="s">
        <v>215</v>
      </c>
      <c r="F53" s="18">
        <v>2017</v>
      </c>
      <c r="G53" s="18" t="str" cm="1">
        <f t="array" ref="G53">IFERROR(INDEX(Lecturas!$E$4:$E$3549,MATCH(1,(Lecturas!$B$4:$B$3549=$A53)*(Lecturas!$E$4:$E$3549&lt;&gt;"")*(Lecturas!$A$4:$A$3549=_xlfn.MAXIFS(Lecturas!$A$4:$A$3549,Lecturas!$B$4:$B$3549,$A53,Lecturas!$E$4:$E$3549,"&lt;&gt;")),0)),"")</f>
        <v/>
      </c>
      <c r="H53" s="18" t="s">
        <v>151</v>
      </c>
      <c r="I53" s="18" t="s">
        <v>18</v>
      </c>
      <c r="J53" s="18">
        <v>250</v>
      </c>
      <c r="K53" s="18">
        <f>IFERROR(IF($I53="KM",ROUND((_xlfn.MAXIFS(tblLecturas[Kilometraje],tblLecturas[Codigo],$A53)-_xlfn.MINIFS(tblLecturas[Kilometraje],tblLecturas[Codigo],$A53))/(MAX(1,_xlfn.MAXIFS(tblLecturas[Fecha],tblLecturas[Codigo],$A53)-_xlfn.MINIFS(tblLecturas[Fecha],tblLecturas[Codigo],$A53))),1),ROUND((_xlfn.MAXIFS(tblLecturas[Horometro],tblLecturas[Codigo],$A53)-_xlfn.MINIFS(tblLecturas[Horometro],tblLecturas[Codigo],$A53))/(MAX(1,_xlfn.MAXIFS(tblLecturas[Fecha],tblLecturas[Codigo],$A53)-_xlfn.MINIFS(tblLecturas[Fecha],tblLecturas[Codigo],$A53))),1)),"")</f>
        <v>0</v>
      </c>
      <c r="L53" s="20">
        <f>IFERROR(_xlfn.MAXIFS(tblLecturas[Fecha],tblLecturas[Codigo],$A53),"")</f>
        <v>0</v>
      </c>
      <c r="M53" s="26">
        <f>IFERROR(_xlfn.MAXIFS(Lecturas!$C:$C,Lecturas!$B:$B,$A53,Lecturas!$C:$C,"&gt;0"),"")</f>
        <v>0</v>
      </c>
      <c r="N53" s="78">
        <f>IFERROR(_xlfn.MAXIFS(tblLecturas[Kilometraje],tblLecturas[Codigo],$A53,tblLecturas[Kilometraje],"&gt;0"),"")</f>
        <v>0</v>
      </c>
      <c r="O53" s="78" t="str" cm="1">
        <f t="array" ref="O53">IFERROR(IF($I53="KM",LOOKUP(2,1/(Lecturas!$B:$B=$A53)/(Lecturas!$D:$D&gt;0),Lecturas!$D:$D),LOOKUP(2,1/(Lecturas!$B:$B=$A53)/(Lecturas!$C:$C&gt;0),Lecturas!$C:$C)),"")</f>
        <v/>
      </c>
      <c r="P53" s="20">
        <f>IFERROR(_xlfn.MAXIFS(tblMantenciones[Fecha],tblMantenciones[Codigo],tblMaestroEquipos[[#This Row],[Codigo]],tblMantenciones[EsPM],"Sí"),"")</f>
        <v>0</v>
      </c>
      <c r="Q53" s="78" t="str">
        <f>IF(_xlfn.MAXIFS(Mantenciones!$D:$D,Mantenciones!$B:$B,A53)=0,"Sin datos de mantención registrado",_xlfn.MAXIFS(Mantenciones!$D:$D,Mantenciones!$B:$B,A53))</f>
        <v>Sin datos de mantención registrado</v>
      </c>
      <c r="R53" s="18" t="str">
        <f>IFERROR(IF(_xlfn.MAXIFS(Mantenciones!$D:$D,Mantenciones!$B:$B,$A53,Mantenciones!$E:$E,"Sí",Mantenciones!$D:$D,"&gt;0")=0,"Sin datos de mantención registrado",_xlfn.MAXIFS(Mantenciones!$D:$D,Mantenciones!$B:$B,$A53,Mantenciones!$E:$E,"Sí",Mantenciones!$D:$D,"&gt;0")),"Sin datos de mantención registrado")</f>
        <v>Sin datos de mantención registrado</v>
      </c>
      <c r="S53" s="21">
        <f>IFERROR(SUMIFS(tblMantenciones[Costo Mantencion CLP],tblMantenciones[Codigo],A53),0)</f>
        <v>0</v>
      </c>
      <c r="T53" s="21">
        <f>IFERROR(SUMIFS(tblComprasPM[Costo PM CLP],tblComprasPM[Codigo],tblMaestroEquipos[[#This Row],[Codigo]]),0)</f>
        <v>0</v>
      </c>
      <c r="U53" s="21">
        <f>IFERROR(tblMaestroEquipos[[#This Row],[Costo Mantenciones CLP]]+tblMaestroEquipos[[#This Row],[Costo Compras PM CLP]],0)</f>
        <v>0</v>
      </c>
      <c r="V53" s="18" t="str">
        <f>IFERROR(_xlfn.XLOOKUP(tblMaestroEquipos[[#This Row],[Codigo]],tblEquipos[Codigo],tblEquipos[Estado Base]),"")</f>
        <v>Operativo</v>
      </c>
      <c r="W53" s="18" t="str">
        <f t="shared" si="0"/>
        <v>AL DÍA</v>
      </c>
      <c r="X53" s="18" t="str">
        <f t="shared" si="1"/>
        <v/>
      </c>
      <c r="Y53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53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53" s="25" t="str">
        <f>IFERROR(IF(_xlfn.MAXIFS(tblBodega[Fecha],tblBodega[Codigo],tblMaestroEquipos[[#This Row],[Codigo]])=0,"",_xlfn.MAXIFS(tblBodega[Fecha],tblBodega[Codigo],tblMaestroEquipos[[#This Row],[Codigo]])),"")</f>
        <v/>
      </c>
      <c r="AB53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5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5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53" s="51" t="str">
        <f t="shared" si="2"/>
        <v>OPERATIVO</v>
      </c>
      <c r="AF53" s="18" t="str">
        <f t="shared" si="3"/>
        <v>BAJA</v>
      </c>
      <c r="AG53" s="18" t="str">
        <f t="shared" si="4"/>
        <v>Monitorear próximo vencimiento</v>
      </c>
      <c r="AH53">
        <f t="shared" si="5"/>
        <v>0</v>
      </c>
      <c r="AI53" t="str">
        <f t="shared" si="6"/>
        <v/>
      </c>
      <c r="AJ53" s="24">
        <f t="shared" si="7"/>
        <v>99</v>
      </c>
    </row>
    <row r="54" spans="1:36">
      <c r="A54" s="18" t="s">
        <v>216</v>
      </c>
      <c r="B54" s="18" t="s">
        <v>217</v>
      </c>
      <c r="C54" s="18" t="s">
        <v>1070</v>
      </c>
      <c r="D54" s="18" t="s">
        <v>218</v>
      </c>
      <c r="E54" s="19" t="s">
        <v>219</v>
      </c>
      <c r="F54" s="18">
        <v>2020</v>
      </c>
      <c r="G54" s="18" t="str" cm="1">
        <f t="array" ref="G54">IFERROR(INDEX(Lecturas!$E$4:$E$3549,MATCH(1,(Lecturas!$B$4:$B$3549=$A54)*(Lecturas!$E$4:$E$3549&lt;&gt;"")*(Lecturas!$A$4:$A$3549=_xlfn.MAXIFS(Lecturas!$A$4:$A$3549,Lecturas!$B$4:$B$3549,$A54,Lecturas!$E$4:$E$3549,"&lt;&gt;")),0)),"")</f>
        <v/>
      </c>
      <c r="H54" s="18" t="s">
        <v>151</v>
      </c>
      <c r="I54" s="18" t="s">
        <v>18</v>
      </c>
      <c r="J54" s="18">
        <v>250</v>
      </c>
      <c r="K54" s="18">
        <f>IFERROR(IF($I54="KM",ROUND((_xlfn.MAXIFS(tblLecturas[Kilometraje],tblLecturas[Codigo],$A54)-_xlfn.MINIFS(tblLecturas[Kilometraje],tblLecturas[Codigo],$A54))/(MAX(1,_xlfn.MAXIFS(tblLecturas[Fecha],tblLecturas[Codigo],$A54)-_xlfn.MINIFS(tblLecturas[Fecha],tblLecturas[Codigo],$A54))),1),ROUND((_xlfn.MAXIFS(tblLecturas[Horometro],tblLecturas[Codigo],$A54)-_xlfn.MINIFS(tblLecturas[Horometro],tblLecturas[Codigo],$A54))/(MAX(1,_xlfn.MAXIFS(tblLecturas[Fecha],tblLecturas[Codigo],$A54)-_xlfn.MINIFS(tblLecturas[Fecha],tblLecturas[Codigo],$A54))),1)),"")</f>
        <v>0</v>
      </c>
      <c r="L54" s="20">
        <f>IFERROR(_xlfn.MAXIFS(tblLecturas[Fecha],tblLecturas[Codigo],$A54),"")</f>
        <v>0</v>
      </c>
      <c r="M54" s="26">
        <f>IFERROR(_xlfn.MAXIFS(Lecturas!$C:$C,Lecturas!$B:$B,$A54,Lecturas!$C:$C,"&gt;0"),"")</f>
        <v>0</v>
      </c>
      <c r="N54" s="78">
        <f>IFERROR(_xlfn.MAXIFS(tblLecturas[Kilometraje],tblLecturas[Codigo],$A54,tblLecturas[Kilometraje],"&gt;0"),"")</f>
        <v>0</v>
      </c>
      <c r="O54" s="78" t="str" cm="1">
        <f t="array" ref="O54">IFERROR(IF($I54="KM",LOOKUP(2,1/(Lecturas!$B:$B=$A54)/(Lecturas!$D:$D&gt;0),Lecturas!$D:$D),LOOKUP(2,1/(Lecturas!$B:$B=$A54)/(Lecturas!$C:$C&gt;0),Lecturas!$C:$C)),"")</f>
        <v/>
      </c>
      <c r="P54" s="20">
        <f>IFERROR(_xlfn.MAXIFS(tblMantenciones[Fecha],tblMantenciones[Codigo],tblMaestroEquipos[[#This Row],[Codigo]],tblMantenciones[EsPM],"Sí"),"")</f>
        <v>0</v>
      </c>
      <c r="Q54" s="78" t="str">
        <f>IF(_xlfn.MAXIFS(Mantenciones!$D:$D,Mantenciones!$B:$B,A54)=0,"Sin datos de mantención registrado",_xlfn.MAXIFS(Mantenciones!$D:$D,Mantenciones!$B:$B,A54))</f>
        <v>Sin datos de mantención registrado</v>
      </c>
      <c r="R54" s="18" t="str">
        <f>IFERROR(IF(_xlfn.MAXIFS(Mantenciones!$D:$D,Mantenciones!$B:$B,$A54,Mantenciones!$E:$E,"Sí",Mantenciones!$D:$D,"&gt;0")=0,"Sin datos de mantención registrado",_xlfn.MAXIFS(Mantenciones!$D:$D,Mantenciones!$B:$B,$A54,Mantenciones!$E:$E,"Sí",Mantenciones!$D:$D,"&gt;0")),"Sin datos de mantención registrado")</f>
        <v>Sin datos de mantención registrado</v>
      </c>
      <c r="S54" s="21">
        <f>IFERROR(SUMIFS(tblMantenciones[Costo Mantencion CLP],tblMantenciones[Codigo],A54),0)</f>
        <v>0</v>
      </c>
      <c r="T54" s="21">
        <f>IFERROR(SUMIFS(tblComprasPM[Costo PM CLP],tblComprasPM[Codigo],tblMaestroEquipos[[#This Row],[Codigo]]),0)</f>
        <v>0</v>
      </c>
      <c r="U54" s="21">
        <f>IFERROR(tblMaestroEquipos[[#This Row],[Costo Mantenciones CLP]]+tblMaestroEquipos[[#This Row],[Costo Compras PM CLP]],0)</f>
        <v>0</v>
      </c>
      <c r="V54" s="18" t="str">
        <f>IFERROR(_xlfn.XLOOKUP(tblMaestroEquipos[[#This Row],[Codigo]],tblEquipos[Codigo],tblEquipos[Estado Base]),"")</f>
        <v>Operativo</v>
      </c>
      <c r="W54" s="18" t="str">
        <f t="shared" si="0"/>
        <v>AL DÍA</v>
      </c>
      <c r="X54" s="18" t="str">
        <f t="shared" si="1"/>
        <v/>
      </c>
      <c r="Y5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5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54" s="25" t="str">
        <f>IFERROR(IF(_xlfn.MAXIFS(tblBodega[Fecha],tblBodega[Codigo],tblMaestroEquipos[[#This Row],[Codigo]])=0,"",_xlfn.MAXIFS(tblBodega[Fecha],tblBodega[Codigo],tblMaestroEquipos[[#This Row],[Codigo]])),"")</f>
        <v/>
      </c>
      <c r="AB5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5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5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54" s="51" t="str">
        <f t="shared" si="2"/>
        <v>OPERATIVO</v>
      </c>
      <c r="AF54" s="18" t="str">
        <f t="shared" si="3"/>
        <v>BAJA</v>
      </c>
      <c r="AG54" s="18" t="str">
        <f t="shared" si="4"/>
        <v>Monitorear próximo vencimiento</v>
      </c>
      <c r="AH54">
        <f t="shared" si="5"/>
        <v>0</v>
      </c>
      <c r="AI54" t="str">
        <f t="shared" si="6"/>
        <v/>
      </c>
      <c r="AJ54" s="24">
        <f t="shared" si="7"/>
        <v>99</v>
      </c>
    </row>
    <row r="55" spans="1:36">
      <c r="A55" s="18" t="s">
        <v>220</v>
      </c>
      <c r="B55" s="18" t="s">
        <v>221</v>
      </c>
      <c r="C55" s="18" t="s">
        <v>1070</v>
      </c>
      <c r="D55" s="18" t="s">
        <v>222</v>
      </c>
      <c r="E55" s="19" t="s">
        <v>223</v>
      </c>
      <c r="F55" s="18">
        <v>2021</v>
      </c>
      <c r="G55" s="18" t="str" cm="1">
        <f t="array" ref="G55">IFERROR(INDEX(Lecturas!$E$4:$E$3549,MATCH(1,(Lecturas!$B$4:$B$3549=$A55)*(Lecturas!$E$4:$E$3549&lt;&gt;"")*(Lecturas!$A$4:$A$3549=_xlfn.MAXIFS(Lecturas!$A$4:$A$3549,Lecturas!$B$4:$B$3549,$A55,Lecturas!$E$4:$E$3549,"&lt;&gt;")),0)),"")</f>
        <v/>
      </c>
      <c r="H55" s="18" t="s">
        <v>151</v>
      </c>
      <c r="I55" s="18" t="s">
        <v>18</v>
      </c>
      <c r="J55" s="18">
        <v>250</v>
      </c>
      <c r="K55" s="18">
        <f>IFERROR(IF($I55="KM",ROUND((_xlfn.MAXIFS(tblLecturas[Kilometraje],tblLecturas[Codigo],$A55)-_xlfn.MINIFS(tblLecturas[Kilometraje],tblLecturas[Codigo],$A55))/(MAX(1,_xlfn.MAXIFS(tblLecturas[Fecha],tblLecturas[Codigo],$A55)-_xlfn.MINIFS(tblLecturas[Fecha],tblLecturas[Codigo],$A55))),1),ROUND((_xlfn.MAXIFS(tblLecturas[Horometro],tblLecturas[Codigo],$A55)-_xlfn.MINIFS(tblLecturas[Horometro],tblLecturas[Codigo],$A55))/(MAX(1,_xlfn.MAXIFS(tblLecturas[Fecha],tblLecturas[Codigo],$A55)-_xlfn.MINIFS(tblLecturas[Fecha],tblLecturas[Codigo],$A55))),1)),"")</f>
        <v>0</v>
      </c>
      <c r="L55" s="20">
        <f>IFERROR(_xlfn.MAXIFS(tblLecturas[Fecha],tblLecturas[Codigo],$A55),"")</f>
        <v>0</v>
      </c>
      <c r="M55" s="26">
        <f>IFERROR(_xlfn.MAXIFS(Lecturas!$C:$C,Lecturas!$B:$B,$A55,Lecturas!$C:$C,"&gt;0"),"")</f>
        <v>0</v>
      </c>
      <c r="N55" s="78">
        <f>IFERROR(_xlfn.MAXIFS(tblLecturas[Kilometraje],tblLecturas[Codigo],$A55,tblLecturas[Kilometraje],"&gt;0"),"")</f>
        <v>0</v>
      </c>
      <c r="O55" s="78" t="str" cm="1">
        <f t="array" ref="O55">IFERROR(IF($I55="KM",LOOKUP(2,1/(Lecturas!$B:$B=$A55)/(Lecturas!$D:$D&gt;0),Lecturas!$D:$D),LOOKUP(2,1/(Lecturas!$B:$B=$A55)/(Lecturas!$C:$C&gt;0),Lecturas!$C:$C)),"")</f>
        <v/>
      </c>
      <c r="P55" s="20">
        <f>IFERROR(_xlfn.MAXIFS(tblMantenciones[Fecha],tblMantenciones[Codigo],tblMaestroEquipos[[#This Row],[Codigo]],tblMantenciones[EsPM],"Sí"),"")</f>
        <v>0</v>
      </c>
      <c r="Q55" s="78" t="str">
        <f>IF(_xlfn.MAXIFS(Mantenciones!$D:$D,Mantenciones!$B:$B,A55)=0,"Sin datos de mantención registrado",_xlfn.MAXIFS(Mantenciones!$D:$D,Mantenciones!$B:$B,A55))</f>
        <v>Sin datos de mantención registrado</v>
      </c>
      <c r="R55" s="18" t="str">
        <f>IFERROR(IF(_xlfn.MAXIFS(Mantenciones!$D:$D,Mantenciones!$B:$B,$A55,Mantenciones!$E:$E,"Sí",Mantenciones!$D:$D,"&gt;0")=0,"Sin datos de mantención registrado",_xlfn.MAXIFS(Mantenciones!$D:$D,Mantenciones!$B:$B,$A55,Mantenciones!$E:$E,"Sí",Mantenciones!$D:$D,"&gt;0")),"Sin datos de mantención registrado")</f>
        <v>Sin datos de mantención registrado</v>
      </c>
      <c r="S55" s="21">
        <f>IFERROR(SUMIFS(tblMantenciones[Costo Mantencion CLP],tblMantenciones[Codigo],A55),0)</f>
        <v>0</v>
      </c>
      <c r="T55" s="21">
        <f>IFERROR(SUMIFS(tblComprasPM[Costo PM CLP],tblComprasPM[Codigo],tblMaestroEquipos[[#This Row],[Codigo]]),0)</f>
        <v>0</v>
      </c>
      <c r="U55" s="21">
        <f>IFERROR(tblMaestroEquipos[[#This Row],[Costo Mantenciones CLP]]+tblMaestroEquipos[[#This Row],[Costo Compras PM CLP]],0)</f>
        <v>0</v>
      </c>
      <c r="V55" s="18" t="str">
        <f>IFERROR(_xlfn.XLOOKUP(tblMaestroEquipos[[#This Row],[Codigo]],tblEquipos[Codigo],tblEquipos[Estado Base]),"")</f>
        <v>Operativo</v>
      </c>
      <c r="W55" s="18" t="str">
        <f t="shared" si="0"/>
        <v>AL DÍA</v>
      </c>
      <c r="X55" s="18" t="str">
        <f t="shared" si="1"/>
        <v/>
      </c>
      <c r="Y5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5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55" s="25" t="str">
        <f>IFERROR(IF(_xlfn.MAXIFS(tblBodega[Fecha],tblBodega[Codigo],tblMaestroEquipos[[#This Row],[Codigo]])=0,"",_xlfn.MAXIFS(tblBodega[Fecha],tblBodega[Codigo],tblMaestroEquipos[[#This Row],[Codigo]])),"")</f>
        <v/>
      </c>
      <c r="AB5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5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5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55" s="51" t="str">
        <f>IF(TRIM(V55)="Fuera de servicio","FUERA DE SERVICIO",
IF(OR(TRIM(V55)="Taller",TRIM(V55)="En taller"),"EN TALLER",
IF(W55="ATRASADO","ATRASADO",
IF(W55="EN PROCESO","EN PROCESO",
IF(W55="PRÓXIMO","PRÓXIMO",
"OPERATIVO")))))</f>
        <v>OPERATIVO</v>
      </c>
      <c r="AF55" s="18" t="str">
        <f t="shared" si="3"/>
        <v>BAJA</v>
      </c>
      <c r="AG55" s="18" t="str">
        <f t="shared" si="4"/>
        <v>Monitorear próximo vencimiento</v>
      </c>
      <c r="AH55">
        <f t="shared" si="5"/>
        <v>0</v>
      </c>
      <c r="AI55" t="str">
        <f t="shared" si="6"/>
        <v/>
      </c>
      <c r="AJ55" s="24">
        <f t="shared" si="7"/>
        <v>99</v>
      </c>
    </row>
    <row r="56" spans="1:36">
      <c r="A56" s="18" t="s">
        <v>224</v>
      </c>
      <c r="B56" s="18" t="s">
        <v>225</v>
      </c>
      <c r="C56" s="18" t="s">
        <v>1070</v>
      </c>
      <c r="D56" s="18" t="s">
        <v>226</v>
      </c>
      <c r="E56" s="19" t="s">
        <v>226</v>
      </c>
      <c r="F56" s="18">
        <v>2020</v>
      </c>
      <c r="G56" s="18" t="str" cm="1">
        <f t="array" ref="G56">IFERROR(INDEX(Lecturas!$E$4:$E$3549,MATCH(1,(Lecturas!$B$4:$B$3549=$A56)*(Lecturas!$E$4:$E$3549&lt;&gt;"")*(Lecturas!$A$4:$A$3549=_xlfn.MAXIFS(Lecturas!$A$4:$A$3549,Lecturas!$B$4:$B$3549,$A56,Lecturas!$E$4:$E$3549,"&lt;&gt;")),0)),"")</f>
        <v/>
      </c>
      <c r="H56" s="18" t="s">
        <v>151</v>
      </c>
      <c r="I56" s="18" t="s">
        <v>18</v>
      </c>
      <c r="J56" s="18">
        <v>250</v>
      </c>
      <c r="K56" s="18">
        <f>IFERROR(IF($I56="KM",ROUND((_xlfn.MAXIFS(tblLecturas[Kilometraje],tblLecturas[Codigo],$A56)-_xlfn.MINIFS(tblLecturas[Kilometraje],tblLecturas[Codigo],$A56))/(MAX(1,_xlfn.MAXIFS(tblLecturas[Fecha],tblLecturas[Codigo],$A56)-_xlfn.MINIFS(tblLecturas[Fecha],tblLecturas[Codigo],$A56))),1),ROUND((_xlfn.MAXIFS(tblLecturas[Horometro],tblLecturas[Codigo],$A56)-_xlfn.MINIFS(tblLecturas[Horometro],tblLecturas[Codigo],$A56))/(MAX(1,_xlfn.MAXIFS(tblLecturas[Fecha],tblLecturas[Codigo],$A56)-_xlfn.MINIFS(tblLecturas[Fecha],tblLecturas[Codigo],$A56))),1)),"")</f>
        <v>0</v>
      </c>
      <c r="L56" s="20">
        <f>IFERROR(_xlfn.MAXIFS(tblLecturas[Fecha],tblLecturas[Codigo],$A56),"")</f>
        <v>0</v>
      </c>
      <c r="M56" s="26">
        <f>IFERROR(_xlfn.MAXIFS(Lecturas!$C:$C,Lecturas!$B:$B,$A56,Lecturas!$C:$C,"&gt;0"),"")</f>
        <v>0</v>
      </c>
      <c r="N56" s="78">
        <f>IFERROR(_xlfn.MAXIFS(tblLecturas[Kilometraje],tblLecturas[Codigo],$A56,tblLecturas[Kilometraje],"&gt;0"),"")</f>
        <v>0</v>
      </c>
      <c r="O56" s="78" t="str" cm="1">
        <f t="array" ref="O56">IFERROR(IF($I56="KM",LOOKUP(2,1/(Lecturas!$B:$B=$A56)/(Lecturas!$D:$D&gt;0),Lecturas!$D:$D),LOOKUP(2,1/(Lecturas!$B:$B=$A56)/(Lecturas!$C:$C&gt;0),Lecturas!$C:$C)),"")</f>
        <v/>
      </c>
      <c r="P56" s="20">
        <f>IFERROR(_xlfn.MAXIFS(tblMantenciones[Fecha],tblMantenciones[Codigo],tblMaestroEquipos[[#This Row],[Codigo]],tblMantenciones[EsPM],"Sí"),"")</f>
        <v>0</v>
      </c>
      <c r="Q56" s="78" t="str">
        <f>IF(_xlfn.MAXIFS(Mantenciones!$D:$D,Mantenciones!$B:$B,A56)=0,"Sin datos de mantención registrado",_xlfn.MAXIFS(Mantenciones!$D:$D,Mantenciones!$B:$B,A56))</f>
        <v>Sin datos de mantención registrado</v>
      </c>
      <c r="R56" s="18" t="str">
        <f>IFERROR(IF(_xlfn.MAXIFS(Mantenciones!$D:$D,Mantenciones!$B:$B,$A56,Mantenciones!$E:$E,"Sí",Mantenciones!$D:$D,"&gt;0")=0,"Sin datos de mantención registrado",_xlfn.MAXIFS(Mantenciones!$D:$D,Mantenciones!$B:$B,$A56,Mantenciones!$E:$E,"Sí",Mantenciones!$D:$D,"&gt;0")),"Sin datos de mantención registrado")</f>
        <v>Sin datos de mantención registrado</v>
      </c>
      <c r="S56" s="21">
        <f>IFERROR(SUMIFS(tblMantenciones[Costo Mantencion CLP],tblMantenciones[Codigo],A56),0)</f>
        <v>0</v>
      </c>
      <c r="T56" s="21">
        <f>IFERROR(SUMIFS(tblComprasPM[Costo PM CLP],tblComprasPM[Codigo],tblMaestroEquipos[[#This Row],[Codigo]]),0)</f>
        <v>0</v>
      </c>
      <c r="U56" s="21">
        <f>IFERROR(tblMaestroEquipos[[#This Row],[Costo Mantenciones CLP]]+tblMaestroEquipos[[#This Row],[Costo Compras PM CLP]],0)</f>
        <v>0</v>
      </c>
      <c r="V56" s="18" t="str">
        <f>IFERROR(_xlfn.XLOOKUP(tblMaestroEquipos[[#This Row],[Codigo]],tblEquipos[Codigo],tblEquipos[Estado Base]),"")</f>
        <v>Operativo</v>
      </c>
      <c r="W56" s="18" t="str">
        <f t="shared" si="0"/>
        <v>AL DÍA</v>
      </c>
      <c r="X56" s="18" t="str">
        <f t="shared" si="1"/>
        <v/>
      </c>
      <c r="Y5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5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56" s="25" t="str">
        <f>IFERROR(IF(_xlfn.MAXIFS(tblBodega[Fecha],tblBodega[Codigo],tblMaestroEquipos[[#This Row],[Codigo]])=0,"",_xlfn.MAXIFS(tblBodega[Fecha],tblBodega[Codigo],tblMaestroEquipos[[#This Row],[Codigo]])),"")</f>
        <v/>
      </c>
      <c r="AB5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5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5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56" s="51" t="str">
        <f t="shared" ref="AE56:AE119" si="9">IF(TRIM(V56)="Fuera de servicio","FUERA DE SERVICIO",
IF(OR(TRIM(V56)="Taller",TRIM(V56)="En taller"),"EN TALLER",
IF(W56="ATRASADO","ATRASADO",
IF(W56="EN PROCESO","EN PROCESO",
IF(W56="PRÓXIMO","PRÓXIMO",
"OPERATIVO")))))</f>
        <v>OPERATIVO</v>
      </c>
      <c r="AF56" s="18" t="str">
        <f t="shared" si="3"/>
        <v>BAJA</v>
      </c>
      <c r="AG56" s="18" t="str">
        <f t="shared" si="4"/>
        <v>Monitorear próximo vencimiento</v>
      </c>
      <c r="AH56">
        <f t="shared" si="5"/>
        <v>0</v>
      </c>
      <c r="AI56" t="str">
        <f t="shared" si="6"/>
        <v/>
      </c>
      <c r="AJ56" s="24">
        <f t="shared" si="7"/>
        <v>99</v>
      </c>
    </row>
    <row r="57" spans="1:36">
      <c r="A57" s="18" t="s">
        <v>229</v>
      </c>
      <c r="B57" s="18" t="s">
        <v>230</v>
      </c>
      <c r="C57" s="18" t="s">
        <v>1070</v>
      </c>
      <c r="D57" s="18" t="s">
        <v>231</v>
      </c>
      <c r="E57" s="19" t="s">
        <v>232</v>
      </c>
      <c r="F57" s="18">
        <v>2016</v>
      </c>
      <c r="G57" s="18" t="str" cm="1">
        <f t="array" ref="G57">IFERROR(INDEX(Lecturas!$E$4:$E$3549,MATCH(1,(Lecturas!$B$4:$B$3549=$A57)*(Lecturas!$E$4:$E$3549&lt;&gt;"")*(Lecturas!$A$4:$A$3549=_xlfn.MAXIFS(Lecturas!$A$4:$A$3549,Lecturas!$B$4:$B$3549,$A57,Lecturas!$E$4:$E$3549,"&lt;&gt;")),0)),"")</f>
        <v/>
      </c>
      <c r="H57" s="18" t="s">
        <v>233</v>
      </c>
      <c r="I57" s="18" t="s">
        <v>18</v>
      </c>
      <c r="J57" s="18">
        <v>250</v>
      </c>
      <c r="K57" s="18">
        <f>IFERROR(IF($I57="KM",ROUND((_xlfn.MAXIFS(tblLecturas[Kilometraje],tblLecturas[Codigo],$A57)-_xlfn.MINIFS(tblLecturas[Kilometraje],tblLecturas[Codigo],$A57))/(MAX(1,_xlfn.MAXIFS(tblLecturas[Fecha],tblLecturas[Codigo],$A57)-_xlfn.MINIFS(tblLecturas[Fecha],tblLecturas[Codigo],$A57))),1),ROUND((_xlfn.MAXIFS(tblLecturas[Horometro],tblLecturas[Codigo],$A57)-_xlfn.MINIFS(tblLecturas[Horometro],tblLecturas[Codigo],$A57))/(MAX(1,_xlfn.MAXIFS(tblLecturas[Fecha],tblLecturas[Codigo],$A57)-_xlfn.MINIFS(tblLecturas[Fecha],tblLecturas[Codigo],$A57))),1)),"")</f>
        <v>0</v>
      </c>
      <c r="L57" s="20">
        <f>IFERROR(_xlfn.MAXIFS(tblLecturas[Fecha],tblLecturas[Codigo],$A57),"")</f>
        <v>0</v>
      </c>
      <c r="M57" s="26">
        <f>IFERROR(_xlfn.MAXIFS(Lecturas!$C:$C,Lecturas!$B:$B,$A57,Lecturas!$C:$C,"&gt;0"),"")</f>
        <v>0</v>
      </c>
      <c r="N57" s="78">
        <f>IFERROR(_xlfn.MAXIFS(tblLecturas[Kilometraje],tblLecturas[Codigo],$A57,tblLecturas[Kilometraje],"&gt;0"),"")</f>
        <v>0</v>
      </c>
      <c r="O57" s="78" t="str" cm="1">
        <f t="array" ref="O57">IFERROR(IF($I57="KM",LOOKUP(2,1/(Lecturas!$B:$B=$A57)/(Lecturas!$D:$D&gt;0),Lecturas!$D:$D),LOOKUP(2,1/(Lecturas!$B:$B=$A57)/(Lecturas!$C:$C&gt;0),Lecturas!$C:$C)),"")</f>
        <v/>
      </c>
      <c r="P57" s="20">
        <f>IFERROR(_xlfn.MAXIFS(tblMantenciones[Fecha],tblMantenciones[Codigo],tblMaestroEquipos[[#This Row],[Codigo]],tblMantenciones[EsPM],"Sí"),"")</f>
        <v>0</v>
      </c>
      <c r="Q57" s="78" t="str">
        <f>IF(_xlfn.MAXIFS(Mantenciones!$D:$D,Mantenciones!$B:$B,A57)=0,"Sin datos de mantención registrado",_xlfn.MAXIFS(Mantenciones!$D:$D,Mantenciones!$B:$B,A57))</f>
        <v>Sin datos de mantención registrado</v>
      </c>
      <c r="R57" s="18" t="str">
        <f>IFERROR(IF(_xlfn.MAXIFS(Mantenciones!$D:$D,Mantenciones!$B:$B,$A57,Mantenciones!$E:$E,"Sí",Mantenciones!$D:$D,"&gt;0")=0,"Sin datos de mantención registrado",_xlfn.MAXIFS(Mantenciones!$D:$D,Mantenciones!$B:$B,$A57,Mantenciones!$E:$E,"Sí",Mantenciones!$D:$D,"&gt;0")),"Sin datos de mantención registrado")</f>
        <v>Sin datos de mantención registrado</v>
      </c>
      <c r="S57" s="21">
        <f>IFERROR(SUMIFS(tblMantenciones[Costo Mantencion CLP],tblMantenciones[Codigo],A57),0)</f>
        <v>0</v>
      </c>
      <c r="T57" s="21">
        <f>IFERROR(SUMIFS(tblComprasPM[Costo PM CLP],tblComprasPM[Codigo],tblMaestroEquipos[[#This Row],[Codigo]]),0)</f>
        <v>0</v>
      </c>
      <c r="U57" s="21">
        <f>IFERROR(tblMaestroEquipos[[#This Row],[Costo Mantenciones CLP]]+tblMaestroEquipos[[#This Row],[Costo Compras PM CLP]],0)</f>
        <v>0</v>
      </c>
      <c r="V57" s="18" t="str">
        <f>IFERROR(_xlfn.XLOOKUP(tblMaestroEquipos[[#This Row],[Codigo]],tblEquipos[Codigo],tblEquipos[Estado Base]),"")</f>
        <v>Operativo</v>
      </c>
      <c r="W57" s="18" t="str">
        <f t="shared" si="0"/>
        <v>AL DÍA</v>
      </c>
      <c r="X57" s="18" t="str">
        <f t="shared" si="1"/>
        <v/>
      </c>
      <c r="Y5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5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57" s="25" t="str">
        <f>IFERROR(IF(_xlfn.MAXIFS(tblBodega[Fecha],tblBodega[Codigo],tblMaestroEquipos[[#This Row],[Codigo]])=0,"",_xlfn.MAXIFS(tblBodega[Fecha],tblBodega[Codigo],tblMaestroEquipos[[#This Row],[Codigo]])),"")</f>
        <v/>
      </c>
      <c r="AB5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5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5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57" s="51" t="str">
        <f t="shared" si="9"/>
        <v>OPERATIVO</v>
      </c>
      <c r="AF57" s="18" t="str">
        <f t="shared" si="3"/>
        <v>BAJA</v>
      </c>
      <c r="AG57" s="18" t="str">
        <f t="shared" si="4"/>
        <v>Monitorear próximo vencimiento</v>
      </c>
      <c r="AH57">
        <f t="shared" si="5"/>
        <v>0</v>
      </c>
      <c r="AI57" t="str">
        <f t="shared" si="6"/>
        <v/>
      </c>
      <c r="AJ57" s="24">
        <f t="shared" si="7"/>
        <v>99</v>
      </c>
    </row>
    <row r="58" spans="1:36">
      <c r="A58" s="18" t="s">
        <v>238</v>
      </c>
      <c r="B58" s="18" t="s">
        <v>230</v>
      </c>
      <c r="C58" s="18" t="s">
        <v>1070</v>
      </c>
      <c r="D58" s="18" t="s">
        <v>231</v>
      </c>
      <c r="E58" s="19" t="s">
        <v>239</v>
      </c>
      <c r="F58" s="18">
        <v>2010</v>
      </c>
      <c r="G58" s="18" t="str" cm="1">
        <f t="array" ref="G58">IFERROR(INDEX(Lecturas!$E$4:$E$3549,MATCH(1,(Lecturas!$B$4:$B$3549=$A58)*(Lecturas!$E$4:$E$3549&lt;&gt;"")*(Lecturas!$A$4:$A$3549=_xlfn.MAXIFS(Lecturas!$A$4:$A$3549,Lecturas!$B$4:$B$3549,$A58,Lecturas!$E$4:$E$3549,"&lt;&gt;")),0)),"")</f>
        <v/>
      </c>
      <c r="H58" s="18" t="s">
        <v>151</v>
      </c>
      <c r="I58" s="18" t="s">
        <v>18</v>
      </c>
      <c r="J58" s="18">
        <v>250</v>
      </c>
      <c r="K58" s="18">
        <f>IFERROR(IF($I58="KM",ROUND((_xlfn.MAXIFS(tblLecturas[Kilometraje],tblLecturas[Codigo],$A58)-_xlfn.MINIFS(tblLecturas[Kilometraje],tblLecturas[Codigo],$A58))/(MAX(1,_xlfn.MAXIFS(tblLecturas[Fecha],tblLecturas[Codigo],$A58)-_xlfn.MINIFS(tblLecturas[Fecha],tblLecturas[Codigo],$A58))),1),ROUND((_xlfn.MAXIFS(tblLecturas[Horometro],tblLecturas[Codigo],$A58)-_xlfn.MINIFS(tblLecturas[Horometro],tblLecturas[Codigo],$A58))/(MAX(1,_xlfn.MAXIFS(tblLecturas[Fecha],tblLecturas[Codigo],$A58)-_xlfn.MINIFS(tblLecturas[Fecha],tblLecturas[Codigo],$A58))),1)),"")</f>
        <v>0</v>
      </c>
      <c r="L58" s="20">
        <f>IFERROR(_xlfn.MAXIFS(tblLecturas[Fecha],tblLecturas[Codigo],$A58),"")</f>
        <v>0</v>
      </c>
      <c r="M58" s="26">
        <f>IFERROR(_xlfn.MAXIFS(Lecturas!$C:$C,Lecturas!$B:$B,$A58,Lecturas!$C:$C,"&gt;0"),"")</f>
        <v>0</v>
      </c>
      <c r="N58" s="78">
        <f>IFERROR(_xlfn.MAXIFS(tblLecturas[Kilometraje],tblLecturas[Codigo],$A58,tblLecturas[Kilometraje],"&gt;0"),"")</f>
        <v>0</v>
      </c>
      <c r="O58" s="78" t="str" cm="1">
        <f t="array" ref="O58">IFERROR(IF($I58="KM",LOOKUP(2,1/(Lecturas!$B:$B=$A58)/(Lecturas!$D:$D&gt;0),Lecturas!$D:$D),LOOKUP(2,1/(Lecturas!$B:$B=$A58)/(Lecturas!$C:$C&gt;0),Lecturas!$C:$C)),"")</f>
        <v/>
      </c>
      <c r="P58" s="20">
        <f>IFERROR(_xlfn.MAXIFS(tblMantenciones[Fecha],tblMantenciones[Codigo],tblMaestroEquipos[[#This Row],[Codigo]],tblMantenciones[EsPM],"Sí"),"")</f>
        <v>0</v>
      </c>
      <c r="Q58" s="78" t="str">
        <f>IF(_xlfn.MAXIFS(Mantenciones!$D:$D,Mantenciones!$B:$B,A58)=0,"Sin datos de mantención registrado",_xlfn.MAXIFS(Mantenciones!$D:$D,Mantenciones!$B:$B,A58))</f>
        <v>Sin datos de mantención registrado</v>
      </c>
      <c r="R58" s="18" t="str">
        <f>IFERROR(IF(_xlfn.MAXIFS(Mantenciones!$D:$D,Mantenciones!$B:$B,$A58,Mantenciones!$E:$E,"Sí",Mantenciones!$D:$D,"&gt;0")=0,"Sin datos de mantención registrado",_xlfn.MAXIFS(Mantenciones!$D:$D,Mantenciones!$B:$B,$A58,Mantenciones!$E:$E,"Sí",Mantenciones!$D:$D,"&gt;0")),"Sin datos de mantención registrado")</f>
        <v>Sin datos de mantención registrado</v>
      </c>
      <c r="S58" s="21">
        <f>IFERROR(SUMIFS(tblMantenciones[Costo Mantencion CLP],tblMantenciones[Codigo],A58),0)</f>
        <v>0</v>
      </c>
      <c r="T58" s="21">
        <f>IFERROR(SUMIFS(tblComprasPM[Costo PM CLP],tblComprasPM[Codigo],tblMaestroEquipos[[#This Row],[Codigo]]),0)</f>
        <v>559290.48</v>
      </c>
      <c r="U58" s="21">
        <f>IFERROR(tblMaestroEquipos[[#This Row],[Costo Mantenciones CLP]]+tblMaestroEquipos[[#This Row],[Costo Compras PM CLP]],0)</f>
        <v>559290.48</v>
      </c>
      <c r="V58" s="18" t="str">
        <f>IFERROR(_xlfn.XLOOKUP(tblMaestroEquipos[[#This Row],[Codigo]],tblEquipos[Codigo],tblEquipos[Estado Base]),"")</f>
        <v>Fuera de Servicio</v>
      </c>
      <c r="W58" s="18" t="str">
        <f t="shared" si="0"/>
        <v>FUERA DE SERVICIO</v>
      </c>
      <c r="X58" s="18" t="str">
        <f t="shared" si="1"/>
        <v/>
      </c>
      <c r="Y5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58" s="25">
        <f>IFERROR(IF(_xlfn.MINIFS(tblComprasPM[Fecha],tblComprasPM[Codigo],tblMaestroEquipos[[#This Row],[Codigo]])=0,"",_xlfn.MINIFS(tblComprasPM[Fecha],tblComprasPM[Codigo],tblMaestroEquipos[[#This Row],[Codigo]])),"")</f>
        <v>46093.724767326399</v>
      </c>
      <c r="AA58" s="25" t="str">
        <f>IFERROR(IF(_xlfn.MAXIFS(tblBodega[Fecha],tblBodega[Codigo],tblMaestroEquipos[[#This Row],[Codigo]])=0,"",_xlfn.MAXIFS(tblBodega[Fecha],tblBodega[Codigo],tblMaestroEquipos[[#This Row],[Codigo]])),"")</f>
        <v/>
      </c>
      <c r="AB5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52</v>
      </c>
      <c r="AC5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5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58" s="51" t="str">
        <f t="shared" si="9"/>
        <v>FUERA DE SERVICIO</v>
      </c>
      <c r="AF58" s="18" t="str">
        <f t="shared" si="3"/>
        <v>NO APLICA</v>
      </c>
      <c r="AG58" s="18" t="str">
        <f t="shared" si="4"/>
        <v>No programar compra</v>
      </c>
      <c r="AH58" s="27">
        <f t="shared" si="5"/>
        <v>0</v>
      </c>
      <c r="AI58" s="27" t="str">
        <f t="shared" si="6"/>
        <v/>
      </c>
      <c r="AJ58" s="24">
        <f t="shared" si="7"/>
        <v>99</v>
      </c>
    </row>
    <row r="59" spans="1:36">
      <c r="A59" s="18" t="s">
        <v>240</v>
      </c>
      <c r="B59" s="18" t="s">
        <v>230</v>
      </c>
      <c r="C59" s="18" t="s">
        <v>1070</v>
      </c>
      <c r="D59" s="18" t="s">
        <v>241</v>
      </c>
      <c r="E59" s="19" t="s">
        <v>242</v>
      </c>
      <c r="F59" s="18">
        <v>2014</v>
      </c>
      <c r="G59" s="18" t="str" cm="1">
        <f t="array" ref="G59">IFERROR(INDEX(Lecturas!$E$4:$E$3549,MATCH(1,(Lecturas!$B$4:$B$3549=$A59)*(Lecturas!$E$4:$E$3549&lt;&gt;"")*(Lecturas!$A$4:$A$3549=_xlfn.MAXIFS(Lecturas!$A$4:$A$3549,Lecturas!$B$4:$B$3549,$A59,Lecturas!$E$4:$E$3549,"&lt;&gt;")),0)),"")</f>
        <v/>
      </c>
      <c r="H59" s="18" t="s">
        <v>237</v>
      </c>
      <c r="I59" s="18" t="s">
        <v>18</v>
      </c>
      <c r="J59" s="18">
        <v>250</v>
      </c>
      <c r="K59" s="18">
        <f>IFERROR(IF($I59="KM",ROUND((_xlfn.MAXIFS(tblLecturas[Kilometraje],tblLecturas[Codigo],$A59)-_xlfn.MINIFS(tblLecturas[Kilometraje],tblLecturas[Codigo],$A59))/(MAX(1,_xlfn.MAXIFS(tblLecturas[Fecha],tblLecturas[Codigo],$A59)-_xlfn.MINIFS(tblLecturas[Fecha],tblLecturas[Codigo],$A59))),1),ROUND((_xlfn.MAXIFS(tblLecturas[Horometro],tblLecturas[Codigo],$A59)-_xlfn.MINIFS(tblLecturas[Horometro],tblLecturas[Codigo],$A59))/(MAX(1,_xlfn.MAXIFS(tblLecturas[Fecha],tblLecturas[Codigo],$A59)-_xlfn.MINIFS(tblLecturas[Fecha],tblLecturas[Codigo],$A59))),1)),"")</f>
        <v>0</v>
      </c>
      <c r="L59" s="20">
        <f>IFERROR(_xlfn.MAXIFS(tblLecturas[Fecha],tblLecturas[Codigo],$A59),"")</f>
        <v>0</v>
      </c>
      <c r="M59" s="26">
        <f>IFERROR(_xlfn.MAXIFS(Lecturas!$C:$C,Lecturas!$B:$B,$A59,Lecturas!$C:$C,"&gt;0"),"")</f>
        <v>0</v>
      </c>
      <c r="N59" s="78">
        <f>IFERROR(_xlfn.MAXIFS(tblLecturas[Kilometraje],tblLecturas[Codigo],$A59,tblLecturas[Kilometraje],"&gt;0"),"")</f>
        <v>0</v>
      </c>
      <c r="O59" s="78" t="str" cm="1">
        <f t="array" ref="O59">IFERROR(IF($I59="KM",LOOKUP(2,1/(Lecturas!$B:$B=$A59)/(Lecturas!$D:$D&gt;0),Lecturas!$D:$D),LOOKUP(2,1/(Lecturas!$B:$B=$A59)/(Lecturas!$C:$C&gt;0),Lecturas!$C:$C)),"")</f>
        <v/>
      </c>
      <c r="P59" s="20">
        <f>IFERROR(_xlfn.MAXIFS(tblMantenciones[Fecha],tblMantenciones[Codigo],tblMaestroEquipos[[#This Row],[Codigo]],tblMantenciones[EsPM],"Sí"),"")</f>
        <v>0</v>
      </c>
      <c r="Q59" s="78" t="str">
        <f>IF(_xlfn.MAXIFS(Mantenciones!$D:$D,Mantenciones!$B:$B,A59)=0,"Sin datos de mantención registrado",_xlfn.MAXIFS(Mantenciones!$D:$D,Mantenciones!$B:$B,A59))</f>
        <v>Sin datos de mantención registrado</v>
      </c>
      <c r="R59" s="18" t="str">
        <f>IFERROR(IF(_xlfn.MAXIFS(Mantenciones!$D:$D,Mantenciones!$B:$B,$A59,Mantenciones!$E:$E,"Sí",Mantenciones!$D:$D,"&gt;0")=0,"Sin datos de mantención registrado",_xlfn.MAXIFS(Mantenciones!$D:$D,Mantenciones!$B:$B,$A59,Mantenciones!$E:$E,"Sí",Mantenciones!$D:$D,"&gt;0")),"Sin datos de mantención registrado")</f>
        <v>Sin datos de mantención registrado</v>
      </c>
      <c r="S59" s="21">
        <f>IFERROR(SUMIFS(tblMantenciones[Costo Mantencion CLP],tblMantenciones[Codigo],A59),0)</f>
        <v>0</v>
      </c>
      <c r="T59" s="21">
        <f>IFERROR(SUMIFS(tblComprasPM[Costo PM CLP],tblComprasPM[Codigo],tblMaestroEquipos[[#This Row],[Codigo]]),0)</f>
        <v>0</v>
      </c>
      <c r="U59" s="21">
        <f>IFERROR(tblMaestroEquipos[[#This Row],[Costo Mantenciones CLP]]+tblMaestroEquipos[[#This Row],[Costo Compras PM CLP]],0)</f>
        <v>0</v>
      </c>
      <c r="V59" s="18" t="str">
        <f>IFERROR(_xlfn.XLOOKUP(tblMaestroEquipos[[#This Row],[Codigo]],tblEquipos[Codigo],tblEquipos[Estado Base]),"")</f>
        <v>Fuera de Servicio</v>
      </c>
      <c r="W59" s="18" t="str">
        <f t="shared" si="0"/>
        <v>FUERA DE SERVICIO</v>
      </c>
      <c r="X59" s="18" t="str">
        <f t="shared" si="1"/>
        <v/>
      </c>
      <c r="Y5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5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59" s="25" t="str">
        <f>IFERROR(IF(_xlfn.MAXIFS(tblBodega[Fecha],tblBodega[Codigo],tblMaestroEquipos[[#This Row],[Codigo]])=0,"",_xlfn.MAXIFS(tblBodega[Fecha],tblBodega[Codigo],tblMaestroEquipos[[#This Row],[Codigo]])),"")</f>
        <v/>
      </c>
      <c r="AB5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5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5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59" s="51" t="str">
        <f t="shared" si="9"/>
        <v>FUERA DE SERVICIO</v>
      </c>
      <c r="AF59" s="18" t="str">
        <f t="shared" si="3"/>
        <v>NO APLICA</v>
      </c>
      <c r="AG59" s="18" t="str">
        <f t="shared" si="4"/>
        <v>No programar compra</v>
      </c>
      <c r="AH59" s="27">
        <f t="shared" si="5"/>
        <v>0</v>
      </c>
      <c r="AI59" s="27" t="str">
        <f t="shared" si="6"/>
        <v/>
      </c>
      <c r="AJ59" s="24">
        <f t="shared" si="7"/>
        <v>99</v>
      </c>
    </row>
    <row r="60" spans="1:36">
      <c r="A60" s="18" t="s">
        <v>251</v>
      </c>
      <c r="B60" s="18" t="s">
        <v>230</v>
      </c>
      <c r="C60" s="18" t="s">
        <v>1070</v>
      </c>
      <c r="D60" s="18" t="s">
        <v>252</v>
      </c>
      <c r="E60" s="19" t="s">
        <v>253</v>
      </c>
      <c r="F60" s="18">
        <v>2008</v>
      </c>
      <c r="G60" s="18" t="str" cm="1">
        <f t="array" ref="G60">IFERROR(INDEX(Lecturas!$E$4:$E$3549,MATCH(1,(Lecturas!$B$4:$B$3549=$A60)*(Lecturas!$E$4:$E$3549&lt;&gt;"")*(Lecturas!$A$4:$A$3549=_xlfn.MAXIFS(Lecturas!$A$4:$A$3549,Lecturas!$B$4:$B$3549,$A60,Lecturas!$E$4:$E$3549,"&lt;&gt;")),0)),"")</f>
        <v/>
      </c>
      <c r="H60" s="18"/>
      <c r="I60" s="18" t="s">
        <v>18</v>
      </c>
      <c r="J60" s="18">
        <v>250</v>
      </c>
      <c r="K60" s="18">
        <f>IFERROR(IF($I60="KM",ROUND((_xlfn.MAXIFS(tblLecturas[Kilometraje],tblLecturas[Codigo],$A60)-_xlfn.MINIFS(tblLecturas[Kilometraje],tblLecturas[Codigo],$A60))/(MAX(1,_xlfn.MAXIFS(tblLecturas[Fecha],tblLecturas[Codigo],$A60)-_xlfn.MINIFS(tblLecturas[Fecha],tblLecturas[Codigo],$A60))),1),ROUND((_xlfn.MAXIFS(tblLecturas[Horometro],tblLecturas[Codigo],$A60)-_xlfn.MINIFS(tblLecturas[Horometro],tblLecturas[Codigo],$A60))/(MAX(1,_xlfn.MAXIFS(tblLecturas[Fecha],tblLecturas[Codigo],$A60)-_xlfn.MINIFS(tblLecturas[Fecha],tblLecturas[Codigo],$A60))),1)),"")</f>
        <v>0</v>
      </c>
      <c r="L60" s="20">
        <f>IFERROR(_xlfn.MAXIFS(tblLecturas[Fecha],tblLecturas[Codigo],$A60),"")</f>
        <v>0</v>
      </c>
      <c r="M60" s="26">
        <f>IFERROR(_xlfn.MAXIFS(Lecturas!$C:$C,Lecturas!$B:$B,$A60,Lecturas!$C:$C,"&gt;0"),"")</f>
        <v>0</v>
      </c>
      <c r="N60" s="78">
        <f>IFERROR(_xlfn.MAXIFS(tblLecturas[Kilometraje],tblLecturas[Codigo],$A60,tblLecturas[Kilometraje],"&gt;0"),"")</f>
        <v>0</v>
      </c>
      <c r="O60" s="78" t="str" cm="1">
        <f t="array" ref="O60">IFERROR(IF($I60="KM",LOOKUP(2,1/(Lecturas!$B:$B=$A60)/(Lecturas!$D:$D&gt;0),Lecturas!$D:$D),LOOKUP(2,1/(Lecturas!$B:$B=$A60)/(Lecturas!$C:$C&gt;0),Lecturas!$C:$C)),"")</f>
        <v/>
      </c>
      <c r="P60" s="20">
        <f>IFERROR(_xlfn.MAXIFS(tblMantenciones[Fecha],tblMantenciones[Codigo],tblMaestroEquipos[[#This Row],[Codigo]],tblMantenciones[EsPM],"Sí"),"")</f>
        <v>0</v>
      </c>
      <c r="Q60" s="78" t="str">
        <f>IF(_xlfn.MAXIFS(Mantenciones!$D:$D,Mantenciones!$B:$B,A60)=0,"Sin datos de mantención registrado",_xlfn.MAXIFS(Mantenciones!$D:$D,Mantenciones!$B:$B,A60))</f>
        <v>Sin datos de mantención registrado</v>
      </c>
      <c r="R60" s="18" t="str">
        <f>IFERROR(IF(_xlfn.MAXIFS(Mantenciones!$D:$D,Mantenciones!$B:$B,$A60,Mantenciones!$E:$E,"Sí",Mantenciones!$D:$D,"&gt;0")=0,"Sin datos de mantención registrado",_xlfn.MAXIFS(Mantenciones!$D:$D,Mantenciones!$B:$B,$A60,Mantenciones!$E:$E,"Sí",Mantenciones!$D:$D,"&gt;0")),"Sin datos de mantención registrado")</f>
        <v>Sin datos de mantención registrado</v>
      </c>
      <c r="S60" s="21">
        <f>IFERROR(SUMIFS(tblMantenciones[Costo Mantencion CLP],tblMantenciones[Codigo],A60),0)</f>
        <v>0</v>
      </c>
      <c r="T60" s="21">
        <f>IFERROR(SUMIFS(tblComprasPM[Costo PM CLP],tblComprasPM[Codigo],tblMaestroEquipos[[#This Row],[Codigo]]),0)</f>
        <v>0</v>
      </c>
      <c r="U60" s="21">
        <f>IFERROR(tblMaestroEquipos[[#This Row],[Costo Mantenciones CLP]]+tblMaestroEquipos[[#This Row],[Costo Compras PM CLP]],0)</f>
        <v>0</v>
      </c>
      <c r="V60" s="18" t="str">
        <f>IFERROR(_xlfn.XLOOKUP(tblMaestroEquipos[[#This Row],[Codigo]],tblEquipos[Codigo],tblEquipos[Estado Base]),"")</f>
        <v>Operativo</v>
      </c>
      <c r="W60" s="18" t="str">
        <f t="shared" si="0"/>
        <v>AL DÍA</v>
      </c>
      <c r="X60" s="18" t="str">
        <f t="shared" si="1"/>
        <v/>
      </c>
      <c r="Y6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6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60" s="25" t="str">
        <f>IFERROR(IF(_xlfn.MAXIFS(tblBodega[Fecha],tblBodega[Codigo],tblMaestroEquipos[[#This Row],[Codigo]])=0,"",_xlfn.MAXIFS(tblBodega[Fecha],tblBodega[Codigo],tblMaestroEquipos[[#This Row],[Codigo]])),"")</f>
        <v/>
      </c>
      <c r="AB6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6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6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60" s="51" t="str">
        <f t="shared" si="9"/>
        <v>OPERATIVO</v>
      </c>
      <c r="AF60" s="18" t="str">
        <f t="shared" si="3"/>
        <v>BAJA</v>
      </c>
      <c r="AG60" s="18" t="str">
        <f t="shared" si="4"/>
        <v>Monitorear próximo vencimiento</v>
      </c>
      <c r="AH60">
        <f t="shared" si="5"/>
        <v>0</v>
      </c>
      <c r="AI60" t="str">
        <f t="shared" si="6"/>
        <v/>
      </c>
      <c r="AJ60" s="24">
        <f t="shared" si="7"/>
        <v>99</v>
      </c>
    </row>
    <row r="61" spans="1:36">
      <c r="A61" s="18" t="s">
        <v>256</v>
      </c>
      <c r="B61" s="18" t="s">
        <v>230</v>
      </c>
      <c r="C61" s="18" t="s">
        <v>1070</v>
      </c>
      <c r="D61" s="18" t="s">
        <v>231</v>
      </c>
      <c r="E61" s="19" t="s">
        <v>257</v>
      </c>
      <c r="F61" s="18">
        <v>2014</v>
      </c>
      <c r="G61" s="18" t="str" cm="1">
        <f t="array" ref="G61">IFERROR(INDEX(Lecturas!$E$4:$E$3549,MATCH(1,(Lecturas!$B$4:$B$3549=$A61)*(Lecturas!$E$4:$E$3549&lt;&gt;"")*(Lecturas!$A$4:$A$3549=_xlfn.MAXIFS(Lecturas!$A$4:$A$3549,Lecturas!$B$4:$B$3549,$A61,Lecturas!$E$4:$E$3549,"&lt;&gt;")),0)),"")</f>
        <v/>
      </c>
      <c r="H61" s="18" t="s">
        <v>233</v>
      </c>
      <c r="I61" s="18" t="s">
        <v>18</v>
      </c>
      <c r="J61" s="18">
        <v>250</v>
      </c>
      <c r="K61" s="18">
        <f>IFERROR(IF($I61="KM",ROUND((_xlfn.MAXIFS(tblLecturas[Kilometraje],tblLecturas[Codigo],$A61)-_xlfn.MINIFS(tblLecturas[Kilometraje],tblLecturas[Codigo],$A61))/(MAX(1,_xlfn.MAXIFS(tblLecturas[Fecha],tblLecturas[Codigo],$A61)-_xlfn.MINIFS(tblLecturas[Fecha],tblLecturas[Codigo],$A61))),1),ROUND((_xlfn.MAXIFS(tblLecturas[Horometro],tblLecturas[Codigo],$A61)-_xlfn.MINIFS(tblLecturas[Horometro],tblLecturas[Codigo],$A61))/(MAX(1,_xlfn.MAXIFS(tblLecturas[Fecha],tblLecturas[Codigo],$A61)-_xlfn.MINIFS(tblLecturas[Fecha],tblLecturas[Codigo],$A61))),1)),"")</f>
        <v>0</v>
      </c>
      <c r="L61" s="20">
        <f>IFERROR(_xlfn.MAXIFS(tblLecturas[Fecha],tblLecturas[Codigo],$A61),"")</f>
        <v>0</v>
      </c>
      <c r="M61" s="26">
        <f>IFERROR(_xlfn.MAXIFS(Lecturas!$C:$C,Lecturas!$B:$B,$A61,Lecturas!$C:$C,"&gt;0"),"")</f>
        <v>0</v>
      </c>
      <c r="N61" s="78">
        <f>IFERROR(_xlfn.MAXIFS(tblLecturas[Kilometraje],tblLecturas[Codigo],$A61,tblLecturas[Kilometraje],"&gt;0"),"")</f>
        <v>0</v>
      </c>
      <c r="O61" s="78" t="str" cm="1">
        <f t="array" ref="O61">IFERROR(IF($I61="KM",LOOKUP(2,1/(Lecturas!$B:$B=$A61)/(Lecturas!$D:$D&gt;0),Lecturas!$D:$D),LOOKUP(2,1/(Lecturas!$B:$B=$A61)/(Lecturas!$C:$C&gt;0),Lecturas!$C:$C)),"")</f>
        <v/>
      </c>
      <c r="P61" s="20">
        <f>IFERROR(_xlfn.MAXIFS(tblMantenciones[Fecha],tblMantenciones[Codigo],tblMaestroEquipos[[#This Row],[Codigo]],tblMantenciones[EsPM],"Sí"),"")</f>
        <v>0</v>
      </c>
      <c r="Q61" s="78" t="str">
        <f>IF(_xlfn.MAXIFS(Mantenciones!$D:$D,Mantenciones!$B:$B,A61)=0,"Sin datos de mantención registrado",_xlfn.MAXIFS(Mantenciones!$D:$D,Mantenciones!$B:$B,A61))</f>
        <v>Sin datos de mantención registrado</v>
      </c>
      <c r="R61" s="18" t="str">
        <f>IFERROR(IF(_xlfn.MAXIFS(Mantenciones!$D:$D,Mantenciones!$B:$B,$A61,Mantenciones!$E:$E,"Sí",Mantenciones!$D:$D,"&gt;0")=0,"Sin datos de mantención registrado",_xlfn.MAXIFS(Mantenciones!$D:$D,Mantenciones!$B:$B,$A61,Mantenciones!$E:$E,"Sí",Mantenciones!$D:$D,"&gt;0")),"Sin datos de mantención registrado")</f>
        <v>Sin datos de mantención registrado</v>
      </c>
      <c r="S61" s="21">
        <f>IFERROR(SUMIFS(tblMantenciones[Costo Mantencion CLP],tblMantenciones[Codigo],A61),0)</f>
        <v>0</v>
      </c>
      <c r="T61" s="21">
        <f>IFERROR(SUMIFS(tblComprasPM[Costo PM CLP],tblComprasPM[Codigo],tblMaestroEquipos[[#This Row],[Codigo]]),0)</f>
        <v>0</v>
      </c>
      <c r="U61" s="21">
        <f>IFERROR(tblMaestroEquipos[[#This Row],[Costo Mantenciones CLP]]+tblMaestroEquipos[[#This Row],[Costo Compras PM CLP]],0)</f>
        <v>0</v>
      </c>
      <c r="V61" s="18" t="str">
        <f>IFERROR(_xlfn.XLOOKUP(tblMaestroEquipos[[#This Row],[Codigo]],tblEquipos[Codigo],tblEquipos[Estado Base]),"")</f>
        <v>Operativo</v>
      </c>
      <c r="W61" s="18" t="str">
        <f t="shared" si="0"/>
        <v>AL DÍA</v>
      </c>
      <c r="X61" s="18" t="str">
        <f t="shared" si="1"/>
        <v/>
      </c>
      <c r="Y6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61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61" s="25" t="str">
        <f>IFERROR(IF(_xlfn.MAXIFS(tblBodega[Fecha],tblBodega[Codigo],tblMaestroEquipos[[#This Row],[Codigo]])=0,"",_xlfn.MAXIFS(tblBodega[Fecha],tblBodega[Codigo],tblMaestroEquipos[[#This Row],[Codigo]])),"")</f>
        <v/>
      </c>
      <c r="AB61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6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6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61" s="51" t="str">
        <f t="shared" si="9"/>
        <v>OPERATIVO</v>
      </c>
      <c r="AF61" s="18" t="str">
        <f t="shared" si="3"/>
        <v>BAJA</v>
      </c>
      <c r="AG61" s="18" t="str">
        <f t="shared" si="4"/>
        <v>Monitorear próximo vencimiento</v>
      </c>
      <c r="AH61">
        <f t="shared" si="5"/>
        <v>0</v>
      </c>
      <c r="AI61" t="str">
        <f t="shared" si="6"/>
        <v/>
      </c>
      <c r="AJ61" s="24">
        <f t="shared" si="7"/>
        <v>99</v>
      </c>
    </row>
    <row r="62" spans="1:36">
      <c r="A62" s="18" t="s">
        <v>283</v>
      </c>
      <c r="B62" s="18" t="s">
        <v>284</v>
      </c>
      <c r="C62" s="18" t="s">
        <v>1070</v>
      </c>
      <c r="D62" s="18" t="s">
        <v>285</v>
      </c>
      <c r="E62" s="19" t="s">
        <v>286</v>
      </c>
      <c r="F62" s="18">
        <v>2016</v>
      </c>
      <c r="G62" s="18" t="str" cm="1">
        <f t="array" ref="G62">IFERROR(INDEX(Lecturas!$E$4:$E$3549,MATCH(1,(Lecturas!$B$4:$B$3549=$A62)*(Lecturas!$E$4:$E$3549&lt;&gt;"")*(Lecturas!$A$4:$A$3549=_xlfn.MAXIFS(Lecturas!$A$4:$A$3549,Lecturas!$B$4:$B$3549,$A62,Lecturas!$E$4:$E$3549,"&lt;&gt;")),0)),"")</f>
        <v/>
      </c>
      <c r="H62" s="18"/>
      <c r="I62" s="18" t="s">
        <v>18</v>
      </c>
      <c r="J62" s="18">
        <v>250</v>
      </c>
      <c r="K62" s="18">
        <f>IFERROR(IF($I62="KM",ROUND((_xlfn.MAXIFS(tblLecturas[Kilometraje],tblLecturas[Codigo],$A62)-_xlfn.MINIFS(tblLecturas[Kilometraje],tblLecturas[Codigo],$A62))/(MAX(1,_xlfn.MAXIFS(tblLecturas[Fecha],tblLecturas[Codigo],$A62)-_xlfn.MINIFS(tblLecturas[Fecha],tblLecturas[Codigo],$A62))),1),ROUND((_xlfn.MAXIFS(tblLecturas[Horometro],tblLecturas[Codigo],$A62)-_xlfn.MINIFS(tblLecturas[Horometro],tblLecturas[Codigo],$A62))/(MAX(1,_xlfn.MAXIFS(tblLecturas[Fecha],tblLecturas[Codigo],$A62)-_xlfn.MINIFS(tblLecturas[Fecha],tblLecturas[Codigo],$A62))),1)),"")</f>
        <v>0</v>
      </c>
      <c r="L62" s="20">
        <f>IFERROR(_xlfn.MAXIFS(tblLecturas[Fecha],tblLecturas[Codigo],$A62),"")</f>
        <v>0</v>
      </c>
      <c r="M62" s="26">
        <f>IFERROR(_xlfn.MAXIFS(Lecturas!$C:$C,Lecturas!$B:$B,$A62,Lecturas!$C:$C,"&gt;0"),"")</f>
        <v>0</v>
      </c>
      <c r="N62" s="78">
        <f>IFERROR(_xlfn.MAXIFS(tblLecturas[Kilometraje],tblLecturas[Codigo],$A62,tblLecturas[Kilometraje],"&gt;0"),"")</f>
        <v>0</v>
      </c>
      <c r="O62" s="78" t="str" cm="1">
        <f t="array" ref="O62">IFERROR(IF($I62="KM",LOOKUP(2,1/(Lecturas!$B:$B=$A62)/(Lecturas!$D:$D&gt;0),Lecturas!$D:$D),LOOKUP(2,1/(Lecturas!$B:$B=$A62)/(Lecturas!$C:$C&gt;0),Lecturas!$C:$C)),"")</f>
        <v/>
      </c>
      <c r="P62" s="20">
        <f>IFERROR(_xlfn.MAXIFS(tblMantenciones[Fecha],tblMantenciones[Codigo],tblMaestroEquipos[[#This Row],[Codigo]],tblMantenciones[EsPM],"Sí"),"")</f>
        <v>0</v>
      </c>
      <c r="Q62" s="78" t="str">
        <f>IF(_xlfn.MAXIFS(Mantenciones!$D:$D,Mantenciones!$B:$B,A62)=0,"Sin datos de mantención registrado",_xlfn.MAXIFS(Mantenciones!$D:$D,Mantenciones!$B:$B,A62))</f>
        <v>Sin datos de mantención registrado</v>
      </c>
      <c r="R62" s="18" t="str">
        <f>IFERROR(IF(_xlfn.MAXIFS(Mantenciones!$D:$D,Mantenciones!$B:$B,$A62,Mantenciones!$E:$E,"Sí",Mantenciones!$D:$D,"&gt;0")=0,"Sin datos de mantención registrado",_xlfn.MAXIFS(Mantenciones!$D:$D,Mantenciones!$B:$B,$A62,Mantenciones!$E:$E,"Sí",Mantenciones!$D:$D,"&gt;0")),"Sin datos de mantención registrado")</f>
        <v>Sin datos de mantención registrado</v>
      </c>
      <c r="S62" s="21">
        <f>IFERROR(SUMIFS(tblMantenciones[Costo Mantencion CLP],tblMantenciones[Codigo],A62),0)</f>
        <v>0</v>
      </c>
      <c r="T62" s="21">
        <f>IFERROR(SUMIFS(tblComprasPM[Costo PM CLP],tblComprasPM[Codigo],tblMaestroEquipos[[#This Row],[Codigo]]),0)</f>
        <v>0</v>
      </c>
      <c r="U62" s="21">
        <f>IFERROR(tblMaestroEquipos[[#This Row],[Costo Mantenciones CLP]]+tblMaestroEquipos[[#This Row],[Costo Compras PM CLP]],0)</f>
        <v>0</v>
      </c>
      <c r="V62" s="18" t="str">
        <f>IFERROR(_xlfn.XLOOKUP(tblMaestroEquipos[[#This Row],[Codigo]],tblEquipos[Codigo],tblEquipos[Estado Base]),"")</f>
        <v>No operativo</v>
      </c>
      <c r="W62" s="18" t="str">
        <f t="shared" si="0"/>
        <v>AL DÍA</v>
      </c>
      <c r="X62" s="18" t="str">
        <f t="shared" si="1"/>
        <v/>
      </c>
      <c r="Y6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6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62" s="25" t="str">
        <f>IFERROR(IF(_xlfn.MAXIFS(tblBodega[Fecha],tblBodega[Codigo],tblMaestroEquipos[[#This Row],[Codigo]])=0,"",_xlfn.MAXIFS(tblBodega[Fecha],tblBodega[Codigo],tblMaestroEquipos[[#This Row],[Codigo]])),"")</f>
        <v/>
      </c>
      <c r="AB6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6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6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62" s="51" t="str">
        <f t="shared" si="9"/>
        <v>OPERATIVO</v>
      </c>
      <c r="AF62" s="18" t="str">
        <f t="shared" si="3"/>
        <v>BAJA</v>
      </c>
      <c r="AG62" s="18" t="str">
        <f t="shared" si="4"/>
        <v>Monitorear próximo vencimiento</v>
      </c>
      <c r="AH62">
        <f t="shared" si="5"/>
        <v>0</v>
      </c>
      <c r="AI62" t="str">
        <f t="shared" si="6"/>
        <v/>
      </c>
      <c r="AJ62" s="24">
        <f t="shared" si="7"/>
        <v>99</v>
      </c>
    </row>
    <row r="63" spans="1:36">
      <c r="A63" s="18" t="s">
        <v>310</v>
      </c>
      <c r="B63" s="18" t="s">
        <v>259</v>
      </c>
      <c r="C63" s="18" t="s">
        <v>1070</v>
      </c>
      <c r="D63" s="18" t="s">
        <v>265</v>
      </c>
      <c r="E63" s="19" t="s">
        <v>311</v>
      </c>
      <c r="F63" s="18">
        <v>2008</v>
      </c>
      <c r="G63" s="18" t="str" cm="1">
        <f t="array" ref="G63">IFERROR(INDEX(Lecturas!$E$4:$E$3549,MATCH(1,(Lecturas!$B$4:$B$3549=$A63)*(Lecturas!$E$4:$E$3549&lt;&gt;"")*(Lecturas!$A$4:$A$3549=_xlfn.MAXIFS(Lecturas!$A$4:$A$3549,Lecturas!$B$4:$B$3549,$A63,Lecturas!$E$4:$E$3549,"&lt;&gt;")),0)),"")</f>
        <v/>
      </c>
      <c r="H63" s="18" t="s">
        <v>53</v>
      </c>
      <c r="I63" s="18" t="s">
        <v>18</v>
      </c>
      <c r="J63" s="18">
        <v>250</v>
      </c>
      <c r="K63" s="18">
        <f>IFERROR(IF($I63="KM",ROUND((_xlfn.MAXIFS(tblLecturas[Kilometraje],tblLecturas[Codigo],$A63)-_xlfn.MINIFS(tblLecturas[Kilometraje],tblLecturas[Codigo],$A63))/(MAX(1,_xlfn.MAXIFS(tblLecturas[Fecha],tblLecturas[Codigo],$A63)-_xlfn.MINIFS(tblLecturas[Fecha],tblLecturas[Codigo],$A63))),1),ROUND((_xlfn.MAXIFS(tblLecturas[Horometro],tblLecturas[Codigo],$A63)-_xlfn.MINIFS(tblLecturas[Horometro],tblLecturas[Codigo],$A63))/(MAX(1,_xlfn.MAXIFS(tblLecturas[Fecha],tblLecturas[Codigo],$A63)-_xlfn.MINIFS(tblLecturas[Fecha],tblLecturas[Codigo],$A63))),1)),"")</f>
        <v>0</v>
      </c>
      <c r="L63" s="20">
        <f>IFERROR(_xlfn.MAXIFS(tblLecturas[Fecha],tblLecturas[Codigo],$A63),"")</f>
        <v>45061</v>
      </c>
      <c r="M63" s="26">
        <f>IFERROR(_xlfn.MAXIFS(Lecturas!$C:$C,Lecturas!$B:$B,$A63,Lecturas!$C:$C,"&gt;0"),"")</f>
        <v>10128</v>
      </c>
      <c r="N63" s="78">
        <f>IFERROR(_xlfn.MAXIFS(tblLecturas[Kilometraje],tblLecturas[Codigo],$A63,tblLecturas[Kilometraje],"&gt;0"),"")</f>
        <v>0</v>
      </c>
      <c r="O63" s="78" cm="1">
        <f t="array" ref="O63">IFERROR(IF($I63="KM",LOOKUP(2,1/(Lecturas!$B:$B=$A63)/(Lecturas!$D:$D&gt;0),Lecturas!$D:$D),LOOKUP(2,1/(Lecturas!$B:$B=$A63)/(Lecturas!$C:$C&gt;0),Lecturas!$C:$C)),"")</f>
        <v>10128</v>
      </c>
      <c r="P63" s="20">
        <f>IFERROR(_xlfn.MAXIFS(tblMantenciones[Fecha],tblMantenciones[Codigo],tblMaestroEquipos[[#This Row],[Codigo]],tblMantenciones[EsPM],"Sí"),"")</f>
        <v>0</v>
      </c>
      <c r="Q63" s="78" t="str">
        <f>IF(_xlfn.MAXIFS(Mantenciones!$D:$D,Mantenciones!$B:$B,A63)=0,"Sin datos de mantención registrado",_xlfn.MAXIFS(Mantenciones!$D:$D,Mantenciones!$B:$B,A63))</f>
        <v>Sin datos de mantención registrado</v>
      </c>
      <c r="R63" s="18" t="str">
        <f>IFERROR(IF(_xlfn.MAXIFS(Mantenciones!$D:$D,Mantenciones!$B:$B,$A63,Mantenciones!$E:$E,"Sí",Mantenciones!$D:$D,"&gt;0")=0,"Sin datos de mantención registrado",_xlfn.MAXIFS(Mantenciones!$D:$D,Mantenciones!$B:$B,$A63,Mantenciones!$E:$E,"Sí",Mantenciones!$D:$D,"&gt;0")),"Sin datos de mantención registrado")</f>
        <v>Sin datos de mantención registrado</v>
      </c>
      <c r="S63" s="21">
        <f>IFERROR(SUMIFS(tblMantenciones[Costo Mantencion CLP],tblMantenciones[Codigo],A63),0)</f>
        <v>0</v>
      </c>
      <c r="T63" s="21">
        <f>IFERROR(SUMIFS(tblComprasPM[Costo PM CLP],tblComprasPM[Codigo],tblMaestroEquipos[[#This Row],[Codigo]]),0)</f>
        <v>0</v>
      </c>
      <c r="U63" s="21">
        <f>IFERROR(tblMaestroEquipos[[#This Row],[Costo Mantenciones CLP]]+tblMaestroEquipos[[#This Row],[Costo Compras PM CLP]],0)</f>
        <v>0</v>
      </c>
      <c r="V63" s="18" t="str">
        <f>IFERROR(_xlfn.XLOOKUP(tblMaestroEquipos[[#This Row],[Codigo]],tblEquipos[Codigo],tblEquipos[Estado Base]),"")</f>
        <v>Taller</v>
      </c>
      <c r="W63" s="18" t="str">
        <f t="shared" si="0"/>
        <v>EN TALLER</v>
      </c>
      <c r="X63" s="18" t="str">
        <f t="shared" si="1"/>
        <v/>
      </c>
      <c r="Y63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63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63" s="25" t="str">
        <f>IFERROR(IF(_xlfn.MAXIFS(tblBodega[Fecha],tblBodega[Codigo],tblMaestroEquipos[[#This Row],[Codigo]])=0,"",_xlfn.MAXIFS(tblBodega[Fecha],tblBodega[Codigo],tblMaestroEquipos[[#This Row],[Codigo]])),"")</f>
        <v/>
      </c>
      <c r="AB63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6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6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63" s="51" t="str">
        <f t="shared" si="9"/>
        <v>EN TALLER</v>
      </c>
      <c r="AF63" s="18" t="str">
        <f t="shared" si="3"/>
        <v>BAJA</v>
      </c>
      <c r="AG63" s="18" t="str">
        <f t="shared" si="4"/>
        <v>Monitorear próximo vencimiento</v>
      </c>
      <c r="AH63" s="27">
        <f t="shared" si="5"/>
        <v>0</v>
      </c>
      <c r="AI63" s="27" t="str">
        <f t="shared" si="6"/>
        <v/>
      </c>
      <c r="AJ63" s="24">
        <f t="shared" si="7"/>
        <v>99</v>
      </c>
    </row>
    <row r="64" spans="1:36">
      <c r="A64" s="18" t="s">
        <v>316</v>
      </c>
      <c r="B64" s="18" t="s">
        <v>279</v>
      </c>
      <c r="C64" s="18" t="s">
        <v>1070</v>
      </c>
      <c r="D64" s="18" t="s">
        <v>317</v>
      </c>
      <c r="E64" s="19" t="s">
        <v>318</v>
      </c>
      <c r="F64" s="18">
        <v>2012</v>
      </c>
      <c r="G64" s="18" t="str" cm="1">
        <f t="array" ref="G64">IFERROR(INDEX(Lecturas!$E$4:$E$3549,MATCH(1,(Lecturas!$B$4:$B$3549=$A64)*(Lecturas!$E$4:$E$3549&lt;&gt;"")*(Lecturas!$A$4:$A$3549=_xlfn.MAXIFS(Lecturas!$A$4:$A$3549,Lecturas!$B$4:$B$3549,$A64,Lecturas!$E$4:$E$3549,"&lt;&gt;")),0)),"")</f>
        <v/>
      </c>
      <c r="H64" s="18" t="s">
        <v>53</v>
      </c>
      <c r="I64" s="18" t="s">
        <v>18</v>
      </c>
      <c r="J64" s="18">
        <v>250</v>
      </c>
      <c r="K64" s="18">
        <f>IFERROR(IF($I64="KM",ROUND((_xlfn.MAXIFS(tblLecturas[Kilometraje],tblLecturas[Codigo],$A64)-_xlfn.MINIFS(tblLecturas[Kilometraje],tblLecturas[Codigo],$A64))/(MAX(1,_xlfn.MAXIFS(tblLecturas[Fecha],tblLecturas[Codigo],$A64)-_xlfn.MINIFS(tblLecturas[Fecha],tblLecturas[Codigo],$A64))),1),ROUND((_xlfn.MAXIFS(tblLecturas[Horometro],tblLecturas[Codigo],$A64)-_xlfn.MINIFS(tblLecturas[Horometro],tblLecturas[Codigo],$A64))/(MAX(1,_xlfn.MAXIFS(tblLecturas[Fecha],tblLecturas[Codigo],$A64)-_xlfn.MINIFS(tblLecturas[Fecha],tblLecturas[Codigo],$A64))),1)),"")</f>
        <v>0</v>
      </c>
      <c r="L64" s="20">
        <f>IFERROR(_xlfn.MAXIFS(tblLecturas[Fecha],tblLecturas[Codigo],$A64),"")</f>
        <v>46108</v>
      </c>
      <c r="M64" s="26">
        <f>IFERROR(_xlfn.MAXIFS(Lecturas!$C:$C,Lecturas!$B:$B,$A64,Lecturas!$C:$C,"&gt;0"),"")</f>
        <v>14098</v>
      </c>
      <c r="N64" s="78">
        <f>IFERROR(_xlfn.MAXIFS(tblLecturas[Kilometraje],tblLecturas[Codigo],$A64,tblLecturas[Kilometraje],"&gt;0"),"")</f>
        <v>0</v>
      </c>
      <c r="O64" s="78" cm="1">
        <f t="array" ref="O64">IFERROR(IF($I64="KM",LOOKUP(2,1/(Lecturas!$B:$B=$A64)/(Lecturas!$D:$D&gt;0),Lecturas!$D:$D),LOOKUP(2,1/(Lecturas!$B:$B=$A64)/(Lecturas!$C:$C&gt;0),Lecturas!$C:$C)),"")</f>
        <v>14098</v>
      </c>
      <c r="P64" s="20">
        <f>IFERROR(_xlfn.MAXIFS(tblMantenciones[Fecha],tblMantenciones[Codigo],tblMaestroEquipos[[#This Row],[Codigo]],tblMantenciones[EsPM],"Sí"),"")</f>
        <v>46105</v>
      </c>
      <c r="Q64" s="78">
        <f>IF(_xlfn.MAXIFS(Mantenciones!$D:$D,Mantenciones!$B:$B,A64)=0,"Sin datos de mantención registrado",_xlfn.MAXIFS(Mantenciones!$D:$D,Mantenciones!$B:$B,A64))</f>
        <v>13482</v>
      </c>
      <c r="R64" s="18">
        <f>IFERROR(IF(_xlfn.MAXIFS(Mantenciones!$D:$D,Mantenciones!$B:$B,$A64,Mantenciones!$E:$E,"Sí",Mantenciones!$D:$D,"&gt;0")=0,"Sin datos de mantención registrado",_xlfn.MAXIFS(Mantenciones!$D:$D,Mantenciones!$B:$B,$A64,Mantenciones!$E:$E,"Sí",Mantenciones!$D:$D,"&gt;0")),"Sin datos de mantención registrado")</f>
        <v>13482</v>
      </c>
      <c r="S64" s="21">
        <f>IFERROR(SUMIFS(tblMantenciones[Costo Mantencion CLP],tblMantenciones[Codigo],A64),0)</f>
        <v>0</v>
      </c>
      <c r="T64" s="21">
        <f>IFERROR(SUMIFS(tblComprasPM[Costo PM CLP],tblComprasPM[Codigo],tblMaestroEquipos[[#This Row],[Codigo]]),0)</f>
        <v>0</v>
      </c>
      <c r="U64" s="21">
        <f>IFERROR(tblMaestroEquipos[[#This Row],[Costo Mantenciones CLP]]+tblMaestroEquipos[[#This Row],[Costo Compras PM CLP]],0)</f>
        <v>0</v>
      </c>
      <c r="V64" s="18" t="str">
        <f>IFERROR(_xlfn.XLOOKUP(tblMaestroEquipos[[#This Row],[Codigo]],tblEquipos[Codigo],tblEquipos[Estado Base]),"")</f>
        <v>Taller</v>
      </c>
      <c r="W64" s="18" t="str">
        <f t="shared" si="0"/>
        <v>EN TALLER</v>
      </c>
      <c r="X64" s="18">
        <f t="shared" si="1"/>
        <v>-366</v>
      </c>
      <c r="Y64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45742</v>
      </c>
      <c r="Z6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64" s="25">
        <f>IFERROR(IF(_xlfn.MAXIFS(tblBodega[Fecha],tblBodega[Codigo],tblMaestroEquipos[[#This Row],[Codigo]])=0,"",_xlfn.MAXIFS(tblBodega[Fecha],tblBodega[Codigo],tblMaestroEquipos[[#This Row],[Codigo]])),"")</f>
        <v>46105</v>
      </c>
      <c r="AB6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6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6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64" s="51" t="str">
        <f t="shared" si="9"/>
        <v>EN TALLER</v>
      </c>
      <c r="AF64" s="18" t="str">
        <f t="shared" si="3"/>
        <v>BAJA</v>
      </c>
      <c r="AG64" s="18" t="str">
        <f t="shared" si="4"/>
        <v>Monitorear próximo vencimiento</v>
      </c>
      <c r="AH64" s="27">
        <f t="shared" si="5"/>
        <v>0</v>
      </c>
      <c r="AI64" s="27" t="str">
        <f t="shared" si="6"/>
        <v/>
      </c>
      <c r="AJ64" s="24">
        <f t="shared" si="7"/>
        <v>99</v>
      </c>
    </row>
    <row r="65" spans="1:36">
      <c r="A65" s="18" t="s">
        <v>319</v>
      </c>
      <c r="B65" s="18" t="s">
        <v>269</v>
      </c>
      <c r="C65" s="18" t="s">
        <v>1070</v>
      </c>
      <c r="D65" s="18" t="s">
        <v>270</v>
      </c>
      <c r="E65" s="19" t="s">
        <v>271</v>
      </c>
      <c r="F65" s="18">
        <v>2012</v>
      </c>
      <c r="G65" s="18" t="str" cm="1">
        <f t="array" ref="G65">IFERROR(INDEX(Lecturas!$E$4:$E$3549,MATCH(1,(Lecturas!$B$4:$B$3549=$A65)*(Lecturas!$E$4:$E$3549&lt;&gt;"")*(Lecturas!$A$4:$A$3549=_xlfn.MAXIFS(Lecturas!$A$4:$A$3549,Lecturas!$B$4:$B$3549,$A65,Lecturas!$E$4:$E$3549,"&lt;&gt;")),0)),"")</f>
        <v/>
      </c>
      <c r="H65" s="18" t="s">
        <v>320</v>
      </c>
      <c r="I65" s="18" t="s">
        <v>18</v>
      </c>
      <c r="J65" s="18">
        <v>250</v>
      </c>
      <c r="K65" s="18">
        <f>IFERROR(IF($I65="KM",ROUND((_xlfn.MAXIFS(tblLecturas[Kilometraje],tblLecturas[Codigo],$A65)-_xlfn.MINIFS(tblLecturas[Kilometraje],tblLecturas[Codigo],$A65))/(MAX(1,_xlfn.MAXIFS(tblLecturas[Fecha],tblLecturas[Codigo],$A65)-_xlfn.MINIFS(tblLecturas[Fecha],tblLecturas[Codigo],$A65))),1),ROUND((_xlfn.MAXIFS(tblLecturas[Horometro],tblLecturas[Codigo],$A65)-_xlfn.MINIFS(tblLecturas[Horometro],tblLecturas[Codigo],$A65))/(MAX(1,_xlfn.MAXIFS(tblLecturas[Fecha],tblLecturas[Codigo],$A65)-_xlfn.MINIFS(tblLecturas[Fecha],tblLecturas[Codigo],$A65))),1)),"")</f>
        <v>0</v>
      </c>
      <c r="L65" s="20">
        <f>IFERROR(_xlfn.MAXIFS(tblLecturas[Fecha],tblLecturas[Codigo],$A65),"")</f>
        <v>45189</v>
      </c>
      <c r="M65" s="26">
        <f>IFERROR(_xlfn.MAXIFS(Lecturas!$C:$C,Lecturas!$B:$B,$A65,Lecturas!$C:$C,"&gt;0"),"")</f>
        <v>7947</v>
      </c>
      <c r="N65" s="78">
        <f>IFERROR(_xlfn.MAXIFS(tblLecturas[Kilometraje],tblLecturas[Codigo],$A65,tblLecturas[Kilometraje],"&gt;0"),"")</f>
        <v>0</v>
      </c>
      <c r="O65" s="78" cm="1">
        <f t="array" ref="O65">IFERROR(IF($I65="KM",LOOKUP(2,1/(Lecturas!$B:$B=$A65)/(Lecturas!$D:$D&gt;0),Lecturas!$D:$D),LOOKUP(2,1/(Lecturas!$B:$B=$A65)/(Lecturas!$C:$C&gt;0),Lecturas!$C:$C)),"")</f>
        <v>7947</v>
      </c>
      <c r="P65" s="20">
        <f>IFERROR(_xlfn.MAXIFS(tblMantenciones[Fecha],tblMantenciones[Codigo],tblMaestroEquipos[[#This Row],[Codigo]],tblMantenciones[EsPM],"Sí"),"")</f>
        <v>0</v>
      </c>
      <c r="Q65" s="78" t="str">
        <f>IF(_xlfn.MAXIFS(Mantenciones!$D:$D,Mantenciones!$B:$B,A65)=0,"Sin datos de mantención registrado",_xlfn.MAXIFS(Mantenciones!$D:$D,Mantenciones!$B:$B,A65))</f>
        <v>Sin datos de mantención registrado</v>
      </c>
      <c r="R65" s="18" t="str">
        <f>IFERROR(IF(_xlfn.MAXIFS(Mantenciones!$D:$D,Mantenciones!$B:$B,$A65,Mantenciones!$E:$E,"Sí",Mantenciones!$D:$D,"&gt;0")=0,"Sin datos de mantención registrado",_xlfn.MAXIFS(Mantenciones!$D:$D,Mantenciones!$B:$B,$A65,Mantenciones!$E:$E,"Sí",Mantenciones!$D:$D,"&gt;0")),"Sin datos de mantención registrado")</f>
        <v>Sin datos de mantención registrado</v>
      </c>
      <c r="S65" s="21">
        <f>IFERROR(SUMIFS(tblMantenciones[Costo Mantencion CLP],tblMantenciones[Codigo],A65),0)</f>
        <v>0</v>
      </c>
      <c r="T65" s="21">
        <f>IFERROR(SUMIFS(tblComprasPM[Costo PM CLP],tblComprasPM[Codigo],tblMaestroEquipos[[#This Row],[Codigo]]),0)</f>
        <v>0</v>
      </c>
      <c r="U65" s="21">
        <f>IFERROR(tblMaestroEquipos[[#This Row],[Costo Mantenciones CLP]]+tblMaestroEquipos[[#This Row],[Costo Compras PM CLP]],0)</f>
        <v>0</v>
      </c>
      <c r="V65" s="18" t="str">
        <f>IFERROR(_xlfn.XLOOKUP(tblMaestroEquipos[[#This Row],[Codigo]],tblEquipos[Codigo],tblEquipos[Estado Base]),"")</f>
        <v>Operativo</v>
      </c>
      <c r="W65" s="18" t="str">
        <f t="shared" si="0"/>
        <v>AL DÍA</v>
      </c>
      <c r="X65" s="18" t="str">
        <f t="shared" si="1"/>
        <v/>
      </c>
      <c r="Y6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6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65" s="25" t="str">
        <f>IFERROR(IF(_xlfn.MAXIFS(tblBodega[Fecha],tblBodega[Codigo],tblMaestroEquipos[[#This Row],[Codigo]])=0,"",_xlfn.MAXIFS(tblBodega[Fecha],tblBodega[Codigo],tblMaestroEquipos[[#This Row],[Codigo]])),"")</f>
        <v/>
      </c>
      <c r="AB6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6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6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65" s="51" t="str">
        <f t="shared" si="9"/>
        <v>OPERATIVO</v>
      </c>
      <c r="AF65" s="18" t="str">
        <f t="shared" si="3"/>
        <v>BAJA</v>
      </c>
      <c r="AG65" s="18" t="str">
        <f t="shared" si="4"/>
        <v>Monitorear próximo vencimiento</v>
      </c>
      <c r="AH65">
        <f t="shared" si="5"/>
        <v>0</v>
      </c>
      <c r="AI65" t="str">
        <f t="shared" si="6"/>
        <v/>
      </c>
      <c r="AJ65" s="24">
        <f t="shared" si="7"/>
        <v>99</v>
      </c>
    </row>
    <row r="66" spans="1:36">
      <c r="A66" s="18" t="s">
        <v>326</v>
      </c>
      <c r="B66" s="18" t="s">
        <v>279</v>
      </c>
      <c r="C66" s="18" t="s">
        <v>1070</v>
      </c>
      <c r="D66" s="18" t="s">
        <v>317</v>
      </c>
      <c r="E66" s="19" t="s">
        <v>327</v>
      </c>
      <c r="F66" s="18">
        <v>2013</v>
      </c>
      <c r="G66" s="18" t="str" cm="1">
        <f t="array" ref="G66">IFERROR(INDEX(Lecturas!$E$4:$E$3549,MATCH(1,(Lecturas!$B$4:$B$3549=$A66)*(Lecturas!$E$4:$E$3549&lt;&gt;"")*(Lecturas!$A$4:$A$3549=_xlfn.MAXIFS(Lecturas!$A$4:$A$3549,Lecturas!$B$4:$B$3549,$A66,Lecturas!$E$4:$E$3549,"&lt;&gt;")),0)),"")</f>
        <v/>
      </c>
      <c r="H66" s="18" t="s">
        <v>57</v>
      </c>
      <c r="I66" s="18" t="s">
        <v>18</v>
      </c>
      <c r="J66" s="18">
        <v>250</v>
      </c>
      <c r="K66" s="18">
        <f>IFERROR(IF($I66="KM",ROUND((_xlfn.MAXIFS(tblLecturas[Kilometraje],tblLecturas[Codigo],$A66)-_xlfn.MINIFS(tblLecturas[Kilometraje],tblLecturas[Codigo],$A66))/(MAX(1,_xlfn.MAXIFS(tblLecturas[Fecha],tblLecturas[Codigo],$A66)-_xlfn.MINIFS(tblLecturas[Fecha],tblLecturas[Codigo],$A66))),1),ROUND((_xlfn.MAXIFS(tblLecturas[Horometro],tblLecturas[Codigo],$A66)-_xlfn.MINIFS(tblLecturas[Horometro],tblLecturas[Codigo],$A66))/(MAX(1,_xlfn.MAXIFS(tblLecturas[Fecha],tblLecturas[Codigo],$A66)-_xlfn.MINIFS(tblLecturas[Fecha],tblLecturas[Codigo],$A66))),1)),"")</f>
        <v>0</v>
      </c>
      <c r="L66" s="20">
        <f>IFERROR(_xlfn.MAXIFS(tblLecturas[Fecha],tblLecturas[Codigo],$A66),"")</f>
        <v>0</v>
      </c>
      <c r="M66" s="26">
        <f>IFERROR(_xlfn.MAXIFS(Lecturas!$C:$C,Lecturas!$B:$B,$A66,Lecturas!$C:$C,"&gt;0"),"")</f>
        <v>0</v>
      </c>
      <c r="N66" s="78">
        <f>IFERROR(_xlfn.MAXIFS(tblLecturas[Kilometraje],tblLecturas[Codigo],$A66,tblLecturas[Kilometraje],"&gt;0"),"")</f>
        <v>0</v>
      </c>
      <c r="O66" s="78" t="str" cm="1">
        <f t="array" ref="O66">IFERROR(IF($I66="KM",LOOKUP(2,1/(Lecturas!$B:$B=$A66)/(Lecturas!$D:$D&gt;0),Lecturas!$D:$D),LOOKUP(2,1/(Lecturas!$B:$B=$A66)/(Lecturas!$C:$C&gt;0),Lecturas!$C:$C)),"")</f>
        <v/>
      </c>
      <c r="P66" s="20">
        <f>IFERROR(_xlfn.MAXIFS(tblMantenciones[Fecha],tblMantenciones[Codigo],tblMaestroEquipos[[#This Row],[Codigo]],tblMantenciones[EsPM],"Sí"),"")</f>
        <v>0</v>
      </c>
      <c r="Q66" s="78" t="str">
        <f>IF(_xlfn.MAXIFS(Mantenciones!$D:$D,Mantenciones!$B:$B,A66)=0,"Sin datos de mantención registrado",_xlfn.MAXIFS(Mantenciones!$D:$D,Mantenciones!$B:$B,A66))</f>
        <v>Sin datos de mantención registrado</v>
      </c>
      <c r="R66" s="18" t="str">
        <f>IFERROR(IF(_xlfn.MAXIFS(Mantenciones!$D:$D,Mantenciones!$B:$B,$A66,Mantenciones!$E:$E,"Sí",Mantenciones!$D:$D,"&gt;0")=0,"Sin datos de mantención registrado",_xlfn.MAXIFS(Mantenciones!$D:$D,Mantenciones!$B:$B,$A66,Mantenciones!$E:$E,"Sí",Mantenciones!$D:$D,"&gt;0")),"Sin datos de mantención registrado")</f>
        <v>Sin datos de mantención registrado</v>
      </c>
      <c r="S66" s="21">
        <f>IFERROR(SUMIFS(tblMantenciones[Costo Mantencion CLP],tblMantenciones[Codigo],A66),0)</f>
        <v>0</v>
      </c>
      <c r="T66" s="21">
        <f>IFERROR(SUMIFS(tblComprasPM[Costo PM CLP],tblComprasPM[Codigo],tblMaestroEquipos[[#This Row],[Codigo]]),0)</f>
        <v>0</v>
      </c>
      <c r="U66" s="21">
        <f>IFERROR(tblMaestroEquipos[[#This Row],[Costo Mantenciones CLP]]+tblMaestroEquipos[[#This Row],[Costo Compras PM CLP]],0)</f>
        <v>0</v>
      </c>
      <c r="V66" s="18" t="str">
        <f>IFERROR(_xlfn.XLOOKUP(tblMaestroEquipos[[#This Row],[Codigo]],tblEquipos[Codigo],tblEquipos[Estado Base]),"")</f>
        <v>Taller</v>
      </c>
      <c r="W66" s="18" t="str">
        <f t="shared" si="0"/>
        <v>EN TALLER</v>
      </c>
      <c r="X66" s="18" t="str">
        <f t="shared" si="1"/>
        <v/>
      </c>
      <c r="Y6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6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66" s="25" t="str">
        <f>IFERROR(IF(_xlfn.MAXIFS(tblBodega[Fecha],tblBodega[Codigo],tblMaestroEquipos[[#This Row],[Codigo]])=0,"",_xlfn.MAXIFS(tblBodega[Fecha],tblBodega[Codigo],tblMaestroEquipos[[#This Row],[Codigo]])),"")</f>
        <v/>
      </c>
      <c r="AB6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6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6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66" s="51" t="str">
        <f>IF(TRIM(V66)="Fuera de servicio","FUERA DE SERVICIO",
IF(OR(TRIM(V66)="Taller",TRIM(V66)="En taller"),"EN TALLER",
IF(W66="ATRASADO","ATRASADO",
IF(W66="EN PROCESO","EN PROCESO",
IF(W66="PRÓXIMO","PRÓXIMO",
"OPERATIVO")))))</f>
        <v>EN TALLER</v>
      </c>
      <c r="AF66" s="18" t="str">
        <f t="shared" si="3"/>
        <v>BAJA</v>
      </c>
      <c r="AG66" s="18" t="str">
        <f t="shared" si="4"/>
        <v>Monitorear próximo vencimiento</v>
      </c>
      <c r="AH66" s="27">
        <f t="shared" si="5"/>
        <v>0</v>
      </c>
      <c r="AI66" s="27" t="str">
        <f t="shared" si="6"/>
        <v/>
      </c>
      <c r="AJ66" s="24">
        <f t="shared" si="7"/>
        <v>99</v>
      </c>
    </row>
    <row r="67" spans="1:36">
      <c r="A67" s="18" t="s">
        <v>328</v>
      </c>
      <c r="B67" s="18" t="s">
        <v>259</v>
      </c>
      <c r="C67" s="18" t="s">
        <v>1070</v>
      </c>
      <c r="D67" s="18" t="s">
        <v>317</v>
      </c>
      <c r="E67" s="19" t="s">
        <v>329</v>
      </c>
      <c r="F67" s="18">
        <v>2013</v>
      </c>
      <c r="G67" s="18" t="str" cm="1">
        <f t="array" ref="G67">IFERROR(INDEX(Lecturas!$E$4:$E$3549,MATCH(1,(Lecturas!$B$4:$B$3549=$A67)*(Lecturas!$E$4:$E$3549&lt;&gt;"")*(Lecturas!$A$4:$A$3549=_xlfn.MAXIFS(Lecturas!$A$4:$A$3549,Lecturas!$B$4:$B$3549,$A67,Lecturas!$E$4:$E$3549,"&lt;&gt;")),0)),"")</f>
        <v/>
      </c>
      <c r="H67" s="18" t="s">
        <v>53</v>
      </c>
      <c r="I67" s="18" t="s">
        <v>18</v>
      </c>
      <c r="J67" s="18">
        <v>250</v>
      </c>
      <c r="K67" s="18">
        <f>IFERROR(IF($I67="KM",ROUND((_xlfn.MAXIFS(tblLecturas[Kilometraje],tblLecturas[Codigo],$A67)-_xlfn.MINIFS(tblLecturas[Kilometraje],tblLecturas[Codigo],$A67))/(MAX(1,_xlfn.MAXIFS(tblLecturas[Fecha],tblLecturas[Codigo],$A67)-_xlfn.MINIFS(tblLecturas[Fecha],tblLecturas[Codigo],$A67))),1),ROUND((_xlfn.MAXIFS(tblLecturas[Horometro],tblLecturas[Codigo],$A67)-_xlfn.MINIFS(tblLecturas[Horometro],tblLecturas[Codigo],$A67))/(MAX(1,_xlfn.MAXIFS(tblLecturas[Fecha],tblLecturas[Codigo],$A67)-_xlfn.MINIFS(tblLecturas[Fecha],tblLecturas[Codigo],$A67))),1)),"")</f>
        <v>0</v>
      </c>
      <c r="L67" s="20">
        <f>IFERROR(_xlfn.MAXIFS(tblLecturas[Fecha],tblLecturas[Codigo],$A67),"")</f>
        <v>0</v>
      </c>
      <c r="M67" s="26">
        <f>IFERROR(_xlfn.MAXIFS(Lecturas!$C:$C,Lecturas!$B:$B,$A67,Lecturas!$C:$C,"&gt;0"),"")</f>
        <v>0</v>
      </c>
      <c r="N67" s="78">
        <f>IFERROR(_xlfn.MAXIFS(tblLecturas[Kilometraje],tblLecturas[Codigo],$A67,tblLecturas[Kilometraje],"&gt;0"),"")</f>
        <v>0</v>
      </c>
      <c r="O67" s="78" t="str" cm="1">
        <f t="array" ref="O67">IFERROR(IF($I67="KM",LOOKUP(2,1/(Lecturas!$B:$B=$A67)/(Lecturas!$D:$D&gt;0),Lecturas!$D:$D),LOOKUP(2,1/(Lecturas!$B:$B=$A67)/(Lecturas!$C:$C&gt;0),Lecturas!$C:$C)),"")</f>
        <v/>
      </c>
      <c r="P67" s="20">
        <f>IFERROR(_xlfn.MAXIFS(tblMantenciones[Fecha],tblMantenciones[Codigo],tblMaestroEquipos[[#This Row],[Codigo]],tblMantenciones[EsPM],"Sí"),"")</f>
        <v>0</v>
      </c>
      <c r="Q67" s="78" t="str">
        <f>IF(_xlfn.MAXIFS(Mantenciones!$D:$D,Mantenciones!$B:$B,A67)=0,"Sin datos de mantención registrado",_xlfn.MAXIFS(Mantenciones!$D:$D,Mantenciones!$B:$B,A67))</f>
        <v>Sin datos de mantención registrado</v>
      </c>
      <c r="R67" s="18" t="str">
        <f>IFERROR(IF(_xlfn.MAXIFS(Mantenciones!$D:$D,Mantenciones!$B:$B,$A67,Mantenciones!$E:$E,"Sí",Mantenciones!$D:$D,"&gt;0")=0,"Sin datos de mantención registrado",_xlfn.MAXIFS(Mantenciones!$D:$D,Mantenciones!$B:$B,$A67,Mantenciones!$E:$E,"Sí",Mantenciones!$D:$D,"&gt;0")),"Sin datos de mantención registrado")</f>
        <v>Sin datos de mantención registrado</v>
      </c>
      <c r="S67" s="21">
        <f>IFERROR(SUMIFS(tblMantenciones[Costo Mantencion CLP],tblMantenciones[Codigo],A67),0)</f>
        <v>0</v>
      </c>
      <c r="T67" s="21">
        <f>IFERROR(SUMIFS(tblComprasPM[Costo PM CLP],tblComprasPM[Codigo],tblMaestroEquipos[[#This Row],[Codigo]]),0)</f>
        <v>0</v>
      </c>
      <c r="U67" s="21">
        <f>IFERROR(tblMaestroEquipos[[#This Row],[Costo Mantenciones CLP]]+tblMaestroEquipos[[#This Row],[Costo Compras PM CLP]],0)</f>
        <v>0</v>
      </c>
      <c r="V67" s="18" t="str">
        <f>IFERROR(_xlfn.XLOOKUP(tblMaestroEquipos[[#This Row],[Codigo]],tblEquipos[Codigo],tblEquipos[Estado Base]),"")</f>
        <v>Taller</v>
      </c>
      <c r="W67" s="18" t="str">
        <f t="shared" si="0"/>
        <v>EN TALLER</v>
      </c>
      <c r="X67" s="18" t="str">
        <f t="shared" si="1"/>
        <v/>
      </c>
      <c r="Y6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6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67" s="25" t="str">
        <f>IFERROR(IF(_xlfn.MAXIFS(tblBodega[Fecha],tblBodega[Codigo],tblMaestroEquipos[[#This Row],[Codigo]])=0,"",_xlfn.MAXIFS(tblBodega[Fecha],tblBodega[Codigo],tblMaestroEquipos[[#This Row],[Codigo]])),"")</f>
        <v/>
      </c>
      <c r="AB6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6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6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67" s="51" t="str">
        <f t="shared" si="9"/>
        <v>EN TALLER</v>
      </c>
      <c r="AF67" s="18" t="str">
        <f t="shared" si="3"/>
        <v>BAJA</v>
      </c>
      <c r="AG67" s="18" t="str">
        <f t="shared" si="4"/>
        <v>Monitorear próximo vencimiento</v>
      </c>
      <c r="AH67" s="27">
        <f t="shared" si="5"/>
        <v>0</v>
      </c>
      <c r="AI67" s="27" t="str">
        <f t="shared" si="6"/>
        <v/>
      </c>
      <c r="AJ67" s="24">
        <f t="shared" si="7"/>
        <v>99</v>
      </c>
    </row>
    <row r="68" spans="1:36">
      <c r="A68" s="18" t="s">
        <v>336</v>
      </c>
      <c r="B68" s="18" t="s">
        <v>259</v>
      </c>
      <c r="C68" s="18" t="s">
        <v>1070</v>
      </c>
      <c r="D68" s="18" t="s">
        <v>302</v>
      </c>
      <c r="E68" s="19" t="s">
        <v>337</v>
      </c>
      <c r="F68" s="18">
        <v>2013</v>
      </c>
      <c r="G68" s="18" t="str" cm="1">
        <f t="array" ref="G68">IFERROR(INDEX(Lecturas!$E$4:$E$3549,MATCH(1,(Lecturas!$B$4:$B$3549=$A68)*(Lecturas!$E$4:$E$3549&lt;&gt;"")*(Lecturas!$A$4:$A$3549=_xlfn.MAXIFS(Lecturas!$A$4:$A$3549,Lecturas!$B$4:$B$3549,$A68,Lecturas!$E$4:$E$3549,"&lt;&gt;")),0)),"")</f>
        <v/>
      </c>
      <c r="H68" s="18" t="s">
        <v>338</v>
      </c>
      <c r="I68" s="18" t="s">
        <v>18</v>
      </c>
      <c r="J68" s="18">
        <v>250</v>
      </c>
      <c r="K68" s="18">
        <f>IFERROR(IF($I68="KM",ROUND((_xlfn.MAXIFS(tblLecturas[Kilometraje],tblLecturas[Codigo],$A68)-_xlfn.MINIFS(tblLecturas[Kilometraje],tblLecturas[Codigo],$A68))/(MAX(1,_xlfn.MAXIFS(tblLecturas[Fecha],tblLecturas[Codigo],$A68)-_xlfn.MINIFS(tblLecturas[Fecha],tblLecturas[Codigo],$A68))),1),ROUND((_xlfn.MAXIFS(tblLecturas[Horometro],tblLecturas[Codigo],$A68)-_xlfn.MINIFS(tblLecturas[Horometro],tblLecturas[Codigo],$A68))/(MAX(1,_xlfn.MAXIFS(tblLecturas[Fecha],tblLecturas[Codigo],$A68)-_xlfn.MINIFS(tblLecturas[Fecha],tblLecturas[Codigo],$A68))),1)),"")</f>
        <v>0</v>
      </c>
      <c r="L68" s="20">
        <f>IFERROR(_xlfn.MAXIFS(tblLecturas[Fecha],tblLecturas[Codigo],$A68),"")</f>
        <v>0</v>
      </c>
      <c r="M68" s="26">
        <f>IFERROR(_xlfn.MAXIFS(Lecturas!$C:$C,Lecturas!$B:$B,$A68,Lecturas!$C:$C,"&gt;0"),"")</f>
        <v>0</v>
      </c>
      <c r="N68" s="78">
        <f>IFERROR(_xlfn.MAXIFS(tblLecturas[Kilometraje],tblLecturas[Codigo],$A68,tblLecturas[Kilometraje],"&gt;0"),"")</f>
        <v>0</v>
      </c>
      <c r="O68" s="78" t="str" cm="1">
        <f t="array" ref="O68">IFERROR(IF($I68="KM",LOOKUP(2,1/(Lecturas!$B:$B=$A68)/(Lecturas!$D:$D&gt;0),Lecturas!$D:$D),LOOKUP(2,1/(Lecturas!$B:$B=$A68)/(Lecturas!$C:$C&gt;0),Lecturas!$C:$C)),"")</f>
        <v/>
      </c>
      <c r="P68" s="20">
        <f>IFERROR(_xlfn.MAXIFS(tblMantenciones[Fecha],tblMantenciones[Codigo],tblMaestroEquipos[[#This Row],[Codigo]],tblMantenciones[EsPM],"Sí"),"")</f>
        <v>0</v>
      </c>
      <c r="Q68" s="78" t="str">
        <f>IF(_xlfn.MAXIFS(Mantenciones!$D:$D,Mantenciones!$B:$B,A68)=0,"Sin datos de mantención registrado",_xlfn.MAXIFS(Mantenciones!$D:$D,Mantenciones!$B:$B,A68))</f>
        <v>Sin datos de mantención registrado</v>
      </c>
      <c r="R68" s="18" t="str">
        <f>IFERROR(IF(_xlfn.MAXIFS(Mantenciones!$D:$D,Mantenciones!$B:$B,$A68,Mantenciones!$E:$E,"Sí",Mantenciones!$D:$D,"&gt;0")=0,"Sin datos de mantención registrado",_xlfn.MAXIFS(Mantenciones!$D:$D,Mantenciones!$B:$B,$A68,Mantenciones!$E:$E,"Sí",Mantenciones!$D:$D,"&gt;0")),"Sin datos de mantención registrado")</f>
        <v>Sin datos de mantención registrado</v>
      </c>
      <c r="S68" s="21">
        <f>IFERROR(SUMIFS(tblMantenciones[Costo Mantencion CLP],tblMantenciones[Codigo],A68),0)</f>
        <v>0</v>
      </c>
      <c r="T68" s="21">
        <f>IFERROR(SUMIFS(tblComprasPM[Costo PM CLP],tblComprasPM[Codigo],tblMaestroEquipos[[#This Row],[Codigo]]),0)</f>
        <v>0</v>
      </c>
      <c r="U68" s="21">
        <f>IFERROR(tblMaestroEquipos[[#This Row],[Costo Mantenciones CLP]]+tblMaestroEquipos[[#This Row],[Costo Compras PM CLP]],0)</f>
        <v>0</v>
      </c>
      <c r="V68" s="18" t="str">
        <f>IFERROR(_xlfn.XLOOKUP(tblMaestroEquipos[[#This Row],[Codigo]],tblEquipos[Codigo],tblEquipos[Estado Base]),"")</f>
        <v>Operativo</v>
      </c>
      <c r="W68" s="18" t="str">
        <f t="shared" ref="W68:W131" si="10">IF(OR(TRIM($V68)="Fuera de Servicio",TRIM($V68)="Fuera de servicio"),"FUERA DE SERVICIO",IF(OR(TRIM($V68)="Taller",TRIM($V68)="En taller",TRIM($V68)="EN TALLER"),"EN TALLER",IF($AD68="PENDIENTE","POR RECIBIR",IF(AND($Z68&lt;&gt;"",$AA68=""),"EN PROCESO",IF(AND(ISNUMBER($X68),$X68&lt;0),"ATRASADA",IF(AND(ISNUMBER($X68),$X68&lt;=30),"PRÓXIMA","AL DÍA"))))))</f>
        <v>AL DÍA</v>
      </c>
      <c r="X68" s="18" t="str">
        <f t="shared" ref="X68:X131" si="11">IF(OR(NOT(ISNUMBER(R68)),NOT(ISNUMBER(J68)),NOT(ISNUMBER(O68))),"",
(R68+J68)-O68)</f>
        <v/>
      </c>
      <c r="Y6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68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68" s="25" t="str">
        <f>IFERROR(IF(_xlfn.MAXIFS(tblBodega[Fecha],tblBodega[Codigo],tblMaestroEquipos[[#This Row],[Codigo]])=0,"",_xlfn.MAXIFS(tblBodega[Fecha],tblBodega[Codigo],tblMaestroEquipos[[#This Row],[Codigo]])),"")</f>
        <v/>
      </c>
      <c r="AB68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6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6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68" s="51" t="str">
        <f t="shared" si="9"/>
        <v>OPERATIVO</v>
      </c>
      <c r="AF68" s="18" t="str">
        <f t="shared" ref="AF68:AF131" si="12">IF($AE68="ATRASADA",IF($X68&lt;=-15,"CRÍTICA","ALTA"),IF($AE68="PRÓXIMA","MEDIA",IF(OR($AE68="EN PROCESO",$AE68="POR RECIBIR"),"SEGUIMIENTO",IF($AE68="FUERA DE SERVICIO","NO APLICA","BAJA"))))</f>
        <v>BAJA</v>
      </c>
      <c r="AG68" s="18" t="str">
        <f t="shared" ref="AG68:AG131" si="13">IF($AE68="FUERA DE SERVICIO","No programar compra",IF($AE68="CERRADO","Cerrar ciclo y preparar siguiente PM",IF($AE68="EN PROCESO","Hacer seguimiento al taller y cerrar report",IF($AE68="POR RECIBIR","Acelerar recepción de repuestos",IF($AE68="ATRASADA","Comprar kit PM y coordinar ejecución",IF($AE68="PRÓXIMA","Planificar compra preventiva","Monitorear próximo vencimiento"))))))</f>
        <v>Monitorear próximo vencimiento</v>
      </c>
      <c r="AH68">
        <f t="shared" ref="AH68:AH131" si="14">IF(AND(OR($AE68="ATRASADA",$AE68="PRÓXIMA"),$Z68="",$AA68=""),1,0)</f>
        <v>0</v>
      </c>
      <c r="AI68" t="str">
        <f t="shared" ref="AI68:AI131" si="15">IF(OR($AH68=0,$Y68=""),"",SUMPRODUCT(($AH$4:$AH$247=1)*(($Y$4:$Y$247&lt;$Y68)+(($Y$4:$Y$247=$Y68)*(ROW($Y$4:$Y$247)&lt;=ROW())))))</f>
        <v/>
      </c>
      <c r="AJ68" s="24">
        <f t="shared" ref="AJ68:AJ131" si="16">IF(W68="ATRASADA",1,IF(W68="EN PROCESO",2,IF(W68="POR RECIBIR",3,99)))</f>
        <v>99</v>
      </c>
    </row>
    <row r="69" spans="1:36">
      <c r="A69" s="18" t="s">
        <v>344</v>
      </c>
      <c r="B69" s="18" t="s">
        <v>340</v>
      </c>
      <c r="C69" s="18" t="s">
        <v>1070</v>
      </c>
      <c r="D69" s="18" t="s">
        <v>341</v>
      </c>
      <c r="E69" s="19" t="s">
        <v>342</v>
      </c>
      <c r="F69" s="18">
        <v>2011</v>
      </c>
      <c r="G69" s="18" t="str" cm="1">
        <f t="array" ref="G69">IFERROR(INDEX(Lecturas!$E$4:$E$3549,MATCH(1,(Lecturas!$B$4:$B$3549=$A69)*(Lecturas!$E$4:$E$3549&lt;&gt;"")*(Lecturas!$A$4:$A$3549=_xlfn.MAXIFS(Lecturas!$A$4:$A$3549,Lecturas!$B$4:$B$3549,$A69,Lecturas!$E$4:$E$3549,"&lt;&gt;")),0)),"")</f>
        <v/>
      </c>
      <c r="H69" s="18" t="s">
        <v>57</v>
      </c>
      <c r="I69" s="18" t="s">
        <v>18</v>
      </c>
      <c r="J69" s="18">
        <v>250</v>
      </c>
      <c r="K69" s="18">
        <f>IFERROR(IF($I69="KM",ROUND((_xlfn.MAXIFS(tblLecturas[Kilometraje],tblLecturas[Codigo],$A69)-_xlfn.MINIFS(tblLecturas[Kilometraje],tblLecturas[Codigo],$A69))/(MAX(1,_xlfn.MAXIFS(tblLecturas[Fecha],tblLecturas[Codigo],$A69)-_xlfn.MINIFS(tblLecturas[Fecha],tblLecturas[Codigo],$A69))),1),ROUND((_xlfn.MAXIFS(tblLecturas[Horometro],tblLecturas[Codigo],$A69)-_xlfn.MINIFS(tblLecturas[Horometro],tblLecturas[Codigo],$A69))/(MAX(1,_xlfn.MAXIFS(tblLecturas[Fecha],tblLecturas[Codigo],$A69)-_xlfn.MINIFS(tblLecturas[Fecha],tblLecturas[Codigo],$A69))),1)),"")</f>
        <v>0</v>
      </c>
      <c r="L69" s="20">
        <f>IFERROR(_xlfn.MAXIFS(tblLecturas[Fecha],tblLecturas[Codigo],$A69),"")</f>
        <v>0</v>
      </c>
      <c r="M69" s="26">
        <f>IFERROR(_xlfn.MAXIFS(Lecturas!$C:$C,Lecturas!$B:$B,$A69,Lecturas!$C:$C,"&gt;0"),"")</f>
        <v>0</v>
      </c>
      <c r="N69" s="78">
        <f>IFERROR(_xlfn.MAXIFS(tblLecturas[Kilometraje],tblLecturas[Codigo],$A69,tblLecturas[Kilometraje],"&gt;0"),"")</f>
        <v>0</v>
      </c>
      <c r="O69" s="78" t="str" cm="1">
        <f t="array" ref="O69">IFERROR(IF($I69="KM",LOOKUP(2,1/(Lecturas!$B:$B=$A69)/(Lecturas!$D:$D&gt;0),Lecturas!$D:$D),LOOKUP(2,1/(Lecturas!$B:$B=$A69)/(Lecturas!$C:$C&gt;0),Lecturas!$C:$C)),"")</f>
        <v/>
      </c>
      <c r="P69" s="20">
        <f>IFERROR(_xlfn.MAXIFS(tblMantenciones[Fecha],tblMantenciones[Codigo],tblMaestroEquipos[[#This Row],[Codigo]],tblMantenciones[EsPM],"Sí"),"")</f>
        <v>0</v>
      </c>
      <c r="Q69" s="78" t="str">
        <f>IF(_xlfn.MAXIFS(Mantenciones!$D:$D,Mantenciones!$B:$B,A69)=0,"Sin datos de mantención registrado",_xlfn.MAXIFS(Mantenciones!$D:$D,Mantenciones!$B:$B,A69))</f>
        <v>Sin datos de mantención registrado</v>
      </c>
      <c r="R69" s="18" t="str">
        <f>IFERROR(IF(_xlfn.MAXIFS(Mantenciones!$D:$D,Mantenciones!$B:$B,$A69,Mantenciones!$E:$E,"Sí",Mantenciones!$D:$D,"&gt;0")=0,"Sin datos de mantención registrado",_xlfn.MAXIFS(Mantenciones!$D:$D,Mantenciones!$B:$B,$A69,Mantenciones!$E:$E,"Sí",Mantenciones!$D:$D,"&gt;0")),"Sin datos de mantención registrado")</f>
        <v>Sin datos de mantención registrado</v>
      </c>
      <c r="S69" s="21">
        <f>IFERROR(SUMIFS(tblMantenciones[Costo Mantencion CLP],tblMantenciones[Codigo],A69),0)</f>
        <v>0</v>
      </c>
      <c r="T69" s="21">
        <f>IFERROR(SUMIFS(tblComprasPM[Costo PM CLP],tblComprasPM[Codigo],tblMaestroEquipos[[#This Row],[Codigo]]),0)</f>
        <v>0</v>
      </c>
      <c r="U69" s="21">
        <f>IFERROR(tblMaestroEquipos[[#This Row],[Costo Mantenciones CLP]]+tblMaestroEquipos[[#This Row],[Costo Compras PM CLP]],0)</f>
        <v>0</v>
      </c>
      <c r="V69" s="18" t="str">
        <f>IFERROR(_xlfn.XLOOKUP(tblMaestroEquipos[[#This Row],[Codigo]],tblEquipos[Codigo],tblEquipos[Estado Base]),"")</f>
        <v>Operativo</v>
      </c>
      <c r="W69" s="18" t="str">
        <f t="shared" si="10"/>
        <v>AL DÍA</v>
      </c>
      <c r="X69" s="18" t="str">
        <f t="shared" si="11"/>
        <v/>
      </c>
      <c r="Y6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6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69" s="25" t="str">
        <f>IFERROR(IF(_xlfn.MAXIFS(tblBodega[Fecha],tblBodega[Codigo],tblMaestroEquipos[[#This Row],[Codigo]])=0,"",_xlfn.MAXIFS(tblBodega[Fecha],tblBodega[Codigo],tblMaestroEquipos[[#This Row],[Codigo]])),"")</f>
        <v/>
      </c>
      <c r="AB6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6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6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69" s="51" t="str">
        <f t="shared" si="9"/>
        <v>OPERATIVO</v>
      </c>
      <c r="AF69" s="18" t="str">
        <f t="shared" si="12"/>
        <v>BAJA</v>
      </c>
      <c r="AG69" s="18" t="str">
        <f t="shared" si="13"/>
        <v>Monitorear próximo vencimiento</v>
      </c>
      <c r="AH69">
        <f t="shared" si="14"/>
        <v>0</v>
      </c>
      <c r="AI69" t="str">
        <f t="shared" si="15"/>
        <v/>
      </c>
      <c r="AJ69" s="24">
        <f t="shared" si="16"/>
        <v>99</v>
      </c>
    </row>
    <row r="70" spans="1:36">
      <c r="A70" s="18" t="s">
        <v>346</v>
      </c>
      <c r="B70" s="18" t="s">
        <v>291</v>
      </c>
      <c r="C70" s="18" t="s">
        <v>1070</v>
      </c>
      <c r="D70" s="18" t="s">
        <v>347</v>
      </c>
      <c r="E70" s="19" t="s">
        <v>348</v>
      </c>
      <c r="F70" s="18">
        <v>1998</v>
      </c>
      <c r="G70" s="18" t="str" cm="1">
        <f t="array" ref="G70">IFERROR(INDEX(Lecturas!$E$4:$E$3549,MATCH(1,(Lecturas!$B$4:$B$3549=$A70)*(Lecturas!$E$4:$E$3549&lt;&gt;"")*(Lecturas!$A$4:$A$3549=_xlfn.MAXIFS(Lecturas!$A$4:$A$3549,Lecturas!$B$4:$B$3549,$A70,Lecturas!$E$4:$E$3549,"&lt;&gt;")),0)),"")</f>
        <v>Villaseca</v>
      </c>
      <c r="H70" s="18" t="s">
        <v>454</v>
      </c>
      <c r="I70" s="18" t="s">
        <v>18</v>
      </c>
      <c r="J70" s="18">
        <v>250</v>
      </c>
      <c r="K70" s="18">
        <f>IFERROR(IF($I70="KM",ROUND((_xlfn.MAXIFS(tblLecturas[Kilometraje],tblLecturas[Codigo],$A70)-_xlfn.MINIFS(tblLecturas[Kilometraje],tblLecturas[Codigo],$A70))/(MAX(1,_xlfn.MAXIFS(tblLecturas[Fecha],tblLecturas[Codigo],$A70)-_xlfn.MINIFS(tblLecturas[Fecha],tblLecturas[Codigo],$A70))),1),ROUND((_xlfn.MAXIFS(tblLecturas[Horometro],tblLecturas[Codigo],$A70)-_xlfn.MINIFS(tblLecturas[Horometro],tblLecturas[Codigo],$A70))/(MAX(1,_xlfn.MAXIFS(tblLecturas[Fecha],tblLecturas[Codigo],$A70)-_xlfn.MINIFS(tblLecturas[Fecha],tblLecturas[Codigo],$A70))),1)),"")</f>
        <v>0.2</v>
      </c>
      <c r="L70" s="20">
        <f>IFERROR(_xlfn.MAXIFS(tblLecturas[Fecha],tblLecturas[Codigo],$A70),"")</f>
        <v>46094</v>
      </c>
      <c r="M70" s="26">
        <f>IFERROR(_xlfn.MAXIFS(Lecturas!$C:$C,Lecturas!$B:$B,$A70,Lecturas!$C:$C,"&gt;0"),"")</f>
        <v>8627</v>
      </c>
      <c r="N70" s="78">
        <f>IFERROR(_xlfn.MAXIFS(tblLecturas[Kilometraje],tblLecturas[Codigo],$A70,tblLecturas[Kilometraje],"&gt;0"),"")</f>
        <v>0</v>
      </c>
      <c r="O70" s="78" cm="1">
        <f t="array" ref="O70">IFERROR(IF($I70="KM",LOOKUP(2,1/(Lecturas!$B:$B=$A70)/(Lecturas!$D:$D&gt;0),Lecturas!$D:$D),LOOKUP(2,1/(Lecturas!$B:$B=$A70)/(Lecturas!$C:$C&gt;0),Lecturas!$C:$C)),"")</f>
        <v>8411</v>
      </c>
      <c r="P70" s="20">
        <f>IFERROR(_xlfn.MAXIFS(tblMantenciones[Fecha],tblMantenciones[Codigo],tblMaestroEquipos[[#This Row],[Codigo]],tblMantenciones[EsPM],"Sí"),"")</f>
        <v>0</v>
      </c>
      <c r="Q70" s="78" t="str">
        <f>IF(_xlfn.MAXIFS(Mantenciones!$D:$D,Mantenciones!$B:$B,A70)=0,"Sin datos de mantención registrado",_xlfn.MAXIFS(Mantenciones!$D:$D,Mantenciones!$B:$B,A70))</f>
        <v>Sin datos de mantención registrado</v>
      </c>
      <c r="R70" s="18" t="str">
        <f>IFERROR(IF(_xlfn.MAXIFS(Mantenciones!$D:$D,Mantenciones!$B:$B,$A70,Mantenciones!$E:$E,"Sí",Mantenciones!$D:$D,"&gt;0")=0,"Sin datos de mantención registrado",_xlfn.MAXIFS(Mantenciones!$D:$D,Mantenciones!$B:$B,$A70,Mantenciones!$E:$E,"Sí",Mantenciones!$D:$D,"&gt;0")),"Sin datos de mantención registrado")</f>
        <v>Sin datos de mantención registrado</v>
      </c>
      <c r="S70" s="21">
        <f>IFERROR(SUMIFS(tblMantenciones[Costo Mantencion CLP],tblMantenciones[Codigo],A70),0)</f>
        <v>0</v>
      </c>
      <c r="T70" s="21">
        <f>IFERROR(SUMIFS(tblComprasPM[Costo PM CLP],tblComprasPM[Codigo],tblMaestroEquipos[[#This Row],[Codigo]]),0)</f>
        <v>0</v>
      </c>
      <c r="U70" s="21">
        <f>IFERROR(tblMaestroEquipos[[#This Row],[Costo Mantenciones CLP]]+tblMaestroEquipos[[#This Row],[Costo Compras PM CLP]],0)</f>
        <v>0</v>
      </c>
      <c r="V70" s="18" t="str">
        <f>IFERROR(_xlfn.XLOOKUP(tblMaestroEquipos[[#This Row],[Codigo]],tblEquipos[Codigo],tblEquipos[Estado Base]),"")</f>
        <v>Operativo</v>
      </c>
      <c r="W70" s="18" t="str">
        <f t="shared" si="10"/>
        <v>POR RECIBIR</v>
      </c>
      <c r="X70" s="18" t="str">
        <f t="shared" si="11"/>
        <v/>
      </c>
      <c r="Y7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7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70" s="25">
        <f>IFERROR(IF(_xlfn.MAXIFS(tblBodega[Fecha],tblBodega[Codigo],tblMaestroEquipos[[#This Row],[Codigo]])=0,"",_xlfn.MAXIFS(tblBodega[Fecha],tblBodega[Codigo],tblMaestroEquipos[[#This Row],[Codigo]])),"")</f>
        <v>46083</v>
      </c>
      <c r="AB7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70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62</v>
      </c>
      <c r="AD7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70" s="51" t="str">
        <f t="shared" si="9"/>
        <v>OPERATIVO</v>
      </c>
      <c r="AF70" s="18" t="str">
        <f t="shared" si="12"/>
        <v>BAJA</v>
      </c>
      <c r="AG70" s="18" t="str">
        <f t="shared" si="13"/>
        <v>Monitorear próximo vencimiento</v>
      </c>
      <c r="AH70">
        <f t="shared" si="14"/>
        <v>0</v>
      </c>
      <c r="AI70" t="str">
        <f t="shared" si="15"/>
        <v/>
      </c>
      <c r="AJ70" s="24">
        <f t="shared" si="16"/>
        <v>3</v>
      </c>
    </row>
    <row r="71" spans="1:36">
      <c r="A71" s="18" t="s">
        <v>350</v>
      </c>
      <c r="B71" s="18" t="s">
        <v>351</v>
      </c>
      <c r="C71" s="18" t="s">
        <v>1070</v>
      </c>
      <c r="D71" s="18" t="s">
        <v>347</v>
      </c>
      <c r="E71" s="19" t="s">
        <v>352</v>
      </c>
      <c r="F71" s="18">
        <v>1998</v>
      </c>
      <c r="G71" s="18" t="str" cm="1">
        <f t="array" ref="G71">IFERROR(INDEX(Lecturas!$E$4:$E$3549,MATCH(1,(Lecturas!$B$4:$B$3549=$A71)*(Lecturas!$E$4:$E$3549&lt;&gt;"")*(Lecturas!$A$4:$A$3549=_xlfn.MAXIFS(Lecturas!$A$4:$A$3549,Lecturas!$B$4:$B$3549,$A71,Lecturas!$E$4:$E$3549,"&lt;&gt;")),0)),"")</f>
        <v/>
      </c>
      <c r="H71" s="18" t="s">
        <v>53</v>
      </c>
      <c r="I71" s="18" t="s">
        <v>18</v>
      </c>
      <c r="J71" s="18">
        <v>250</v>
      </c>
      <c r="K71" s="18">
        <f>IFERROR(IF($I71="KM",ROUND((_xlfn.MAXIFS(tblLecturas[Kilometraje],tblLecturas[Codigo],$A71)-_xlfn.MINIFS(tblLecturas[Kilometraje],tblLecturas[Codigo],$A71))/(MAX(1,_xlfn.MAXIFS(tblLecturas[Fecha],tblLecturas[Codigo],$A71)-_xlfn.MINIFS(tblLecturas[Fecha],tblLecturas[Codigo],$A71))),1),ROUND((_xlfn.MAXIFS(tblLecturas[Horometro],tblLecturas[Codigo],$A71)-_xlfn.MINIFS(tblLecturas[Horometro],tblLecturas[Codigo],$A71))/(MAX(1,_xlfn.MAXIFS(tblLecturas[Fecha],tblLecturas[Codigo],$A71)-_xlfn.MINIFS(tblLecturas[Fecha],tblLecturas[Codigo],$A71))),1)),"")</f>
        <v>0</v>
      </c>
      <c r="L71" s="20">
        <f>IFERROR(_xlfn.MAXIFS(tblLecturas[Fecha],tblLecturas[Codigo],$A71),"")</f>
        <v>0</v>
      </c>
      <c r="M71" s="26">
        <f>IFERROR(_xlfn.MAXIFS(Lecturas!$C:$C,Lecturas!$B:$B,$A71,Lecturas!$C:$C,"&gt;0"),"")</f>
        <v>0</v>
      </c>
      <c r="N71" s="78">
        <f>IFERROR(_xlfn.MAXIFS(tblLecturas[Kilometraje],tblLecturas[Codigo],$A71,tblLecturas[Kilometraje],"&gt;0"),"")</f>
        <v>0</v>
      </c>
      <c r="O71" s="78" t="str" cm="1">
        <f t="array" ref="O71">IFERROR(IF($I71="KM",LOOKUP(2,1/(Lecturas!$B:$B=$A71)/(Lecturas!$D:$D&gt;0),Lecturas!$D:$D),LOOKUP(2,1/(Lecturas!$B:$B=$A71)/(Lecturas!$C:$C&gt;0),Lecturas!$C:$C)),"")</f>
        <v/>
      </c>
      <c r="P71" s="20">
        <f>IFERROR(_xlfn.MAXIFS(tblMantenciones[Fecha],tblMantenciones[Codigo],tblMaestroEquipos[[#This Row],[Codigo]],tblMantenciones[EsPM],"Sí"),"")</f>
        <v>0</v>
      </c>
      <c r="Q71" s="78" t="str">
        <f>IF(_xlfn.MAXIFS(Mantenciones!$D:$D,Mantenciones!$B:$B,A71)=0,"Sin datos de mantención registrado",_xlfn.MAXIFS(Mantenciones!$D:$D,Mantenciones!$B:$B,A71))</f>
        <v>Sin datos de mantención registrado</v>
      </c>
      <c r="R71" s="18" t="str">
        <f>IFERROR(IF(_xlfn.MAXIFS(Mantenciones!$D:$D,Mantenciones!$B:$B,$A71,Mantenciones!$E:$E,"Sí",Mantenciones!$D:$D,"&gt;0")=0,"Sin datos de mantención registrado",_xlfn.MAXIFS(Mantenciones!$D:$D,Mantenciones!$B:$B,$A71,Mantenciones!$E:$E,"Sí",Mantenciones!$D:$D,"&gt;0")),"Sin datos de mantención registrado")</f>
        <v>Sin datos de mantención registrado</v>
      </c>
      <c r="S71" s="21">
        <f>IFERROR(SUMIFS(tblMantenciones[Costo Mantencion CLP],tblMantenciones[Codigo],A71),0)</f>
        <v>0</v>
      </c>
      <c r="T71" s="21">
        <f>IFERROR(SUMIFS(tblComprasPM[Costo PM CLP],tblComprasPM[Codigo],tblMaestroEquipos[[#This Row],[Codigo]]),0)</f>
        <v>0</v>
      </c>
      <c r="U71" s="21">
        <f>IFERROR(tblMaestroEquipos[[#This Row],[Costo Mantenciones CLP]]+tblMaestroEquipos[[#This Row],[Costo Compras PM CLP]],0)</f>
        <v>0</v>
      </c>
      <c r="V71" s="18" t="str">
        <f>IFERROR(_xlfn.XLOOKUP(tblMaestroEquipos[[#This Row],[Codigo]],tblEquipos[Codigo],tblEquipos[Estado Base]),"")</f>
        <v>Operativo</v>
      </c>
      <c r="W71" s="18" t="str">
        <f t="shared" si="10"/>
        <v>AL DÍA</v>
      </c>
      <c r="X71" s="18" t="str">
        <f t="shared" si="11"/>
        <v/>
      </c>
      <c r="Y7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71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71" s="25" t="str">
        <f>IFERROR(IF(_xlfn.MAXIFS(tblBodega[Fecha],tblBodega[Codigo],tblMaestroEquipos[[#This Row],[Codigo]])=0,"",_xlfn.MAXIFS(tblBodega[Fecha],tblBodega[Codigo],tblMaestroEquipos[[#This Row],[Codigo]])),"")</f>
        <v/>
      </c>
      <c r="AB71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7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7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71" s="51" t="str">
        <f t="shared" si="9"/>
        <v>OPERATIVO</v>
      </c>
      <c r="AF71" s="18" t="str">
        <f t="shared" si="12"/>
        <v>BAJA</v>
      </c>
      <c r="AG71" s="18" t="str">
        <f t="shared" si="13"/>
        <v>Monitorear próximo vencimiento</v>
      </c>
      <c r="AH71">
        <f t="shared" si="14"/>
        <v>0</v>
      </c>
      <c r="AI71" t="str">
        <f t="shared" si="15"/>
        <v/>
      </c>
      <c r="AJ71" s="24">
        <f t="shared" si="16"/>
        <v>99</v>
      </c>
    </row>
    <row r="72" spans="1:36">
      <c r="A72" s="18" t="s">
        <v>361</v>
      </c>
      <c r="B72" s="18" t="s">
        <v>291</v>
      </c>
      <c r="C72" s="18" t="s">
        <v>1070</v>
      </c>
      <c r="D72" s="18" t="s">
        <v>347</v>
      </c>
      <c r="E72" s="19" t="s">
        <v>348</v>
      </c>
      <c r="F72" s="18">
        <v>1998</v>
      </c>
      <c r="G72" s="18" t="str" cm="1">
        <f t="array" ref="G72">IFERROR(INDEX(Lecturas!$E$4:$E$3549,MATCH(1,(Lecturas!$B$4:$B$3549=$A72)*(Lecturas!$E$4:$E$3549&lt;&gt;"")*(Lecturas!$A$4:$A$3549=_xlfn.MAXIFS(Lecturas!$A$4:$A$3549,Lecturas!$B$4:$B$3549,$A72,Lecturas!$E$4:$E$3549,"&lt;&gt;")),0)),"")</f>
        <v/>
      </c>
      <c r="H72" s="18" t="s">
        <v>57</v>
      </c>
      <c r="I72" s="18" t="s">
        <v>18</v>
      </c>
      <c r="J72" s="18">
        <v>250</v>
      </c>
      <c r="K72" s="18">
        <f>IFERROR(IF($I72="KM",ROUND((_xlfn.MAXIFS(tblLecturas[Kilometraje],tblLecturas[Codigo],$A72)-_xlfn.MINIFS(tblLecturas[Kilometraje],tblLecturas[Codigo],$A72))/(MAX(1,_xlfn.MAXIFS(tblLecturas[Fecha],tblLecturas[Codigo],$A72)-_xlfn.MINIFS(tblLecturas[Fecha],tblLecturas[Codigo],$A72))),1),ROUND((_xlfn.MAXIFS(tblLecturas[Horometro],tblLecturas[Codigo],$A72)-_xlfn.MINIFS(tblLecturas[Horometro],tblLecturas[Codigo],$A72))/(MAX(1,_xlfn.MAXIFS(tblLecturas[Fecha],tblLecturas[Codigo],$A72)-_xlfn.MINIFS(tblLecturas[Fecha],tblLecturas[Codigo],$A72))),1)),"")</f>
        <v>0</v>
      </c>
      <c r="L72" s="20">
        <f>IFERROR(_xlfn.MAXIFS(tblLecturas[Fecha],tblLecturas[Codigo],$A72),"")</f>
        <v>0</v>
      </c>
      <c r="M72" s="26">
        <f>IFERROR(_xlfn.MAXIFS(Lecturas!$C:$C,Lecturas!$B:$B,$A72,Lecturas!$C:$C,"&gt;0"),"")</f>
        <v>0</v>
      </c>
      <c r="N72" s="78">
        <f>IFERROR(_xlfn.MAXIFS(tblLecturas[Kilometraje],tblLecturas[Codigo],$A72,tblLecturas[Kilometraje],"&gt;0"),"")</f>
        <v>0</v>
      </c>
      <c r="O72" s="78" t="str" cm="1">
        <f t="array" ref="O72">IFERROR(IF($I72="KM",LOOKUP(2,1/(Lecturas!$B:$B=$A72)/(Lecturas!$D:$D&gt;0),Lecturas!$D:$D),LOOKUP(2,1/(Lecturas!$B:$B=$A72)/(Lecturas!$C:$C&gt;0),Lecturas!$C:$C)),"")</f>
        <v/>
      </c>
      <c r="P72" s="20">
        <f>IFERROR(_xlfn.MAXIFS(tblMantenciones[Fecha],tblMantenciones[Codigo],tblMaestroEquipos[[#This Row],[Codigo]],tblMantenciones[EsPM],"Sí"),"")</f>
        <v>0</v>
      </c>
      <c r="Q72" s="78" t="str">
        <f>IF(_xlfn.MAXIFS(Mantenciones!$D:$D,Mantenciones!$B:$B,A72)=0,"Sin datos de mantención registrado",_xlfn.MAXIFS(Mantenciones!$D:$D,Mantenciones!$B:$B,A72))</f>
        <v>Sin datos de mantención registrado</v>
      </c>
      <c r="R72" s="18" t="str">
        <f>IFERROR(IF(_xlfn.MAXIFS(Mantenciones!$D:$D,Mantenciones!$B:$B,$A72,Mantenciones!$E:$E,"Sí",Mantenciones!$D:$D,"&gt;0")=0,"Sin datos de mantención registrado",_xlfn.MAXIFS(Mantenciones!$D:$D,Mantenciones!$B:$B,$A72,Mantenciones!$E:$E,"Sí",Mantenciones!$D:$D,"&gt;0")),"Sin datos de mantención registrado")</f>
        <v>Sin datos de mantención registrado</v>
      </c>
      <c r="S72" s="21">
        <f>IFERROR(SUMIFS(tblMantenciones[Costo Mantencion CLP],tblMantenciones[Codigo],A72),0)</f>
        <v>0</v>
      </c>
      <c r="T72" s="21">
        <f>IFERROR(SUMIFS(tblComprasPM[Costo PM CLP],tblComprasPM[Codigo],tblMaestroEquipos[[#This Row],[Codigo]]),0)</f>
        <v>0</v>
      </c>
      <c r="U72" s="21">
        <f>IFERROR(tblMaestroEquipos[[#This Row],[Costo Mantenciones CLP]]+tblMaestroEquipos[[#This Row],[Costo Compras PM CLP]],0)</f>
        <v>0</v>
      </c>
      <c r="V72" s="18" t="str">
        <f>IFERROR(_xlfn.XLOOKUP(tblMaestroEquipos[[#This Row],[Codigo]],tblEquipos[Codigo],tblEquipos[Estado Base]),"")</f>
        <v>Operativo</v>
      </c>
      <c r="W72" s="18" t="str">
        <f t="shared" si="10"/>
        <v>AL DÍA</v>
      </c>
      <c r="X72" s="18" t="str">
        <f t="shared" si="11"/>
        <v/>
      </c>
      <c r="Y7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7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72" s="25" t="str">
        <f>IFERROR(IF(_xlfn.MAXIFS(tblBodega[Fecha],tblBodega[Codigo],tblMaestroEquipos[[#This Row],[Codigo]])=0,"",_xlfn.MAXIFS(tblBodega[Fecha],tblBodega[Codigo],tblMaestroEquipos[[#This Row],[Codigo]])),"")</f>
        <v/>
      </c>
      <c r="AB7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7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7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72" s="51" t="str">
        <f t="shared" si="9"/>
        <v>OPERATIVO</v>
      </c>
      <c r="AF72" s="18" t="str">
        <f t="shared" si="12"/>
        <v>BAJA</v>
      </c>
      <c r="AG72" s="18" t="str">
        <f t="shared" si="13"/>
        <v>Monitorear próximo vencimiento</v>
      </c>
      <c r="AH72">
        <f t="shared" si="14"/>
        <v>0</v>
      </c>
      <c r="AI72" t="str">
        <f t="shared" si="15"/>
        <v/>
      </c>
      <c r="AJ72" s="24">
        <f t="shared" si="16"/>
        <v>99</v>
      </c>
    </row>
    <row r="73" spans="1:36">
      <c r="A73" s="18" t="s">
        <v>362</v>
      </c>
      <c r="B73" s="18" t="s">
        <v>279</v>
      </c>
      <c r="C73" s="18" t="s">
        <v>1070</v>
      </c>
      <c r="D73" s="18" t="s">
        <v>302</v>
      </c>
      <c r="E73" s="19" t="s">
        <v>363</v>
      </c>
      <c r="F73" s="18">
        <v>2011</v>
      </c>
      <c r="G73" s="18" t="str" cm="1">
        <f t="array" ref="G73">IFERROR(INDEX(Lecturas!$E$4:$E$3549,MATCH(1,(Lecturas!$B$4:$B$3549=$A73)*(Lecturas!$E$4:$E$3549&lt;&gt;"")*(Lecturas!$A$4:$A$3549=_xlfn.MAXIFS(Lecturas!$A$4:$A$3549,Lecturas!$B$4:$B$3549,$A73,Lecturas!$E$4:$E$3549,"&lt;&gt;")),0)),"")</f>
        <v/>
      </c>
      <c r="H73" s="18" t="s">
        <v>57</v>
      </c>
      <c r="I73" s="18" t="s">
        <v>18</v>
      </c>
      <c r="J73" s="18">
        <v>250</v>
      </c>
      <c r="K73" s="18">
        <f>IFERROR(IF($I73="KM",ROUND((_xlfn.MAXIFS(tblLecturas[Kilometraje],tblLecturas[Codigo],$A73)-_xlfn.MINIFS(tblLecturas[Kilometraje],tblLecturas[Codigo],$A73))/(MAX(1,_xlfn.MAXIFS(tblLecturas[Fecha],tblLecturas[Codigo],$A73)-_xlfn.MINIFS(tblLecturas[Fecha],tblLecturas[Codigo],$A73))),1),ROUND((_xlfn.MAXIFS(tblLecturas[Horometro],tblLecturas[Codigo],$A73)-_xlfn.MINIFS(tblLecturas[Horometro],tblLecturas[Codigo],$A73))/(MAX(1,_xlfn.MAXIFS(tblLecturas[Fecha],tblLecturas[Codigo],$A73)-_xlfn.MINIFS(tblLecturas[Fecha],tblLecturas[Codigo],$A73))),1)),"")</f>
        <v>0</v>
      </c>
      <c r="L73" s="20">
        <f>IFERROR(_xlfn.MAXIFS(tblLecturas[Fecha],tblLecturas[Codigo],$A73),"")</f>
        <v>0</v>
      </c>
      <c r="M73" s="26">
        <f>IFERROR(_xlfn.MAXIFS(Lecturas!$C:$C,Lecturas!$B:$B,$A73,Lecturas!$C:$C,"&gt;0"),"")</f>
        <v>0</v>
      </c>
      <c r="N73" s="78">
        <f>IFERROR(_xlfn.MAXIFS(tblLecturas[Kilometraje],tblLecturas[Codigo],$A73,tblLecturas[Kilometraje],"&gt;0"),"")</f>
        <v>0</v>
      </c>
      <c r="O73" s="78" t="str" cm="1">
        <f t="array" ref="O73">IFERROR(IF($I73="KM",LOOKUP(2,1/(Lecturas!$B:$B=$A73)/(Lecturas!$D:$D&gt;0),Lecturas!$D:$D),LOOKUP(2,1/(Lecturas!$B:$B=$A73)/(Lecturas!$C:$C&gt;0),Lecturas!$C:$C)),"")</f>
        <v/>
      </c>
      <c r="P73" s="20">
        <f>IFERROR(_xlfn.MAXIFS(tblMantenciones[Fecha],tblMantenciones[Codigo],tblMaestroEquipos[[#This Row],[Codigo]],tblMantenciones[EsPM],"Sí"),"")</f>
        <v>0</v>
      </c>
      <c r="Q73" s="78" t="str">
        <f>IF(_xlfn.MAXIFS(Mantenciones!$D:$D,Mantenciones!$B:$B,A73)=0,"Sin datos de mantención registrado",_xlfn.MAXIFS(Mantenciones!$D:$D,Mantenciones!$B:$B,A73))</f>
        <v>Sin datos de mantención registrado</v>
      </c>
      <c r="R73" s="18" t="str">
        <f>IFERROR(IF(_xlfn.MAXIFS(Mantenciones!$D:$D,Mantenciones!$B:$B,$A73,Mantenciones!$E:$E,"Sí",Mantenciones!$D:$D,"&gt;0")=0,"Sin datos de mantención registrado",_xlfn.MAXIFS(Mantenciones!$D:$D,Mantenciones!$B:$B,$A73,Mantenciones!$E:$E,"Sí",Mantenciones!$D:$D,"&gt;0")),"Sin datos de mantención registrado")</f>
        <v>Sin datos de mantención registrado</v>
      </c>
      <c r="S73" s="21">
        <f>IFERROR(SUMIFS(tblMantenciones[Costo Mantencion CLP],tblMantenciones[Codigo],A73),0)</f>
        <v>0</v>
      </c>
      <c r="T73" s="21">
        <f>IFERROR(SUMIFS(tblComprasPM[Costo PM CLP],tblComprasPM[Codigo],tblMaestroEquipos[[#This Row],[Codigo]]),0)</f>
        <v>0</v>
      </c>
      <c r="U73" s="21">
        <f>IFERROR(tblMaestroEquipos[[#This Row],[Costo Mantenciones CLP]]+tblMaestroEquipos[[#This Row],[Costo Compras PM CLP]],0)</f>
        <v>0</v>
      </c>
      <c r="V73" s="18" t="str">
        <f>IFERROR(_xlfn.XLOOKUP(tblMaestroEquipos[[#This Row],[Codigo]],tblEquipos[Codigo],tblEquipos[Estado Base]),"")</f>
        <v>Operativo</v>
      </c>
      <c r="W73" s="18" t="str">
        <f t="shared" si="10"/>
        <v>AL DÍA</v>
      </c>
      <c r="X73" s="18" t="str">
        <f t="shared" si="11"/>
        <v/>
      </c>
      <c r="Y73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73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73" s="25" t="str">
        <f>IFERROR(IF(_xlfn.MAXIFS(tblBodega[Fecha],tblBodega[Codigo],tblMaestroEquipos[[#This Row],[Codigo]])=0,"",_xlfn.MAXIFS(tblBodega[Fecha],tblBodega[Codigo],tblMaestroEquipos[[#This Row],[Codigo]])),"")</f>
        <v/>
      </c>
      <c r="AB73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7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7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73" s="51" t="str">
        <f t="shared" si="9"/>
        <v>OPERATIVO</v>
      </c>
      <c r="AF73" s="18" t="str">
        <f t="shared" si="12"/>
        <v>BAJA</v>
      </c>
      <c r="AG73" s="18" t="str">
        <f t="shared" si="13"/>
        <v>Monitorear próximo vencimiento</v>
      </c>
      <c r="AH73">
        <f t="shared" si="14"/>
        <v>0</v>
      </c>
      <c r="AI73" t="str">
        <f t="shared" si="15"/>
        <v/>
      </c>
      <c r="AJ73" s="24">
        <f t="shared" si="16"/>
        <v>99</v>
      </c>
    </row>
    <row r="74" spans="1:36">
      <c r="A74" s="18" t="s">
        <v>370</v>
      </c>
      <c r="B74" s="18" t="s">
        <v>340</v>
      </c>
      <c r="C74" s="18" t="s">
        <v>1070</v>
      </c>
      <c r="D74" s="18" t="s">
        <v>371</v>
      </c>
      <c r="E74" s="19" t="s">
        <v>372</v>
      </c>
      <c r="F74" s="18">
        <v>2009</v>
      </c>
      <c r="G74" s="18" t="str" cm="1">
        <f t="array" ref="G74">IFERROR(INDEX(Lecturas!$E$4:$E$3549,MATCH(1,(Lecturas!$B$4:$B$3549=$A74)*(Lecturas!$E$4:$E$3549&lt;&gt;"")*(Lecturas!$A$4:$A$3549=_xlfn.MAXIFS(Lecturas!$A$4:$A$3549,Lecturas!$B$4:$B$3549,$A74,Lecturas!$E$4:$E$3549,"&lt;&gt;")),0)),"")</f>
        <v/>
      </c>
      <c r="H74" s="18" t="s">
        <v>57</v>
      </c>
      <c r="I74" s="18" t="s">
        <v>18</v>
      </c>
      <c r="J74" s="18">
        <v>250</v>
      </c>
      <c r="K74" s="18">
        <f>IFERROR(IF($I74="KM",ROUND((_xlfn.MAXIFS(tblLecturas[Kilometraje],tblLecturas[Codigo],$A74)-_xlfn.MINIFS(tblLecturas[Kilometraje],tblLecturas[Codigo],$A74))/(MAX(1,_xlfn.MAXIFS(tblLecturas[Fecha],tblLecturas[Codigo],$A74)-_xlfn.MINIFS(tblLecturas[Fecha],tblLecturas[Codigo],$A74))),1),ROUND((_xlfn.MAXIFS(tblLecturas[Horometro],tblLecturas[Codigo],$A74)-_xlfn.MINIFS(tblLecturas[Horometro],tblLecturas[Codigo],$A74))/(MAX(1,_xlfn.MAXIFS(tblLecturas[Fecha],tblLecturas[Codigo],$A74)-_xlfn.MINIFS(tblLecturas[Fecha],tblLecturas[Codigo],$A74))),1)),"")</f>
        <v>0</v>
      </c>
      <c r="L74" s="20">
        <f>IFERROR(_xlfn.MAXIFS(tblLecturas[Fecha],tblLecturas[Codigo],$A74),"")</f>
        <v>0</v>
      </c>
      <c r="M74" s="26">
        <f>IFERROR(_xlfn.MAXIFS(Lecturas!$C:$C,Lecturas!$B:$B,$A74,Lecturas!$C:$C,"&gt;0"),"")</f>
        <v>0</v>
      </c>
      <c r="N74" s="78">
        <f>IFERROR(_xlfn.MAXIFS(tblLecturas[Kilometraje],tblLecturas[Codigo],$A74,tblLecturas[Kilometraje],"&gt;0"),"")</f>
        <v>0</v>
      </c>
      <c r="O74" s="78" t="str" cm="1">
        <f t="array" ref="O74">IFERROR(IF($I74="KM",LOOKUP(2,1/(Lecturas!$B:$B=$A74)/(Lecturas!$D:$D&gt;0),Lecturas!$D:$D),LOOKUP(2,1/(Lecturas!$B:$B=$A74)/(Lecturas!$C:$C&gt;0),Lecturas!$C:$C)),"")</f>
        <v/>
      </c>
      <c r="P74" s="20">
        <f>IFERROR(_xlfn.MAXIFS(tblMantenciones[Fecha],tblMantenciones[Codigo],tblMaestroEquipos[[#This Row],[Codigo]],tblMantenciones[EsPM],"Sí"),"")</f>
        <v>0</v>
      </c>
      <c r="Q74" s="78">
        <f>IF(_xlfn.MAXIFS(Mantenciones!$D:$D,Mantenciones!$B:$B,A74)=0,"Sin datos de mantención registrado",_xlfn.MAXIFS(Mantenciones!$D:$D,Mantenciones!$B:$B,A74))</f>
        <v>11688</v>
      </c>
      <c r="R74" s="18" t="str">
        <f>IFERROR(IF(_xlfn.MAXIFS(Mantenciones!$D:$D,Mantenciones!$B:$B,$A74,Mantenciones!$E:$E,"Sí",Mantenciones!$D:$D,"&gt;0")=0,"Sin datos de mantención registrado",_xlfn.MAXIFS(Mantenciones!$D:$D,Mantenciones!$B:$B,$A74,Mantenciones!$E:$E,"Sí",Mantenciones!$D:$D,"&gt;0")),"Sin datos de mantención registrado")</f>
        <v>Sin datos de mantención registrado</v>
      </c>
      <c r="S74" s="21">
        <f>IFERROR(SUMIFS(tblMantenciones[Costo Mantencion CLP],tblMantenciones[Codigo],A74),0)</f>
        <v>0</v>
      </c>
      <c r="T74" s="21">
        <f>IFERROR(SUMIFS(tblComprasPM[Costo PM CLP],tblComprasPM[Codigo],tblMaestroEquipos[[#This Row],[Codigo]]),0)</f>
        <v>0</v>
      </c>
      <c r="U74" s="21">
        <f>IFERROR(tblMaestroEquipos[[#This Row],[Costo Mantenciones CLP]]+tblMaestroEquipos[[#This Row],[Costo Compras PM CLP]],0)</f>
        <v>0</v>
      </c>
      <c r="V74" s="18" t="str">
        <f>IFERROR(_xlfn.XLOOKUP(tblMaestroEquipos[[#This Row],[Codigo]],tblEquipos[Codigo],tblEquipos[Estado Base]),"")</f>
        <v>Operativo</v>
      </c>
      <c r="W74" s="18" t="str">
        <f t="shared" si="10"/>
        <v>AL DÍA</v>
      </c>
      <c r="X74" s="18" t="str">
        <f t="shared" si="11"/>
        <v/>
      </c>
      <c r="Y7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7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74" s="25" t="str">
        <f>IFERROR(IF(_xlfn.MAXIFS(tblBodega[Fecha],tblBodega[Codigo],tblMaestroEquipos[[#This Row],[Codigo]])=0,"",_xlfn.MAXIFS(tblBodega[Fecha],tblBodega[Codigo],tblMaestroEquipos[[#This Row],[Codigo]])),"")</f>
        <v/>
      </c>
      <c r="AB7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7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7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74" s="51" t="str">
        <f t="shared" si="9"/>
        <v>OPERATIVO</v>
      </c>
      <c r="AF74" s="18" t="str">
        <f t="shared" si="12"/>
        <v>BAJA</v>
      </c>
      <c r="AG74" s="18" t="str">
        <f t="shared" si="13"/>
        <v>Monitorear próximo vencimiento</v>
      </c>
      <c r="AH74" s="27">
        <f t="shared" si="14"/>
        <v>0</v>
      </c>
      <c r="AI74" s="27" t="str">
        <f t="shared" si="15"/>
        <v/>
      </c>
      <c r="AJ74" s="24">
        <f t="shared" si="16"/>
        <v>99</v>
      </c>
    </row>
    <row r="75" spans="1:36">
      <c r="A75" s="18" t="s">
        <v>399</v>
      </c>
      <c r="B75" s="18" t="s">
        <v>264</v>
      </c>
      <c r="C75" s="18" t="s">
        <v>1070</v>
      </c>
      <c r="D75" s="18" t="s">
        <v>302</v>
      </c>
      <c r="E75" s="19" t="s">
        <v>400</v>
      </c>
      <c r="F75" s="18">
        <v>2012</v>
      </c>
      <c r="G75" s="18" t="str" cm="1">
        <f t="array" ref="G75">IFERROR(INDEX(Lecturas!$E$4:$E$3549,MATCH(1,(Lecturas!$B$4:$B$3549=$A75)*(Lecturas!$E$4:$E$3549&lt;&gt;"")*(Lecturas!$A$4:$A$3549=_xlfn.MAXIFS(Lecturas!$A$4:$A$3549,Lecturas!$B$4:$B$3549,$A75,Lecturas!$E$4:$E$3549,"&lt;&gt;")),0)),"")</f>
        <v/>
      </c>
      <c r="H75" s="18" t="s">
        <v>57</v>
      </c>
      <c r="I75" s="18" t="s">
        <v>18</v>
      </c>
      <c r="J75" s="18">
        <v>250</v>
      </c>
      <c r="K75" s="18">
        <f>IFERROR(IF($I75="KM",ROUND((_xlfn.MAXIFS(tblLecturas[Kilometraje],tblLecturas[Codigo],$A75)-_xlfn.MINIFS(tblLecturas[Kilometraje],tblLecturas[Codigo],$A75))/(MAX(1,_xlfn.MAXIFS(tblLecturas[Fecha],tblLecturas[Codigo],$A75)-_xlfn.MINIFS(tblLecturas[Fecha],tblLecturas[Codigo],$A75))),1),ROUND((_xlfn.MAXIFS(tblLecturas[Horometro],tblLecturas[Codigo],$A75)-_xlfn.MINIFS(tblLecturas[Horometro],tblLecturas[Codigo],$A75))/(MAX(1,_xlfn.MAXIFS(tblLecturas[Fecha],tblLecturas[Codigo],$A75)-_xlfn.MINIFS(tblLecturas[Fecha],tblLecturas[Codigo],$A75))),1)),"")</f>
        <v>0</v>
      </c>
      <c r="L75" s="20">
        <f>IFERROR(_xlfn.MAXIFS(tblLecturas[Fecha],tblLecturas[Codigo],$A75),"")</f>
        <v>0</v>
      </c>
      <c r="M75" s="26">
        <f>IFERROR(_xlfn.MAXIFS(Lecturas!$C:$C,Lecturas!$B:$B,$A75,Lecturas!$C:$C,"&gt;0"),"")</f>
        <v>0</v>
      </c>
      <c r="N75" s="78">
        <f>IFERROR(_xlfn.MAXIFS(tblLecturas[Kilometraje],tblLecturas[Codigo],$A75,tblLecturas[Kilometraje],"&gt;0"),"")</f>
        <v>0</v>
      </c>
      <c r="O75" s="78" t="str" cm="1">
        <f t="array" ref="O75">IFERROR(IF($I75="KM",LOOKUP(2,1/(Lecturas!$B:$B=$A75)/(Lecturas!$D:$D&gt;0),Lecturas!$D:$D),LOOKUP(2,1/(Lecturas!$B:$B=$A75)/(Lecturas!$C:$C&gt;0),Lecturas!$C:$C)),"")</f>
        <v/>
      </c>
      <c r="P75" s="20">
        <f>IFERROR(_xlfn.MAXIFS(tblMantenciones[Fecha],tblMantenciones[Codigo],tblMaestroEquipos[[#This Row],[Codigo]],tblMantenciones[EsPM],"Sí"),"")</f>
        <v>0</v>
      </c>
      <c r="Q75" s="78" t="str">
        <f>IF(_xlfn.MAXIFS(Mantenciones!$D:$D,Mantenciones!$B:$B,A75)=0,"Sin datos de mantención registrado",_xlfn.MAXIFS(Mantenciones!$D:$D,Mantenciones!$B:$B,A75))</f>
        <v>Sin datos de mantención registrado</v>
      </c>
      <c r="R75" s="18" t="str">
        <f>IFERROR(IF(_xlfn.MAXIFS(Mantenciones!$D:$D,Mantenciones!$B:$B,$A75,Mantenciones!$E:$E,"Sí",Mantenciones!$D:$D,"&gt;0")=0,"Sin datos de mantención registrado",_xlfn.MAXIFS(Mantenciones!$D:$D,Mantenciones!$B:$B,$A75,Mantenciones!$E:$E,"Sí",Mantenciones!$D:$D,"&gt;0")),"Sin datos de mantención registrado")</f>
        <v>Sin datos de mantención registrado</v>
      </c>
      <c r="S75" s="21">
        <f>IFERROR(SUMIFS(tblMantenciones[Costo Mantencion CLP],tblMantenciones[Codigo],A75),0)</f>
        <v>0</v>
      </c>
      <c r="T75" s="21">
        <f>IFERROR(SUMIFS(tblComprasPM[Costo PM CLP],tblComprasPM[Codigo],tblMaestroEquipos[[#This Row],[Codigo]]),0)</f>
        <v>0</v>
      </c>
      <c r="U75" s="21">
        <f>IFERROR(tblMaestroEquipos[[#This Row],[Costo Mantenciones CLP]]+tblMaestroEquipos[[#This Row],[Costo Compras PM CLP]],0)</f>
        <v>0</v>
      </c>
      <c r="V75" s="18" t="str">
        <f>IFERROR(_xlfn.XLOOKUP(tblMaestroEquipos[[#This Row],[Codigo]],tblEquipos[Codigo],tblEquipos[Estado Base]),"")</f>
        <v>Fuera de Servicio</v>
      </c>
      <c r="W75" s="18" t="str">
        <f t="shared" si="10"/>
        <v>FUERA DE SERVICIO</v>
      </c>
      <c r="X75" s="18" t="str">
        <f t="shared" si="11"/>
        <v/>
      </c>
      <c r="Y7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7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75" s="25" t="str">
        <f>IFERROR(IF(_xlfn.MAXIFS(tblBodega[Fecha],tblBodega[Codigo],tblMaestroEquipos[[#This Row],[Codigo]])=0,"",_xlfn.MAXIFS(tblBodega[Fecha],tblBodega[Codigo],tblMaestroEquipos[[#This Row],[Codigo]])),"")</f>
        <v/>
      </c>
      <c r="AB7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7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7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75" s="51" t="str">
        <f t="shared" si="9"/>
        <v>FUERA DE SERVICIO</v>
      </c>
      <c r="AF75" s="18" t="str">
        <f t="shared" si="12"/>
        <v>NO APLICA</v>
      </c>
      <c r="AG75" s="18" t="str">
        <f t="shared" si="13"/>
        <v>No programar compra</v>
      </c>
      <c r="AH75" s="27">
        <f t="shared" si="14"/>
        <v>0</v>
      </c>
      <c r="AI75" s="27" t="str">
        <f t="shared" si="15"/>
        <v/>
      </c>
      <c r="AJ75" s="24">
        <f t="shared" si="16"/>
        <v>99</v>
      </c>
    </row>
    <row r="76" spans="1:36">
      <c r="A76" s="18" t="s">
        <v>401</v>
      </c>
      <c r="B76" s="18" t="s">
        <v>402</v>
      </c>
      <c r="C76" s="18" t="s">
        <v>1070</v>
      </c>
      <c r="D76" s="18" t="s">
        <v>403</v>
      </c>
      <c r="E76" s="19" t="s">
        <v>404</v>
      </c>
      <c r="F76" s="18">
        <v>1998</v>
      </c>
      <c r="G76" s="18" t="str" cm="1">
        <f t="array" ref="G76">IFERROR(INDEX(Lecturas!$E$4:$E$3549,MATCH(1,(Lecturas!$B$4:$B$3549=$A76)*(Lecturas!$E$4:$E$3549&lt;&gt;"")*(Lecturas!$A$4:$A$3549=_xlfn.MAXIFS(Lecturas!$A$4:$A$3549,Lecturas!$B$4:$B$3549,$A76,Lecturas!$E$4:$E$3549,"&lt;&gt;")),0)),"")</f>
        <v/>
      </c>
      <c r="H76" s="18" t="s">
        <v>57</v>
      </c>
      <c r="I76" s="18" t="s">
        <v>18</v>
      </c>
      <c r="J76" s="18">
        <v>250</v>
      </c>
      <c r="K76" s="18">
        <f>IFERROR(IF($I76="KM",ROUND((_xlfn.MAXIFS(tblLecturas[Kilometraje],tblLecturas[Codigo],$A76)-_xlfn.MINIFS(tblLecturas[Kilometraje],tblLecturas[Codigo],$A76))/(MAX(1,_xlfn.MAXIFS(tblLecturas[Fecha],tblLecturas[Codigo],$A76)-_xlfn.MINIFS(tblLecturas[Fecha],tblLecturas[Codigo],$A76))),1),ROUND((_xlfn.MAXIFS(tblLecturas[Horometro],tblLecturas[Codigo],$A76)-_xlfn.MINIFS(tblLecturas[Horometro],tblLecturas[Codigo],$A76))/(MAX(1,_xlfn.MAXIFS(tblLecturas[Fecha],tblLecturas[Codigo],$A76)-_xlfn.MINIFS(tblLecturas[Fecha],tblLecturas[Codigo],$A76))),1)),"")</f>
        <v>0</v>
      </c>
      <c r="L76" s="20">
        <f>IFERROR(_xlfn.MAXIFS(tblLecturas[Fecha],tblLecturas[Codigo],$A76),"")</f>
        <v>0</v>
      </c>
      <c r="M76" s="26">
        <f>IFERROR(_xlfn.MAXIFS(Lecturas!$C:$C,Lecturas!$B:$B,$A76,Lecturas!$C:$C,"&gt;0"),"")</f>
        <v>0</v>
      </c>
      <c r="N76" s="78">
        <f>IFERROR(_xlfn.MAXIFS(tblLecturas[Kilometraje],tblLecturas[Codigo],$A76,tblLecturas[Kilometraje],"&gt;0"),"")</f>
        <v>0</v>
      </c>
      <c r="O76" s="78" t="str" cm="1">
        <f t="array" ref="O76">IFERROR(IF($I76="KM",LOOKUP(2,1/(Lecturas!$B:$B=$A76)/(Lecturas!$D:$D&gt;0),Lecturas!$D:$D),LOOKUP(2,1/(Lecturas!$B:$B=$A76)/(Lecturas!$C:$C&gt;0),Lecturas!$C:$C)),"")</f>
        <v/>
      </c>
      <c r="P76" s="20">
        <f>IFERROR(_xlfn.MAXIFS(tblMantenciones[Fecha],tblMantenciones[Codigo],tblMaestroEquipos[[#This Row],[Codigo]],tblMantenciones[EsPM],"Sí"),"")</f>
        <v>0</v>
      </c>
      <c r="Q76" s="78">
        <f>IF(_xlfn.MAXIFS(Mantenciones!$D:$D,Mantenciones!$B:$B,A76)=0,"Sin datos de mantención registrado",_xlfn.MAXIFS(Mantenciones!$D:$D,Mantenciones!$B:$B,A76))</f>
        <v>4240</v>
      </c>
      <c r="R76" s="18" t="str">
        <f>IFERROR(IF(_xlfn.MAXIFS(Mantenciones!$D:$D,Mantenciones!$B:$B,$A76,Mantenciones!$E:$E,"Sí",Mantenciones!$D:$D,"&gt;0")=0,"Sin datos de mantención registrado",_xlfn.MAXIFS(Mantenciones!$D:$D,Mantenciones!$B:$B,$A76,Mantenciones!$E:$E,"Sí",Mantenciones!$D:$D,"&gt;0")),"Sin datos de mantención registrado")</f>
        <v>Sin datos de mantención registrado</v>
      </c>
      <c r="S76" s="21">
        <f>IFERROR(SUMIFS(tblMantenciones[Costo Mantencion CLP],tblMantenciones[Codigo],A76),0)</f>
        <v>0</v>
      </c>
      <c r="T76" s="21">
        <f>IFERROR(SUMIFS(tblComprasPM[Costo PM CLP],tblComprasPM[Codigo],tblMaestroEquipos[[#This Row],[Codigo]]),0)</f>
        <v>0</v>
      </c>
      <c r="U76" s="21">
        <f>IFERROR(tblMaestroEquipos[[#This Row],[Costo Mantenciones CLP]]+tblMaestroEquipos[[#This Row],[Costo Compras PM CLP]],0)</f>
        <v>0</v>
      </c>
      <c r="V76" s="18" t="str">
        <f>IFERROR(_xlfn.XLOOKUP(tblMaestroEquipos[[#This Row],[Codigo]],tblEquipos[Codigo],tblEquipos[Estado Base]),"")</f>
        <v>Fuera de Servicio</v>
      </c>
      <c r="W76" s="18" t="str">
        <f t="shared" si="10"/>
        <v>FUERA DE SERVICIO</v>
      </c>
      <c r="X76" s="18" t="str">
        <f t="shared" si="11"/>
        <v/>
      </c>
      <c r="Y7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7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76" s="25" t="str">
        <f>IFERROR(IF(_xlfn.MAXIFS(tblBodega[Fecha],tblBodega[Codigo],tblMaestroEquipos[[#This Row],[Codigo]])=0,"",_xlfn.MAXIFS(tblBodega[Fecha],tblBodega[Codigo],tblMaestroEquipos[[#This Row],[Codigo]])),"")</f>
        <v/>
      </c>
      <c r="AB7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7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7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76" s="51" t="str">
        <f t="shared" si="9"/>
        <v>FUERA DE SERVICIO</v>
      </c>
      <c r="AF76" s="18" t="str">
        <f t="shared" si="12"/>
        <v>NO APLICA</v>
      </c>
      <c r="AG76" s="18" t="str">
        <f t="shared" si="13"/>
        <v>No programar compra</v>
      </c>
      <c r="AH76" s="27">
        <f t="shared" si="14"/>
        <v>0</v>
      </c>
      <c r="AI76" s="27" t="str">
        <f t="shared" si="15"/>
        <v/>
      </c>
      <c r="AJ76" s="24">
        <f t="shared" si="16"/>
        <v>99</v>
      </c>
    </row>
    <row r="77" spans="1:36">
      <c r="A77" s="18" t="s">
        <v>410</v>
      </c>
      <c r="B77" s="18" t="s">
        <v>411</v>
      </c>
      <c r="C77" s="18" t="s">
        <v>1070</v>
      </c>
      <c r="D77" s="18" t="s">
        <v>412</v>
      </c>
      <c r="E77" s="19" t="s">
        <v>413</v>
      </c>
      <c r="F77" s="18">
        <v>2001</v>
      </c>
      <c r="G77" s="18" t="str" cm="1">
        <f t="array" ref="G77">IFERROR(INDEX(Lecturas!$E$4:$E$3549,MATCH(1,(Lecturas!$B$4:$B$3549=$A77)*(Lecturas!$E$4:$E$3549&lt;&gt;"")*(Lecturas!$A$4:$A$3549=_xlfn.MAXIFS(Lecturas!$A$4:$A$3549,Lecturas!$B$4:$B$3549,$A77,Lecturas!$E$4:$E$3549,"&lt;&gt;")),0)),"")</f>
        <v/>
      </c>
      <c r="H77" s="18" t="s">
        <v>151</v>
      </c>
      <c r="I77" s="18" t="s">
        <v>18</v>
      </c>
      <c r="J77" s="18">
        <v>250</v>
      </c>
      <c r="K77" s="18">
        <f>IFERROR(IF($I77="KM",ROUND((_xlfn.MAXIFS(tblLecturas[Kilometraje],tblLecturas[Codigo],$A77)-_xlfn.MINIFS(tblLecturas[Kilometraje],tblLecturas[Codigo],$A77))/(MAX(1,_xlfn.MAXIFS(tblLecturas[Fecha],tblLecturas[Codigo],$A77)-_xlfn.MINIFS(tblLecturas[Fecha],tblLecturas[Codigo],$A77))),1),ROUND((_xlfn.MAXIFS(tblLecturas[Horometro],tblLecturas[Codigo],$A77)-_xlfn.MINIFS(tblLecturas[Horometro],tblLecturas[Codigo],$A77))/(MAX(1,_xlfn.MAXIFS(tblLecturas[Fecha],tblLecturas[Codigo],$A77)-_xlfn.MINIFS(tblLecturas[Fecha],tblLecturas[Codigo],$A77))),1)),"")</f>
        <v>0</v>
      </c>
      <c r="L77" s="20">
        <f>IFERROR(_xlfn.MAXIFS(tblLecturas[Fecha],tblLecturas[Codigo],$A77),"")</f>
        <v>0</v>
      </c>
      <c r="M77" s="26">
        <f>IFERROR(_xlfn.MAXIFS(Lecturas!$C:$C,Lecturas!$B:$B,$A77,Lecturas!$C:$C,"&gt;0"),"")</f>
        <v>0</v>
      </c>
      <c r="N77" s="78">
        <f>IFERROR(_xlfn.MAXIFS(tblLecturas[Kilometraje],tblLecturas[Codigo],$A77,tblLecturas[Kilometraje],"&gt;0"),"")</f>
        <v>0</v>
      </c>
      <c r="O77" s="78" t="str" cm="1">
        <f t="array" ref="O77">IFERROR(IF($I77="KM",LOOKUP(2,1/(Lecturas!$B:$B=$A77)/(Lecturas!$D:$D&gt;0),Lecturas!$D:$D),LOOKUP(2,1/(Lecturas!$B:$B=$A77)/(Lecturas!$C:$C&gt;0),Lecturas!$C:$C)),"")</f>
        <v/>
      </c>
      <c r="P77" s="20">
        <f>IFERROR(_xlfn.MAXIFS(tblMantenciones[Fecha],tblMantenciones[Codigo],tblMaestroEquipos[[#This Row],[Codigo]],tblMantenciones[EsPM],"Sí"),"")</f>
        <v>0</v>
      </c>
      <c r="Q77" s="78" t="str">
        <f>IF(_xlfn.MAXIFS(Mantenciones!$D:$D,Mantenciones!$B:$B,A77)=0,"Sin datos de mantención registrado",_xlfn.MAXIFS(Mantenciones!$D:$D,Mantenciones!$B:$B,A77))</f>
        <v>Sin datos de mantención registrado</v>
      </c>
      <c r="R77" s="18" t="str">
        <f>IFERROR(IF(_xlfn.MAXIFS(Mantenciones!$D:$D,Mantenciones!$B:$B,$A77,Mantenciones!$E:$E,"Sí",Mantenciones!$D:$D,"&gt;0")=0,"Sin datos de mantención registrado",_xlfn.MAXIFS(Mantenciones!$D:$D,Mantenciones!$B:$B,$A77,Mantenciones!$E:$E,"Sí",Mantenciones!$D:$D,"&gt;0")),"Sin datos de mantención registrado")</f>
        <v>Sin datos de mantención registrado</v>
      </c>
      <c r="S77" s="21">
        <f>IFERROR(SUMIFS(tblMantenciones[Costo Mantencion CLP],tblMantenciones[Codigo],A77),0)</f>
        <v>0</v>
      </c>
      <c r="T77" s="21">
        <f>IFERROR(SUMIFS(tblComprasPM[Costo PM CLP],tblComprasPM[Codigo],tblMaestroEquipos[[#This Row],[Codigo]]),0)</f>
        <v>0</v>
      </c>
      <c r="U77" s="21">
        <f>IFERROR(tblMaestroEquipos[[#This Row],[Costo Mantenciones CLP]]+tblMaestroEquipos[[#This Row],[Costo Compras PM CLP]],0)</f>
        <v>0</v>
      </c>
      <c r="V77" s="18" t="str">
        <f>IFERROR(_xlfn.XLOOKUP(tblMaestroEquipos[[#This Row],[Codigo]],tblEquipos[Codigo],tblEquipos[Estado Base]),"")</f>
        <v>Fuera de Servicio</v>
      </c>
      <c r="W77" s="18" t="str">
        <f t="shared" si="10"/>
        <v>FUERA DE SERVICIO</v>
      </c>
      <c r="X77" s="18" t="str">
        <f t="shared" si="11"/>
        <v/>
      </c>
      <c r="Y7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7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77" s="25" t="str">
        <f>IFERROR(IF(_xlfn.MAXIFS(tblBodega[Fecha],tblBodega[Codigo],tblMaestroEquipos[[#This Row],[Codigo]])=0,"",_xlfn.MAXIFS(tblBodega[Fecha],tblBodega[Codigo],tblMaestroEquipos[[#This Row],[Codigo]])),"")</f>
        <v/>
      </c>
      <c r="AB7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7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7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77" s="51" t="str">
        <f t="shared" si="9"/>
        <v>FUERA DE SERVICIO</v>
      </c>
      <c r="AF77" s="18" t="str">
        <f t="shared" si="12"/>
        <v>NO APLICA</v>
      </c>
      <c r="AG77" s="18" t="str">
        <f t="shared" si="13"/>
        <v>No programar compra</v>
      </c>
      <c r="AH77" s="27">
        <f t="shared" si="14"/>
        <v>0</v>
      </c>
      <c r="AI77" s="27" t="str">
        <f t="shared" si="15"/>
        <v/>
      </c>
      <c r="AJ77" s="24">
        <f t="shared" si="16"/>
        <v>99</v>
      </c>
    </row>
    <row r="78" spans="1:36">
      <c r="A78" s="18" t="s">
        <v>427</v>
      </c>
      <c r="B78" s="18" t="s">
        <v>259</v>
      </c>
      <c r="C78" s="18" t="s">
        <v>1070</v>
      </c>
      <c r="D78" s="18" t="s">
        <v>421</v>
      </c>
      <c r="E78" s="19" t="s">
        <v>428</v>
      </c>
      <c r="F78" s="18">
        <v>2019</v>
      </c>
      <c r="G78" s="18" t="str" cm="1">
        <f t="array" ref="G78">IFERROR(INDEX(Lecturas!$E$4:$E$3549,MATCH(1,(Lecturas!$B$4:$B$3549=$A78)*(Lecturas!$E$4:$E$3549&lt;&gt;"")*(Lecturas!$A$4:$A$3549=_xlfn.MAXIFS(Lecturas!$A$4:$A$3549,Lecturas!$B$4:$B$3549,$A78,Lecturas!$E$4:$E$3549,"&lt;&gt;")),0)),"")</f>
        <v/>
      </c>
      <c r="H78" s="18" t="s">
        <v>429</v>
      </c>
      <c r="I78" s="18" t="s">
        <v>18</v>
      </c>
      <c r="J78" s="18">
        <v>250</v>
      </c>
      <c r="K78" s="18">
        <f>IFERROR(IF($I78="KM",ROUND((_xlfn.MAXIFS(tblLecturas[Kilometraje],tblLecturas[Codigo],$A78)-_xlfn.MINIFS(tblLecturas[Kilometraje],tblLecturas[Codigo],$A78))/(MAX(1,_xlfn.MAXIFS(tblLecturas[Fecha],tblLecturas[Codigo],$A78)-_xlfn.MINIFS(tblLecturas[Fecha],tblLecturas[Codigo],$A78))),1),ROUND((_xlfn.MAXIFS(tblLecturas[Horometro],tblLecturas[Codigo],$A78)-_xlfn.MINIFS(tblLecturas[Horometro],tblLecturas[Codigo],$A78))/(MAX(1,_xlfn.MAXIFS(tblLecturas[Fecha],tblLecturas[Codigo],$A78)-_xlfn.MINIFS(tblLecturas[Fecha],tblLecturas[Codigo],$A78))),1)),"")</f>
        <v>0</v>
      </c>
      <c r="L78" s="20">
        <f>IFERROR(_xlfn.MAXIFS(tblLecturas[Fecha],tblLecturas[Codigo],$A78),"")</f>
        <v>46108</v>
      </c>
      <c r="M78" s="26">
        <f>IFERROR(_xlfn.MAXIFS(Lecturas!$C:$C,Lecturas!$B:$B,$A78,Lecturas!$C:$C,"&gt;0"),"")</f>
        <v>6777</v>
      </c>
      <c r="N78" s="78">
        <f>IFERROR(_xlfn.MAXIFS(tblLecturas[Kilometraje],tblLecturas[Codigo],$A78,tblLecturas[Kilometraje],"&gt;0"),"")</f>
        <v>0</v>
      </c>
      <c r="O78" s="78" cm="1">
        <f t="array" ref="O78">IFERROR(IF($I78="KM",LOOKUP(2,1/(Lecturas!$B:$B=$A78)/(Lecturas!$D:$D&gt;0),Lecturas!$D:$D),LOOKUP(2,1/(Lecturas!$B:$B=$A78)/(Lecturas!$C:$C&gt;0),Lecturas!$C:$C)),"")</f>
        <v>6777</v>
      </c>
      <c r="P78" s="20">
        <f>IFERROR(_xlfn.MAXIFS(tblMantenciones[Fecha],tblMantenciones[Codigo],tblMaestroEquipos[[#This Row],[Codigo]],tblMantenciones[EsPM],"Sí"),"")</f>
        <v>46100</v>
      </c>
      <c r="Q78" s="78">
        <f>IF(_xlfn.MAXIFS(Mantenciones!$D:$D,Mantenciones!$B:$B,A78)=0,"Sin datos de mantención registrado",_xlfn.MAXIFS(Mantenciones!$D:$D,Mantenciones!$B:$B,A78))</f>
        <v>6683</v>
      </c>
      <c r="R78" s="18">
        <f>IFERROR(IF(_xlfn.MAXIFS(Mantenciones!$D:$D,Mantenciones!$B:$B,$A78,Mantenciones!$E:$E,"Sí",Mantenciones!$D:$D,"&gt;0")=0,"Sin datos de mantención registrado",_xlfn.MAXIFS(Mantenciones!$D:$D,Mantenciones!$B:$B,$A78,Mantenciones!$E:$E,"Sí",Mantenciones!$D:$D,"&gt;0")),"Sin datos de mantención registrado")</f>
        <v>6683</v>
      </c>
      <c r="S78" s="21">
        <f>IFERROR(SUMIFS(tblMantenciones[Costo Mantencion CLP],tblMantenciones[Codigo],A78),0)</f>
        <v>0</v>
      </c>
      <c r="T78" s="21">
        <f>IFERROR(SUMIFS(tblComprasPM[Costo PM CLP],tblComprasPM[Codigo],tblMaestroEquipos[[#This Row],[Codigo]]),0)</f>
        <v>450580.41</v>
      </c>
      <c r="U78" s="21">
        <f>IFERROR(tblMaestroEquipos[[#This Row],[Costo Mantenciones CLP]]+tblMaestroEquipos[[#This Row],[Costo Compras PM CLP]],0)</f>
        <v>450580.41</v>
      </c>
      <c r="V78" s="18" t="str">
        <f>IFERROR(_xlfn.XLOOKUP(tblMaestroEquipos[[#This Row],[Codigo]],tblEquipos[Codigo],tblEquipos[Estado Base]),"")</f>
        <v>Operativo</v>
      </c>
      <c r="W78" s="18" t="str">
        <f t="shared" si="10"/>
        <v>POR RECIBIR</v>
      </c>
      <c r="X78" s="18">
        <f t="shared" si="11"/>
        <v>156</v>
      </c>
      <c r="Y78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46264</v>
      </c>
      <c r="Z78" s="25">
        <f>IFERROR(IF(_xlfn.MINIFS(tblComprasPM[Fecha],tblComprasPM[Codigo],tblMaestroEquipos[[#This Row],[Codigo]])=0,"",_xlfn.MINIFS(tblComprasPM[Fecha],tblComprasPM[Codigo],tblMaestroEquipos[[#This Row],[Codigo]])),"")</f>
        <v>46085.498313113399</v>
      </c>
      <c r="AA78" s="25">
        <f>IFERROR(IF(_xlfn.MAXIFS(tblBodega[Fecha],tblBodega[Codigo],tblMaestroEquipos[[#This Row],[Codigo]])=0,"",_xlfn.MAXIFS(tblBodega[Fecha],tblBodega[Codigo],tblMaestroEquipos[[#This Row],[Codigo]])),"")</f>
        <v>46101</v>
      </c>
      <c r="AB7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15</v>
      </c>
      <c r="AC78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7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78" s="51" t="str">
        <f t="shared" si="9"/>
        <v>OPERATIVO</v>
      </c>
      <c r="AF78" s="18" t="str">
        <f t="shared" si="12"/>
        <v>BAJA</v>
      </c>
      <c r="AG78" s="18" t="str">
        <f t="shared" si="13"/>
        <v>Monitorear próximo vencimiento</v>
      </c>
      <c r="AH78">
        <f t="shared" si="14"/>
        <v>0</v>
      </c>
      <c r="AI78" t="str">
        <f t="shared" si="15"/>
        <v/>
      </c>
      <c r="AJ78" s="24">
        <f t="shared" si="16"/>
        <v>3</v>
      </c>
    </row>
    <row r="79" spans="1:36">
      <c r="A79" s="18" t="s">
        <v>433</v>
      </c>
      <c r="B79" s="18" t="s">
        <v>259</v>
      </c>
      <c r="C79" s="18" t="s">
        <v>1070</v>
      </c>
      <c r="D79" s="18" t="s">
        <v>296</v>
      </c>
      <c r="E79" s="19" t="s">
        <v>434</v>
      </c>
      <c r="F79" s="18">
        <v>2007</v>
      </c>
      <c r="G79" s="18" t="str" cm="1">
        <f t="array" ref="G79">IFERROR(INDEX(Lecturas!$E$4:$E$3549,MATCH(1,(Lecturas!$B$4:$B$3549=$A79)*(Lecturas!$E$4:$E$3549&lt;&gt;"")*(Lecturas!$A$4:$A$3549=_xlfn.MAXIFS(Lecturas!$A$4:$A$3549,Lecturas!$B$4:$B$3549,$A79,Lecturas!$E$4:$E$3549,"&lt;&gt;")),0)),"")</f>
        <v/>
      </c>
      <c r="H79" s="18" t="s">
        <v>435</v>
      </c>
      <c r="I79" s="18" t="s">
        <v>18</v>
      </c>
      <c r="J79" s="18">
        <v>250</v>
      </c>
      <c r="K79" s="18">
        <f>IFERROR(IF($I79="KM",ROUND((_xlfn.MAXIFS(tblLecturas[Kilometraje],tblLecturas[Codigo],$A79)-_xlfn.MINIFS(tblLecturas[Kilometraje],tblLecturas[Codigo],$A79))/(MAX(1,_xlfn.MAXIFS(tblLecturas[Fecha],tblLecturas[Codigo],$A79)-_xlfn.MINIFS(tblLecturas[Fecha],tblLecturas[Codigo],$A79))),1),ROUND((_xlfn.MAXIFS(tblLecturas[Horometro],tblLecturas[Codigo],$A79)-_xlfn.MINIFS(tblLecturas[Horometro],tblLecturas[Codigo],$A79))/(MAX(1,_xlfn.MAXIFS(tblLecturas[Fecha],tblLecturas[Codigo],$A79)-_xlfn.MINIFS(tblLecturas[Fecha],tblLecturas[Codigo],$A79))),1)),"")</f>
        <v>0</v>
      </c>
      <c r="L79" s="20">
        <f>IFERROR(_xlfn.MAXIFS(tblLecturas[Fecha],tblLecturas[Codigo],$A79),"")</f>
        <v>0</v>
      </c>
      <c r="M79" s="26">
        <f>IFERROR(_xlfn.MAXIFS(Lecturas!$C:$C,Lecturas!$B:$B,$A79,Lecturas!$C:$C,"&gt;0"),"")</f>
        <v>0</v>
      </c>
      <c r="N79" s="78">
        <f>IFERROR(_xlfn.MAXIFS(tblLecturas[Kilometraje],tblLecturas[Codigo],$A79,tblLecturas[Kilometraje],"&gt;0"),"")</f>
        <v>0</v>
      </c>
      <c r="O79" s="78" t="str" cm="1">
        <f t="array" ref="O79">IFERROR(IF($I79="KM",LOOKUP(2,1/(Lecturas!$B:$B=$A79)/(Lecturas!$D:$D&gt;0),Lecturas!$D:$D),LOOKUP(2,1/(Lecturas!$B:$B=$A79)/(Lecturas!$C:$C&gt;0),Lecturas!$C:$C)),"")</f>
        <v/>
      </c>
      <c r="P79" s="20">
        <f>IFERROR(_xlfn.MAXIFS(tblMantenciones[Fecha],tblMantenciones[Codigo],tblMaestroEquipos[[#This Row],[Codigo]],tblMantenciones[EsPM],"Sí"),"")</f>
        <v>0</v>
      </c>
      <c r="Q79" s="78" t="str">
        <f>IF(_xlfn.MAXIFS(Mantenciones!$D:$D,Mantenciones!$B:$B,A79)=0,"Sin datos de mantención registrado",_xlfn.MAXIFS(Mantenciones!$D:$D,Mantenciones!$B:$B,A79))</f>
        <v>Sin datos de mantención registrado</v>
      </c>
      <c r="R79" s="18" t="str">
        <f>IFERROR(IF(_xlfn.MAXIFS(Mantenciones!$D:$D,Mantenciones!$B:$B,$A79,Mantenciones!$E:$E,"Sí",Mantenciones!$D:$D,"&gt;0")=0,"Sin datos de mantención registrado",_xlfn.MAXIFS(Mantenciones!$D:$D,Mantenciones!$B:$B,$A79,Mantenciones!$E:$E,"Sí",Mantenciones!$D:$D,"&gt;0")),"Sin datos de mantención registrado")</f>
        <v>Sin datos de mantención registrado</v>
      </c>
      <c r="S79" s="21">
        <f>IFERROR(SUMIFS(tblMantenciones[Costo Mantencion CLP],tblMantenciones[Codigo],A79),0)</f>
        <v>0</v>
      </c>
      <c r="T79" s="21">
        <f>IFERROR(SUMIFS(tblComprasPM[Costo PM CLP],tblComprasPM[Codigo],tblMaestroEquipos[[#This Row],[Codigo]]),0)</f>
        <v>0</v>
      </c>
      <c r="U79" s="21">
        <f>IFERROR(tblMaestroEquipos[[#This Row],[Costo Mantenciones CLP]]+tblMaestroEquipos[[#This Row],[Costo Compras PM CLP]],0)</f>
        <v>0</v>
      </c>
      <c r="V79" s="18" t="str">
        <f>IFERROR(_xlfn.XLOOKUP(tblMaestroEquipos[[#This Row],[Codigo]],tblEquipos[Codigo],tblEquipos[Estado Base]),"")</f>
        <v>Operativo</v>
      </c>
      <c r="W79" s="18" t="str">
        <f t="shared" si="10"/>
        <v>AL DÍA</v>
      </c>
      <c r="X79" s="18" t="str">
        <f t="shared" si="11"/>
        <v/>
      </c>
      <c r="Y7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7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79" s="25" t="str">
        <f>IFERROR(IF(_xlfn.MAXIFS(tblBodega[Fecha],tblBodega[Codigo],tblMaestroEquipos[[#This Row],[Codigo]])=0,"",_xlfn.MAXIFS(tblBodega[Fecha],tblBodega[Codigo],tblMaestroEquipos[[#This Row],[Codigo]])),"")</f>
        <v/>
      </c>
      <c r="AB7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7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7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79" s="51" t="str">
        <f t="shared" si="9"/>
        <v>OPERATIVO</v>
      </c>
      <c r="AF79" s="18" t="str">
        <f t="shared" si="12"/>
        <v>BAJA</v>
      </c>
      <c r="AG79" s="18" t="str">
        <f t="shared" si="13"/>
        <v>Monitorear próximo vencimiento</v>
      </c>
      <c r="AH79">
        <f t="shared" si="14"/>
        <v>0</v>
      </c>
      <c r="AI79" t="str">
        <f t="shared" si="15"/>
        <v/>
      </c>
      <c r="AJ79" s="24">
        <f t="shared" si="16"/>
        <v>99</v>
      </c>
    </row>
    <row r="80" spans="1:36">
      <c r="A80" s="18" t="s">
        <v>436</v>
      </c>
      <c r="B80" s="18" t="s">
        <v>264</v>
      </c>
      <c r="C80" s="18" t="s">
        <v>1070</v>
      </c>
      <c r="D80" s="18" t="s">
        <v>302</v>
      </c>
      <c r="E80" s="19" t="s">
        <v>357</v>
      </c>
      <c r="F80" s="18">
        <v>2013</v>
      </c>
      <c r="G80" s="18" t="str" cm="1">
        <f t="array" ref="G80">IFERROR(INDEX(Lecturas!$E$4:$E$3549,MATCH(1,(Lecturas!$B$4:$B$3549=$A80)*(Lecturas!$E$4:$E$3549&lt;&gt;"")*(Lecturas!$A$4:$A$3549=_xlfn.MAXIFS(Lecturas!$A$4:$A$3549,Lecturas!$B$4:$B$3549,$A80,Lecturas!$E$4:$E$3549,"&lt;&gt;")),0)),"")</f>
        <v/>
      </c>
      <c r="H80" s="18" t="s">
        <v>621</v>
      </c>
      <c r="I80" s="18" t="s">
        <v>18</v>
      </c>
      <c r="J80" s="18">
        <v>250</v>
      </c>
      <c r="K80" s="18">
        <f>IFERROR(IF($I80="KM",ROUND((_xlfn.MAXIFS(tblLecturas[Kilometraje],tblLecturas[Codigo],$A80)-_xlfn.MINIFS(tblLecturas[Kilometraje],tblLecturas[Codigo],$A80))/(MAX(1,_xlfn.MAXIFS(tblLecturas[Fecha],tblLecturas[Codigo],$A80)-_xlfn.MINIFS(tblLecturas[Fecha],tblLecturas[Codigo],$A80))),1),ROUND((_xlfn.MAXIFS(tblLecturas[Horometro],tblLecturas[Codigo],$A80)-_xlfn.MINIFS(tblLecturas[Horometro],tblLecturas[Codigo],$A80))/(MAX(1,_xlfn.MAXIFS(tblLecturas[Fecha],tblLecturas[Codigo],$A80)-_xlfn.MINIFS(tblLecturas[Fecha],tblLecturas[Codigo],$A80))),1)),"")</f>
        <v>0</v>
      </c>
      <c r="L80" s="20">
        <f>IFERROR(_xlfn.MAXIFS(tblLecturas[Fecha],tblLecturas[Codigo],$A80),"")</f>
        <v>0</v>
      </c>
      <c r="M80" s="26">
        <f>IFERROR(_xlfn.MAXIFS(Lecturas!$C:$C,Lecturas!$B:$B,$A80,Lecturas!$C:$C,"&gt;0"),"")</f>
        <v>0</v>
      </c>
      <c r="N80" s="78">
        <f>IFERROR(_xlfn.MAXIFS(tblLecturas[Kilometraje],tblLecturas[Codigo],$A80,tblLecturas[Kilometraje],"&gt;0"),"")</f>
        <v>0</v>
      </c>
      <c r="O80" s="78" t="str" cm="1">
        <f t="array" ref="O80">IFERROR(IF($I80="KM",LOOKUP(2,1/(Lecturas!$B:$B=$A80)/(Lecturas!$D:$D&gt;0),Lecturas!$D:$D),LOOKUP(2,1/(Lecturas!$B:$B=$A80)/(Lecturas!$C:$C&gt;0),Lecturas!$C:$C)),"")</f>
        <v/>
      </c>
      <c r="P80" s="20">
        <f>IFERROR(_xlfn.MAXIFS(tblMantenciones[Fecha],tblMantenciones[Codigo],tblMaestroEquipos[[#This Row],[Codigo]],tblMantenciones[EsPM],"Sí"),"")</f>
        <v>0</v>
      </c>
      <c r="Q80" s="78" t="str">
        <f>IF(_xlfn.MAXIFS(Mantenciones!$D:$D,Mantenciones!$B:$B,A80)=0,"Sin datos de mantención registrado",_xlfn.MAXIFS(Mantenciones!$D:$D,Mantenciones!$B:$B,A80))</f>
        <v>Sin datos de mantención registrado</v>
      </c>
      <c r="R80" s="18" t="str">
        <f>IFERROR(IF(_xlfn.MAXIFS(Mantenciones!$D:$D,Mantenciones!$B:$B,$A80,Mantenciones!$E:$E,"Sí",Mantenciones!$D:$D,"&gt;0")=0,"Sin datos de mantención registrado",_xlfn.MAXIFS(Mantenciones!$D:$D,Mantenciones!$B:$B,$A80,Mantenciones!$E:$E,"Sí",Mantenciones!$D:$D,"&gt;0")),"Sin datos de mantención registrado")</f>
        <v>Sin datos de mantención registrado</v>
      </c>
      <c r="S80" s="21">
        <f>IFERROR(SUMIFS(tblMantenciones[Costo Mantencion CLP],tblMantenciones[Codigo],A80),0)</f>
        <v>0</v>
      </c>
      <c r="T80" s="21">
        <f>IFERROR(SUMIFS(tblComprasPM[Costo PM CLP],tblComprasPM[Codigo],tblMaestroEquipos[[#This Row],[Codigo]]),0)</f>
        <v>0</v>
      </c>
      <c r="U80" s="21">
        <f>IFERROR(tblMaestroEquipos[[#This Row],[Costo Mantenciones CLP]]+tblMaestroEquipos[[#This Row],[Costo Compras PM CLP]],0)</f>
        <v>0</v>
      </c>
      <c r="V80" s="18" t="str">
        <f>IFERROR(_xlfn.XLOOKUP(tblMaestroEquipos[[#This Row],[Codigo]],tblEquipos[Codigo],tblEquipos[Estado Base]),"")</f>
        <v>Taller</v>
      </c>
      <c r="W80" s="18" t="str">
        <f t="shared" si="10"/>
        <v>EN TALLER</v>
      </c>
      <c r="X80" s="18" t="str">
        <f t="shared" si="11"/>
        <v/>
      </c>
      <c r="Y8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8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80" s="25" t="str">
        <f>IFERROR(IF(_xlfn.MAXIFS(tblBodega[Fecha],tblBodega[Codigo],tblMaestroEquipos[[#This Row],[Codigo]])=0,"",_xlfn.MAXIFS(tblBodega[Fecha],tblBodega[Codigo],tblMaestroEquipos[[#This Row],[Codigo]])),"")</f>
        <v/>
      </c>
      <c r="AB8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8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8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80" s="51" t="str">
        <f t="shared" si="9"/>
        <v>EN TALLER</v>
      </c>
      <c r="AF80" s="18" t="str">
        <f t="shared" si="12"/>
        <v>BAJA</v>
      </c>
      <c r="AG80" s="18" t="str">
        <f t="shared" si="13"/>
        <v>Monitorear próximo vencimiento</v>
      </c>
      <c r="AH80">
        <f t="shared" si="14"/>
        <v>0</v>
      </c>
      <c r="AI80" t="str">
        <f t="shared" si="15"/>
        <v/>
      </c>
      <c r="AJ80" s="24">
        <f t="shared" si="16"/>
        <v>99</v>
      </c>
    </row>
    <row r="81" spans="1:36">
      <c r="A81" s="18" t="s">
        <v>554</v>
      </c>
      <c r="B81" s="18" t="s">
        <v>459</v>
      </c>
      <c r="C81" s="18" t="s">
        <v>1074</v>
      </c>
      <c r="D81" s="18" t="s">
        <v>99</v>
      </c>
      <c r="E81" s="19" t="s">
        <v>555</v>
      </c>
      <c r="F81" s="18">
        <v>2026</v>
      </c>
      <c r="G81" s="18" t="str" cm="1">
        <f t="array" ref="G81">IFERROR(INDEX(Lecturas!$E$4:$E$3549,MATCH(1,(Lecturas!$B$4:$B$3549=$A81)*(Lecturas!$E$4:$E$3549&lt;&gt;"")*(Lecturas!$A$4:$A$3549=_xlfn.MAXIFS(Lecturas!$A$4:$A$3549,Lecturas!$B$4:$B$3549,$A81,Lecturas!$E$4:$E$3549,"&lt;&gt;")),0)),"")</f>
        <v/>
      </c>
      <c r="H81" s="18"/>
      <c r="I81" s="18" t="s">
        <v>462</v>
      </c>
      <c r="J81" s="18">
        <v>15000</v>
      </c>
      <c r="K81" s="18">
        <f>IFERROR(IF($I81="KM",ROUND((_xlfn.MAXIFS(tblLecturas[Kilometraje],tblLecturas[Codigo],$A81)-_xlfn.MINIFS(tblLecturas[Kilometraje],tblLecturas[Codigo],$A81))/(MAX(1,_xlfn.MAXIFS(tblLecturas[Fecha],tblLecturas[Codigo],$A81)-_xlfn.MINIFS(tblLecturas[Fecha],tblLecturas[Codigo],$A81))),1),ROUND((_xlfn.MAXIFS(tblLecturas[Horometro],tblLecturas[Codigo],$A81)-_xlfn.MINIFS(tblLecturas[Horometro],tblLecturas[Codigo],$A81))/(MAX(1,_xlfn.MAXIFS(tblLecturas[Fecha],tblLecturas[Codigo],$A81)-_xlfn.MINIFS(tblLecturas[Fecha],tblLecturas[Codigo],$A81))),1)),"")</f>
        <v>0</v>
      </c>
      <c r="L81" s="20">
        <f>IFERROR(_xlfn.MAXIFS(tblLecturas[Fecha],tblLecturas[Codigo],$A81),"")</f>
        <v>0</v>
      </c>
      <c r="M81" s="26">
        <f>IFERROR(_xlfn.MAXIFS(Lecturas!$C:$C,Lecturas!$B:$B,$A81,Lecturas!$C:$C,"&gt;0"),"")</f>
        <v>0</v>
      </c>
      <c r="N81" s="78">
        <f>IFERROR(_xlfn.MAXIFS(tblLecturas[Kilometraje],tblLecturas[Codigo],$A81,tblLecturas[Kilometraje],"&gt;0"),"")</f>
        <v>0</v>
      </c>
      <c r="O81" s="78" t="str" cm="1">
        <f t="array" ref="O81">IFERROR(IF($I81="KM",LOOKUP(2,1/(Lecturas!$B:$B=$A81)/(Lecturas!$D:$D&gt;0),Lecturas!$D:$D),LOOKUP(2,1/(Lecturas!$B:$B=$A81)/(Lecturas!$C:$C&gt;0),Lecturas!$C:$C)),"")</f>
        <v/>
      </c>
      <c r="P81" s="20">
        <f>IFERROR(_xlfn.MAXIFS(tblMantenciones[Fecha],tblMantenciones[Codigo],tblMaestroEquipos[[#This Row],[Codigo]],tblMantenciones[EsPM],"Sí"),"")</f>
        <v>0</v>
      </c>
      <c r="Q81" s="78" t="str">
        <f>IF(_xlfn.MAXIFS(Mantenciones!$D:$D,Mantenciones!$B:$B,A81)=0,"Sin datos de mantención registrado",_xlfn.MAXIFS(Mantenciones!$D:$D,Mantenciones!$B:$B,A81))</f>
        <v>Sin datos de mantención registrado</v>
      </c>
      <c r="R81" s="18" t="str">
        <f>IFERROR(IF(_xlfn.MAXIFS(Mantenciones!$D:$D,Mantenciones!$B:$B,$A81,Mantenciones!$E:$E,"Sí",Mantenciones!$D:$D,"&gt;0")=0,"Sin datos de mantención registrado",_xlfn.MAXIFS(Mantenciones!$D:$D,Mantenciones!$B:$B,$A81,Mantenciones!$E:$E,"Sí",Mantenciones!$D:$D,"&gt;0")),"Sin datos de mantención registrado")</f>
        <v>Sin datos de mantención registrado</v>
      </c>
      <c r="S81" s="21">
        <f>IFERROR(SUMIFS(tblMantenciones[Costo Mantencion CLP],tblMantenciones[Codigo],A81),0)</f>
        <v>0</v>
      </c>
      <c r="T81" s="21">
        <f>IFERROR(SUMIFS(tblComprasPM[Costo PM CLP],tblComprasPM[Codigo],tblMaestroEquipos[[#This Row],[Codigo]]),0)</f>
        <v>0</v>
      </c>
      <c r="U81" s="21">
        <f>IFERROR(tblMaestroEquipos[[#This Row],[Costo Mantenciones CLP]]+tblMaestroEquipos[[#This Row],[Costo Compras PM CLP]],0)</f>
        <v>0</v>
      </c>
      <c r="V81" s="18" t="str">
        <f>IFERROR(_xlfn.XLOOKUP(tblMaestroEquipos[[#This Row],[Codigo]],tblEquipos[Codigo],tblEquipos[Estado Base]),"")</f>
        <v>Operativo</v>
      </c>
      <c r="W81" s="18" t="str">
        <f t="shared" si="10"/>
        <v>AL DÍA</v>
      </c>
      <c r="X81" s="18" t="str">
        <f t="shared" si="11"/>
        <v/>
      </c>
      <c r="Y8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81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81" s="25" t="str">
        <f>IFERROR(IF(_xlfn.MAXIFS(tblBodega[Fecha],tblBodega[Codigo],tblMaestroEquipos[[#This Row],[Codigo]])=0,"",_xlfn.MAXIFS(tblBodega[Fecha],tblBodega[Codigo],tblMaestroEquipos[[#This Row],[Codigo]])),"")</f>
        <v/>
      </c>
      <c r="AB81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8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8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81" s="51" t="str">
        <f t="shared" si="9"/>
        <v>OPERATIVO</v>
      </c>
      <c r="AF81" s="18" t="str">
        <f t="shared" si="12"/>
        <v>BAJA</v>
      </c>
      <c r="AG81" s="18" t="str">
        <f t="shared" si="13"/>
        <v>Monitorear próximo vencimiento</v>
      </c>
      <c r="AH81">
        <f t="shared" si="14"/>
        <v>0</v>
      </c>
      <c r="AI81" t="str">
        <f t="shared" si="15"/>
        <v/>
      </c>
      <c r="AJ81" s="24">
        <f t="shared" si="16"/>
        <v>99</v>
      </c>
    </row>
    <row r="82" spans="1:36">
      <c r="A82" s="18" t="s">
        <v>556</v>
      </c>
      <c r="B82" s="18" t="s">
        <v>557</v>
      </c>
      <c r="C82" s="18" t="s">
        <v>1074</v>
      </c>
      <c r="D82" s="18" t="s">
        <v>55</v>
      </c>
      <c r="E82" s="19" t="s">
        <v>558</v>
      </c>
      <c r="F82" s="18">
        <v>2017</v>
      </c>
      <c r="G82" s="18" t="str" cm="1">
        <f t="array" ref="G82">IFERROR(INDEX(Lecturas!$E$4:$E$3549,MATCH(1,(Lecturas!$B$4:$B$3549=$A82)*(Lecturas!$E$4:$E$3549&lt;&gt;"")*(Lecturas!$A$4:$A$3549=_xlfn.MAXIFS(Lecturas!$A$4:$A$3549,Lecturas!$B$4:$B$3549,$A82,Lecturas!$E$4:$E$3549,"&lt;&gt;")),0)),"")</f>
        <v/>
      </c>
      <c r="H82" s="18" t="s">
        <v>36</v>
      </c>
      <c r="I82" s="18" t="s">
        <v>462</v>
      </c>
      <c r="J82" s="18">
        <v>15000</v>
      </c>
      <c r="K82" s="18">
        <f>IFERROR(IF($I82="KM",ROUND((_xlfn.MAXIFS(tblLecturas[Kilometraje],tblLecturas[Codigo],$A82)-_xlfn.MINIFS(tblLecturas[Kilometraje],tblLecturas[Codigo],$A82))/(MAX(1,_xlfn.MAXIFS(tblLecturas[Fecha],tblLecturas[Codigo],$A82)-_xlfn.MINIFS(tblLecturas[Fecha],tblLecturas[Codigo],$A82))),1),ROUND((_xlfn.MAXIFS(tblLecturas[Horometro],tblLecturas[Codigo],$A82)-_xlfn.MINIFS(tblLecturas[Horometro],tblLecturas[Codigo],$A82))/(MAX(1,_xlfn.MAXIFS(tblLecturas[Fecha],tblLecturas[Codigo],$A82)-_xlfn.MINIFS(tblLecturas[Fecha],tblLecturas[Codigo],$A82))),1)),"")</f>
        <v>0</v>
      </c>
      <c r="L82" s="20">
        <f>IFERROR(_xlfn.MAXIFS(tblLecturas[Fecha],tblLecturas[Codigo],$A82),"")</f>
        <v>44998</v>
      </c>
      <c r="M82" s="26">
        <f>IFERROR(_xlfn.MAXIFS(Lecturas!$C:$C,Lecturas!$B:$B,$A82,Lecturas!$C:$C,"&gt;0"),"")</f>
        <v>0</v>
      </c>
      <c r="N82" s="78">
        <f>IFERROR(_xlfn.MAXIFS(tblLecturas[Kilometraje],tblLecturas[Codigo],$A82,tblLecturas[Kilometraje],"&gt;0"),"")</f>
        <v>510507</v>
      </c>
      <c r="O82" s="78" cm="1">
        <f t="array" ref="O82">IFERROR(IF($I82="KM",LOOKUP(2,1/(Lecturas!$B:$B=$A82)/(Lecturas!$D:$D&gt;0),Lecturas!$D:$D),LOOKUP(2,1/(Lecturas!$B:$B=$A82)/(Lecturas!$C:$C&gt;0),Lecturas!$C:$C)),"")</f>
        <v>510507</v>
      </c>
      <c r="P82" s="20">
        <f>IFERROR(_xlfn.MAXIFS(tblMantenciones[Fecha],tblMantenciones[Codigo],tblMaestroEquipos[[#This Row],[Codigo]],tblMantenciones[EsPM],"Sí"),"")</f>
        <v>46078</v>
      </c>
      <c r="Q82" s="78" t="str">
        <f>IF(_xlfn.MAXIFS(Mantenciones!$D:$D,Mantenciones!$B:$B,A82)=0,"Sin datos de mantención registrado",_xlfn.MAXIFS(Mantenciones!$D:$D,Mantenciones!$B:$B,A82))</f>
        <v>Sin datos de mantención registrado</v>
      </c>
      <c r="R82" s="18" t="str">
        <f>IFERROR(IF(_xlfn.MAXIFS(Mantenciones!$D:$D,Mantenciones!$B:$B,$A82,Mantenciones!$E:$E,"Sí",Mantenciones!$D:$D,"&gt;0")=0,"Sin datos de mantención registrado",_xlfn.MAXIFS(Mantenciones!$D:$D,Mantenciones!$B:$B,$A82,Mantenciones!$E:$E,"Sí",Mantenciones!$D:$D,"&gt;0")),"Sin datos de mantención registrado")</f>
        <v>Sin datos de mantención registrado</v>
      </c>
      <c r="S82" s="21">
        <f>IFERROR(SUMIFS(tblMantenciones[Costo Mantencion CLP],tblMantenciones[Codigo],A82),0)</f>
        <v>0</v>
      </c>
      <c r="T82" s="21">
        <f>IFERROR(SUMIFS(tblComprasPM[Costo PM CLP],tblComprasPM[Codigo],tblMaestroEquipos[[#This Row],[Codigo]]),0)</f>
        <v>61356.4</v>
      </c>
      <c r="U82" s="21">
        <f>IFERROR(tblMaestroEquipos[[#This Row],[Costo Mantenciones CLP]]+tblMaestroEquipos[[#This Row],[Costo Compras PM CLP]],0)</f>
        <v>61356.4</v>
      </c>
      <c r="V82" s="18" t="str">
        <f>IFERROR(_xlfn.XLOOKUP(tblMaestroEquipos[[#This Row],[Codigo]],tblEquipos[Codigo],tblEquipos[Estado Base]),"")</f>
        <v>Operativo</v>
      </c>
      <c r="W82" s="18" t="str">
        <f t="shared" si="10"/>
        <v>AL DÍA</v>
      </c>
      <c r="X82" s="18" t="str">
        <f t="shared" si="11"/>
        <v/>
      </c>
      <c r="Y8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82" s="25">
        <f>IFERROR(IF(_xlfn.MINIFS(tblComprasPM[Fecha],tblComprasPM[Codigo],tblMaestroEquipos[[#This Row],[Codigo]])=0,"",_xlfn.MINIFS(tblComprasPM[Fecha],tblComprasPM[Codigo],tblMaestroEquipos[[#This Row],[Codigo]])),"")</f>
        <v>46073.523869641198</v>
      </c>
      <c r="AA82" s="25">
        <f>IFERROR(IF(_xlfn.MAXIFS(tblBodega[Fecha],tblBodega[Codigo],tblMaestroEquipos[[#This Row],[Codigo]])=0,"",_xlfn.MAXIFS(tblBodega[Fecha],tblBodega[Codigo],tblMaestroEquipos[[#This Row],[Codigo]])),"")</f>
        <v>46077</v>
      </c>
      <c r="AB82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5</v>
      </c>
      <c r="AC82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1</v>
      </c>
      <c r="AD8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82" s="51" t="str">
        <f t="shared" si="9"/>
        <v>OPERATIVO</v>
      </c>
      <c r="AF82" s="18" t="str">
        <f t="shared" si="12"/>
        <v>BAJA</v>
      </c>
      <c r="AG82" s="18" t="str">
        <f t="shared" si="13"/>
        <v>Monitorear próximo vencimiento</v>
      </c>
      <c r="AH82">
        <f t="shared" si="14"/>
        <v>0</v>
      </c>
      <c r="AI82" t="str">
        <f t="shared" si="15"/>
        <v/>
      </c>
      <c r="AJ82" s="24">
        <f t="shared" si="16"/>
        <v>99</v>
      </c>
    </row>
    <row r="83" spans="1:36">
      <c r="A83" s="18" t="s">
        <v>562</v>
      </c>
      <c r="B83" s="18" t="s">
        <v>557</v>
      </c>
      <c r="C83" s="18" t="s">
        <v>1074</v>
      </c>
      <c r="D83" s="18" t="s">
        <v>55</v>
      </c>
      <c r="E83" s="19" t="s">
        <v>563</v>
      </c>
      <c r="F83" s="18">
        <v>2020</v>
      </c>
      <c r="G83" s="18" t="str" cm="1">
        <f t="array" ref="G83">IFERROR(INDEX(Lecturas!$E$4:$E$3549,MATCH(1,(Lecturas!$B$4:$B$3549=$A83)*(Lecturas!$E$4:$E$3549&lt;&gt;"")*(Lecturas!$A$4:$A$3549=_xlfn.MAXIFS(Lecturas!$A$4:$A$3549,Lecturas!$B$4:$B$3549,$A83,Lecturas!$E$4:$E$3549,"&lt;&gt;")),0)),"")</f>
        <v/>
      </c>
      <c r="H83" s="18" t="s">
        <v>564</v>
      </c>
      <c r="I83" s="18" t="s">
        <v>462</v>
      </c>
      <c r="J83" s="18">
        <v>15000</v>
      </c>
      <c r="K83" s="18">
        <f>IFERROR(IF($I83="KM",ROUND((_xlfn.MAXIFS(tblLecturas[Kilometraje],tblLecturas[Codigo],$A83)-_xlfn.MINIFS(tblLecturas[Kilometraje],tblLecturas[Codigo],$A83))/(MAX(1,_xlfn.MAXIFS(tblLecturas[Fecha],tblLecturas[Codigo],$A83)-_xlfn.MINIFS(tblLecturas[Fecha],tblLecturas[Codigo],$A83))),1),ROUND((_xlfn.MAXIFS(tblLecturas[Horometro],tblLecturas[Codigo],$A83)-_xlfn.MINIFS(tblLecturas[Horometro],tblLecturas[Codigo],$A83))/(MAX(1,_xlfn.MAXIFS(tblLecturas[Fecha],tblLecturas[Codigo],$A83)-_xlfn.MINIFS(tblLecturas[Fecha],tblLecturas[Codigo],$A83))),1)),"")</f>
        <v>0</v>
      </c>
      <c r="L83" s="20">
        <f>IFERROR(_xlfn.MAXIFS(tblLecturas[Fecha],tblLecturas[Codigo],$A83),"")</f>
        <v>45000</v>
      </c>
      <c r="M83" s="26">
        <f>IFERROR(_xlfn.MAXIFS(Lecturas!$C:$C,Lecturas!$B:$B,$A83,Lecturas!$C:$C,"&gt;0"),"")</f>
        <v>0</v>
      </c>
      <c r="N83" s="78">
        <f>IFERROR(_xlfn.MAXIFS(tblLecturas[Kilometraje],tblLecturas[Codigo],$A83,tblLecturas[Kilometraje],"&gt;0"),"")</f>
        <v>256600</v>
      </c>
      <c r="O83" s="78" cm="1">
        <f t="array" ref="O83">IFERROR(IF($I83="KM",LOOKUP(2,1/(Lecturas!$B:$B=$A83)/(Lecturas!$D:$D&gt;0),Lecturas!$D:$D),LOOKUP(2,1/(Lecturas!$B:$B=$A83)/(Lecturas!$C:$C&gt;0),Lecturas!$C:$C)),"")</f>
        <v>256600</v>
      </c>
      <c r="P83" s="20">
        <f>IFERROR(_xlfn.MAXIFS(tblMantenciones[Fecha],tblMantenciones[Codigo],tblMaestroEquipos[[#This Row],[Codigo]],tblMantenciones[EsPM],"Sí"),"")</f>
        <v>0</v>
      </c>
      <c r="Q83" s="78" t="str">
        <f>IF(_xlfn.MAXIFS(Mantenciones!$D:$D,Mantenciones!$B:$B,A83)=0,"Sin datos de mantención registrado",_xlfn.MAXIFS(Mantenciones!$D:$D,Mantenciones!$B:$B,A83))</f>
        <v>Sin datos de mantención registrado</v>
      </c>
      <c r="R83" s="18" t="str">
        <f>IFERROR(IF(_xlfn.MAXIFS(Mantenciones!$D:$D,Mantenciones!$B:$B,$A83,Mantenciones!$E:$E,"Sí",Mantenciones!$D:$D,"&gt;0")=0,"Sin datos de mantención registrado",_xlfn.MAXIFS(Mantenciones!$D:$D,Mantenciones!$B:$B,$A83,Mantenciones!$E:$E,"Sí",Mantenciones!$D:$D,"&gt;0")),"Sin datos de mantención registrado")</f>
        <v>Sin datos de mantención registrado</v>
      </c>
      <c r="S83" s="21">
        <f>IFERROR(SUMIFS(tblMantenciones[Costo Mantencion CLP],tblMantenciones[Codigo],tblMaestroEquipos[[#This Row],[Codigo]]),0)</f>
        <v>0</v>
      </c>
      <c r="T83" s="21">
        <f>IFERROR(SUMIFS(tblComprasPM[Costo PM CLP],tblComprasPM[Codigo],tblMaestroEquipos[[#This Row],[Codigo]]),0)</f>
        <v>0</v>
      </c>
      <c r="U83" s="21">
        <f>IFERROR(tblMaestroEquipos[[#This Row],[Costo Mantenciones CLP]]+tblMaestroEquipos[[#This Row],[Costo Compras PM CLP]],0)</f>
        <v>0</v>
      </c>
      <c r="V83" s="18" t="str">
        <f>IFERROR(_xlfn.XLOOKUP(tblMaestroEquipos[[#This Row],[Codigo]],tblEquipos[Codigo],tblEquipos[Estado Base]),"")</f>
        <v>Operativo</v>
      </c>
      <c r="W83" s="18" t="str">
        <f t="shared" si="10"/>
        <v>AL DÍA</v>
      </c>
      <c r="X83" s="18" t="str">
        <f t="shared" si="11"/>
        <v/>
      </c>
      <c r="Y83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83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83" s="25" t="str">
        <f>IFERROR(IF(_xlfn.MAXIFS(tblBodega[Fecha],tblBodega[Codigo],tblMaestroEquipos[[#This Row],[Codigo]])=0,"",_xlfn.MAXIFS(tblBodega[Fecha],tblBodega[Codigo],tblMaestroEquipos[[#This Row],[Codigo]])),"")</f>
        <v/>
      </c>
      <c r="AB83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8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8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83" s="51" t="str">
        <f t="shared" si="9"/>
        <v>OPERATIVO</v>
      </c>
      <c r="AF83" s="18" t="str">
        <f t="shared" si="12"/>
        <v>BAJA</v>
      </c>
      <c r="AG83" s="18" t="str">
        <f t="shared" si="13"/>
        <v>Monitorear próximo vencimiento</v>
      </c>
      <c r="AH83">
        <f t="shared" si="14"/>
        <v>0</v>
      </c>
      <c r="AI83" t="str">
        <f t="shared" si="15"/>
        <v/>
      </c>
      <c r="AJ83" s="24">
        <f t="shared" si="16"/>
        <v>99</v>
      </c>
    </row>
    <row r="84" spans="1:36">
      <c r="A84" s="18" t="s">
        <v>565</v>
      </c>
      <c r="B84" s="18" t="s">
        <v>459</v>
      </c>
      <c r="C84" s="18" t="s">
        <v>1074</v>
      </c>
      <c r="D84" s="18" t="s">
        <v>99</v>
      </c>
      <c r="E84" s="19" t="s">
        <v>566</v>
      </c>
      <c r="F84" s="18">
        <v>2021</v>
      </c>
      <c r="G84" s="18" t="str" cm="1">
        <f t="array" ref="G84">IFERROR(INDEX(Lecturas!$E$4:$E$3549,MATCH(1,(Lecturas!$B$4:$B$3549=$A84)*(Lecturas!$E$4:$E$3549&lt;&gt;"")*(Lecturas!$A$4:$A$3549=_xlfn.MAXIFS(Lecturas!$A$4:$A$3549,Lecturas!$B$4:$B$3549,$A84,Lecturas!$E$4:$E$3549,"&lt;&gt;")),0)),"")</f>
        <v/>
      </c>
      <c r="H84" s="18" t="s">
        <v>567</v>
      </c>
      <c r="I84" s="18" t="s">
        <v>462</v>
      </c>
      <c r="J84" s="18">
        <v>15000</v>
      </c>
      <c r="K84" s="18">
        <f>IFERROR(IF($I84="KM",ROUND((_xlfn.MAXIFS(tblLecturas[Kilometraje],tblLecturas[Codigo],$A84)-_xlfn.MINIFS(tblLecturas[Kilometraje],tblLecturas[Codigo],$A84))/(MAX(1,_xlfn.MAXIFS(tblLecturas[Fecha],tblLecturas[Codigo],$A84)-_xlfn.MINIFS(tblLecturas[Fecha],tblLecturas[Codigo],$A84))),1),ROUND((_xlfn.MAXIFS(tblLecturas[Horometro],tblLecturas[Codigo],$A84)-_xlfn.MINIFS(tblLecturas[Horometro],tblLecturas[Codigo],$A84))/(MAX(1,_xlfn.MAXIFS(tblLecturas[Fecha],tblLecturas[Codigo],$A84)-_xlfn.MINIFS(tblLecturas[Fecha],tblLecturas[Codigo],$A84))),1)),"")</f>
        <v>0</v>
      </c>
      <c r="L84" s="20">
        <f>IFERROR(_xlfn.MAXIFS(tblLecturas[Fecha],tblLecturas[Codigo],$A84),"")</f>
        <v>45190</v>
      </c>
      <c r="M84" s="26">
        <f>IFERROR(_xlfn.MAXIFS(Lecturas!$C:$C,Lecturas!$B:$B,$A84,Lecturas!$C:$C,"&gt;0"),"")</f>
        <v>0</v>
      </c>
      <c r="N84" s="78">
        <f>IFERROR(_xlfn.MAXIFS(tblLecturas[Kilometraje],tblLecturas[Codigo],$A84,tblLecturas[Kilometraje],"&gt;0"),"")</f>
        <v>113489</v>
      </c>
      <c r="O84" s="78" cm="1">
        <f t="array" ref="O84">IFERROR(IF($I84="KM",LOOKUP(2,1/(Lecturas!$B:$B=$A84)/(Lecturas!$D:$D&gt;0),Lecturas!$D:$D),LOOKUP(2,1/(Lecturas!$B:$B=$A84)/(Lecturas!$C:$C&gt;0),Lecturas!$C:$C)),"")</f>
        <v>113489</v>
      </c>
      <c r="P84" s="20">
        <f>IFERROR(_xlfn.MAXIFS(tblMantenciones[Fecha],tblMantenciones[Codigo],tblMaestroEquipos[[#This Row],[Codigo]],tblMantenciones[EsPM],"Sí"),"")</f>
        <v>0</v>
      </c>
      <c r="Q84" s="78" t="str">
        <f>IF(_xlfn.MAXIFS(Mantenciones!$D:$D,Mantenciones!$B:$B,A84)=0,"Sin datos de mantención registrado",_xlfn.MAXIFS(Mantenciones!$D:$D,Mantenciones!$B:$B,A84))</f>
        <v>Sin datos de mantención registrado</v>
      </c>
      <c r="R84" s="18" t="str">
        <f>IFERROR(IF(_xlfn.MAXIFS(Mantenciones!$D:$D,Mantenciones!$B:$B,$A84,Mantenciones!$E:$E,"Sí",Mantenciones!$D:$D,"&gt;0")=0,"Sin datos de mantención registrado",_xlfn.MAXIFS(Mantenciones!$D:$D,Mantenciones!$B:$B,$A84,Mantenciones!$E:$E,"Sí",Mantenciones!$D:$D,"&gt;0")),"Sin datos de mantención registrado")</f>
        <v>Sin datos de mantención registrado</v>
      </c>
      <c r="S84" s="21">
        <f>IFERROR(SUMIFS(tblMantenciones[Costo Mantencion CLP],tblMantenciones[Codigo],tblMaestroEquipos[[#This Row],[Codigo]]),0)</f>
        <v>0</v>
      </c>
      <c r="T84" s="21">
        <f>IFERROR(SUMIFS(tblComprasPM[Costo PM CLP],tblComprasPM[Codigo],tblMaestroEquipos[[#This Row],[Codigo]]),0)</f>
        <v>0</v>
      </c>
      <c r="U84" s="21">
        <f>IFERROR(tblMaestroEquipos[[#This Row],[Costo Mantenciones CLP]]+tblMaestroEquipos[[#This Row],[Costo Compras PM CLP]],0)</f>
        <v>0</v>
      </c>
      <c r="V84" s="18" t="str">
        <f>IFERROR(_xlfn.XLOOKUP(tblMaestroEquipos[[#This Row],[Codigo]],tblEquipos[Codigo],tblEquipos[Estado Base]),"")</f>
        <v>Fuera de Servicio</v>
      </c>
      <c r="W84" s="18" t="str">
        <f t="shared" si="10"/>
        <v>FUERA DE SERVICIO</v>
      </c>
      <c r="X84" s="18" t="str">
        <f t="shared" si="11"/>
        <v/>
      </c>
      <c r="Y8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8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84" s="25" t="str">
        <f>IFERROR(IF(_xlfn.MAXIFS(tblBodega[Fecha],tblBodega[Codigo],tblMaestroEquipos[[#This Row],[Codigo]])=0,"",_xlfn.MAXIFS(tblBodega[Fecha],tblBodega[Codigo],tblMaestroEquipos[[#This Row],[Codigo]])),"")</f>
        <v/>
      </c>
      <c r="AB8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8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8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84" s="51" t="str">
        <f t="shared" si="9"/>
        <v>FUERA DE SERVICIO</v>
      </c>
      <c r="AF84" s="18" t="str">
        <f t="shared" si="12"/>
        <v>NO APLICA</v>
      </c>
      <c r="AG84" s="18" t="str">
        <f t="shared" si="13"/>
        <v>No programar compra</v>
      </c>
      <c r="AH84" s="27">
        <f t="shared" si="14"/>
        <v>0</v>
      </c>
      <c r="AI84" s="27" t="str">
        <f t="shared" si="15"/>
        <v/>
      </c>
      <c r="AJ84" s="24">
        <f t="shared" si="16"/>
        <v>99</v>
      </c>
    </row>
    <row r="85" spans="1:36">
      <c r="A85" s="18" t="s">
        <v>571</v>
      </c>
      <c r="B85" s="18" t="s">
        <v>459</v>
      </c>
      <c r="C85" s="18" t="s">
        <v>1074</v>
      </c>
      <c r="D85" s="18" t="s">
        <v>99</v>
      </c>
      <c r="E85" s="19" t="s">
        <v>566</v>
      </c>
      <c r="F85" s="18">
        <v>2021</v>
      </c>
      <c r="G85" s="18" t="str" cm="1">
        <f t="array" ref="G85">IFERROR(INDEX(Lecturas!$E$4:$E$3549,MATCH(1,(Lecturas!$B$4:$B$3549=$A85)*(Lecturas!$E$4:$E$3549&lt;&gt;"")*(Lecturas!$A$4:$A$3549=_xlfn.MAXIFS(Lecturas!$A$4:$A$3549,Lecturas!$B$4:$B$3549,$A85,Lecturas!$E$4:$E$3549,"&lt;&gt;")),0)),"")</f>
        <v/>
      </c>
      <c r="H85" s="18" t="s">
        <v>567</v>
      </c>
      <c r="I85" s="18" t="s">
        <v>462</v>
      </c>
      <c r="J85" s="18">
        <v>15000</v>
      </c>
      <c r="K85" s="18">
        <f>IFERROR(IF($I85="KM",ROUND((_xlfn.MAXIFS(tblLecturas[Kilometraje],tblLecturas[Codigo],$A85)-_xlfn.MINIFS(tblLecturas[Kilometraje],tblLecturas[Codigo],$A85))/(MAX(1,_xlfn.MAXIFS(tblLecturas[Fecha],tblLecturas[Codigo],$A85)-_xlfn.MINIFS(tblLecturas[Fecha],tblLecturas[Codigo],$A85))),1),ROUND((_xlfn.MAXIFS(tblLecturas[Horometro],tblLecturas[Codigo],$A85)-_xlfn.MINIFS(tblLecturas[Horometro],tblLecturas[Codigo],$A85))/(MAX(1,_xlfn.MAXIFS(tblLecturas[Fecha],tblLecturas[Codigo],$A85)-_xlfn.MINIFS(tblLecturas[Fecha],tblLecturas[Codigo],$A85))),1)),"")</f>
        <v>0</v>
      </c>
      <c r="L85" s="20">
        <f>IFERROR(_xlfn.MAXIFS(tblLecturas[Fecha],tblLecturas[Codigo],$A85),"")</f>
        <v>0</v>
      </c>
      <c r="M85" s="26">
        <f>IFERROR(_xlfn.MAXIFS(Lecturas!$C:$C,Lecturas!$B:$B,$A85,Lecturas!$C:$C,"&gt;0"),"")</f>
        <v>0</v>
      </c>
      <c r="N85" s="78">
        <f>IFERROR(_xlfn.MAXIFS(tblLecturas[Kilometraje],tblLecturas[Codigo],$A85,tblLecturas[Kilometraje],"&gt;0"),"")</f>
        <v>0</v>
      </c>
      <c r="O85" s="78" t="str" cm="1">
        <f t="array" ref="O85">IFERROR(IF($I85="KM",LOOKUP(2,1/(Lecturas!$B:$B=$A85)/(Lecturas!$D:$D&gt;0),Lecturas!$D:$D),LOOKUP(2,1/(Lecturas!$B:$B=$A85)/(Lecturas!$C:$C&gt;0),Lecturas!$C:$C)),"")</f>
        <v/>
      </c>
      <c r="P85" s="20">
        <f>IFERROR(_xlfn.MAXIFS(tblMantenciones[Fecha],tblMantenciones[Codigo],tblMaestroEquipos[[#This Row],[Codigo]],tblMantenciones[EsPM],"Sí"),"")</f>
        <v>0</v>
      </c>
      <c r="Q85" s="78" t="str">
        <f>IF(_xlfn.MAXIFS(Mantenciones!$D:$D,Mantenciones!$B:$B,A85)=0,"Sin datos de mantención registrado",_xlfn.MAXIFS(Mantenciones!$D:$D,Mantenciones!$B:$B,A85))</f>
        <v>Sin datos de mantención registrado</v>
      </c>
      <c r="R85" s="18" t="str">
        <f>IFERROR(IF(_xlfn.MAXIFS(Mantenciones!$D:$D,Mantenciones!$B:$B,$A85,Mantenciones!$E:$E,"Sí",Mantenciones!$D:$D,"&gt;0")=0,"Sin datos de mantención registrado",_xlfn.MAXIFS(Mantenciones!$D:$D,Mantenciones!$B:$B,$A85,Mantenciones!$E:$E,"Sí",Mantenciones!$D:$D,"&gt;0")),"Sin datos de mantención registrado")</f>
        <v>Sin datos de mantención registrado</v>
      </c>
      <c r="S85" s="21">
        <f>IFERROR(SUMIFS(tblMantenciones[Costo Mantencion CLP],tblMantenciones[Codigo],tblMaestroEquipos[[#This Row],[Codigo]]),0)</f>
        <v>0</v>
      </c>
      <c r="T85" s="21">
        <f>IFERROR(SUMIFS(tblComprasPM[Costo PM CLP],tblComprasPM[Codigo],tblMaestroEquipos[[#This Row],[Codigo]]),0)</f>
        <v>0</v>
      </c>
      <c r="U85" s="21">
        <f>IFERROR(tblMaestroEquipos[[#This Row],[Costo Mantenciones CLP]]+tblMaestroEquipos[[#This Row],[Costo Compras PM CLP]],0)</f>
        <v>0</v>
      </c>
      <c r="V85" s="18" t="str">
        <f>IFERROR(_xlfn.XLOOKUP(tblMaestroEquipos[[#This Row],[Codigo]],tblEquipos[Codigo],tblEquipos[Estado Base]),"")</f>
        <v>Fuera de Servicio</v>
      </c>
      <c r="W85" s="18" t="str">
        <f t="shared" si="10"/>
        <v>FUERA DE SERVICIO</v>
      </c>
      <c r="X85" s="18" t="str">
        <f t="shared" si="11"/>
        <v/>
      </c>
      <c r="Y8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8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85" s="25" t="str">
        <f>IFERROR(IF(_xlfn.MAXIFS(tblBodega[Fecha],tblBodega[Codigo],tblMaestroEquipos[[#This Row],[Codigo]])=0,"",_xlfn.MAXIFS(tblBodega[Fecha],tblBodega[Codigo],tblMaestroEquipos[[#This Row],[Codigo]])),"")</f>
        <v/>
      </c>
      <c r="AB8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8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8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85" s="51" t="str">
        <f t="shared" si="9"/>
        <v>FUERA DE SERVICIO</v>
      </c>
      <c r="AF85" s="18" t="str">
        <f t="shared" si="12"/>
        <v>NO APLICA</v>
      </c>
      <c r="AG85" s="18" t="str">
        <f t="shared" si="13"/>
        <v>No programar compra</v>
      </c>
      <c r="AH85" s="27">
        <f t="shared" si="14"/>
        <v>0</v>
      </c>
      <c r="AI85" s="27" t="str">
        <f t="shared" si="15"/>
        <v/>
      </c>
      <c r="AJ85" s="24">
        <f t="shared" si="16"/>
        <v>99</v>
      </c>
    </row>
    <row r="86" spans="1:36">
      <c r="A86" s="18" t="s">
        <v>573</v>
      </c>
      <c r="B86" s="18" t="s">
        <v>459</v>
      </c>
      <c r="C86" s="18" t="s">
        <v>1074</v>
      </c>
      <c r="D86" s="18" t="s">
        <v>99</v>
      </c>
      <c r="E86" s="19" t="s">
        <v>569</v>
      </c>
      <c r="F86" s="18">
        <v>2021</v>
      </c>
      <c r="G86" s="18" t="str" cm="1">
        <f t="array" ref="G86">IFERROR(INDEX(Lecturas!$E$4:$E$3549,MATCH(1,(Lecturas!$B$4:$B$3549=$A86)*(Lecturas!$E$4:$E$3549&lt;&gt;"")*(Lecturas!$A$4:$A$3549=_xlfn.MAXIFS(Lecturas!$A$4:$A$3549,Lecturas!$B$4:$B$3549,$A86,Lecturas!$E$4:$E$3549,"&lt;&gt;")),0)),"")</f>
        <v/>
      </c>
      <c r="H86" s="18" t="s">
        <v>567</v>
      </c>
      <c r="I86" s="18" t="s">
        <v>462</v>
      </c>
      <c r="J86" s="18">
        <v>15000</v>
      </c>
      <c r="K86" s="18">
        <f>IFERROR(IF($I86="KM",ROUND((_xlfn.MAXIFS(tblLecturas[Kilometraje],tblLecturas[Codigo],$A86)-_xlfn.MINIFS(tblLecturas[Kilometraje],tblLecturas[Codigo],$A86))/(MAX(1,_xlfn.MAXIFS(tblLecturas[Fecha],tblLecturas[Codigo],$A86)-_xlfn.MINIFS(tblLecturas[Fecha],tblLecturas[Codigo],$A86))),1),ROUND((_xlfn.MAXIFS(tblLecturas[Horometro],tblLecturas[Codigo],$A86)-_xlfn.MINIFS(tblLecturas[Horometro],tblLecturas[Codigo],$A86))/(MAX(1,_xlfn.MAXIFS(tblLecturas[Fecha],tblLecturas[Codigo],$A86)-_xlfn.MINIFS(tblLecturas[Fecha],tblLecturas[Codigo],$A86))),1)),"")</f>
        <v>0</v>
      </c>
      <c r="L86" s="20">
        <f>IFERROR(_xlfn.MAXIFS(tblLecturas[Fecha],tblLecturas[Codigo],$A86),"")</f>
        <v>0</v>
      </c>
      <c r="M86" s="26">
        <f>IFERROR(_xlfn.MAXIFS(Lecturas!$C:$C,Lecturas!$B:$B,$A86,Lecturas!$C:$C,"&gt;0"),"")</f>
        <v>0</v>
      </c>
      <c r="N86" s="78">
        <f>IFERROR(_xlfn.MAXIFS(tblLecturas[Kilometraje],tblLecturas[Codigo],$A86,tblLecturas[Kilometraje],"&gt;0"),"")</f>
        <v>0</v>
      </c>
      <c r="O86" s="78" t="str" cm="1">
        <f t="array" ref="O86">IFERROR(IF($I86="KM",LOOKUP(2,1/(Lecturas!$B:$B=$A86)/(Lecturas!$D:$D&gt;0),Lecturas!$D:$D),LOOKUP(2,1/(Lecturas!$B:$B=$A86)/(Lecturas!$C:$C&gt;0),Lecturas!$C:$C)),"")</f>
        <v/>
      </c>
      <c r="P86" s="20">
        <f>IFERROR(_xlfn.MAXIFS(tblMantenciones[Fecha],tblMantenciones[Codigo],tblMaestroEquipos[[#This Row],[Codigo]],tblMantenciones[EsPM],"Sí"),"")</f>
        <v>0</v>
      </c>
      <c r="Q86" s="78" t="str">
        <f>IF(_xlfn.MAXIFS(Mantenciones!$D:$D,Mantenciones!$B:$B,A86)=0,"Sin datos de mantención registrado",_xlfn.MAXIFS(Mantenciones!$D:$D,Mantenciones!$B:$B,A86))</f>
        <v>Sin datos de mantención registrado</v>
      </c>
      <c r="R86" s="18" t="str">
        <f>IFERROR(IF(_xlfn.MAXIFS(Mantenciones!$D:$D,Mantenciones!$B:$B,$A86,Mantenciones!$E:$E,"Sí",Mantenciones!$D:$D,"&gt;0")=0,"Sin datos de mantención registrado",_xlfn.MAXIFS(Mantenciones!$D:$D,Mantenciones!$B:$B,$A86,Mantenciones!$E:$E,"Sí",Mantenciones!$D:$D,"&gt;0")),"Sin datos de mantención registrado")</f>
        <v>Sin datos de mantención registrado</v>
      </c>
      <c r="S86" s="21">
        <f>IFERROR(SUMIFS(tblMantenciones[Costo Mantencion CLP],tblMantenciones[Codigo],tblMaestroEquipos[[#This Row],[Codigo]]),0)</f>
        <v>0</v>
      </c>
      <c r="T86" s="21">
        <f>IFERROR(SUMIFS(tblComprasPM[Costo PM CLP],tblComprasPM[Codigo],tblMaestroEquipos[[#This Row],[Codigo]]),0)</f>
        <v>0</v>
      </c>
      <c r="U86" s="21">
        <f>IFERROR(tblMaestroEquipos[[#This Row],[Costo Mantenciones CLP]]+tblMaestroEquipos[[#This Row],[Costo Compras PM CLP]],0)</f>
        <v>0</v>
      </c>
      <c r="V86" s="18" t="str">
        <f>IFERROR(_xlfn.XLOOKUP(tblMaestroEquipos[[#This Row],[Codigo]],tblEquipos[Codigo],tblEquipos[Estado Base]),"")</f>
        <v>Fuera de Servicio</v>
      </c>
      <c r="W86" s="18" t="str">
        <f t="shared" si="10"/>
        <v>FUERA DE SERVICIO</v>
      </c>
      <c r="X86" s="18" t="str">
        <f t="shared" si="11"/>
        <v/>
      </c>
      <c r="Y8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8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86" s="25" t="str">
        <f>IFERROR(IF(_xlfn.MAXIFS(tblBodega[Fecha],tblBodega[Codigo],tblMaestroEquipos[[#This Row],[Codigo]])=0,"",_xlfn.MAXIFS(tblBodega[Fecha],tblBodega[Codigo],tblMaestroEquipos[[#This Row],[Codigo]])),"")</f>
        <v/>
      </c>
      <c r="AB8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8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8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86" s="51" t="str">
        <f t="shared" si="9"/>
        <v>FUERA DE SERVICIO</v>
      </c>
      <c r="AF86" s="18" t="str">
        <f t="shared" si="12"/>
        <v>NO APLICA</v>
      </c>
      <c r="AG86" s="18" t="str">
        <f t="shared" si="13"/>
        <v>No programar compra</v>
      </c>
      <c r="AH86" s="27">
        <f t="shared" si="14"/>
        <v>0</v>
      </c>
      <c r="AI86" s="27" t="str">
        <f t="shared" si="15"/>
        <v/>
      </c>
      <c r="AJ86" s="24">
        <f t="shared" si="16"/>
        <v>99</v>
      </c>
    </row>
    <row r="87" spans="1:36">
      <c r="A87" s="18" t="s">
        <v>576</v>
      </c>
      <c r="B87" s="18" t="s">
        <v>459</v>
      </c>
      <c r="C87" s="18" t="s">
        <v>1074</v>
      </c>
      <c r="D87" s="18" t="s">
        <v>99</v>
      </c>
      <c r="E87" s="19" t="s">
        <v>566</v>
      </c>
      <c r="F87" s="18">
        <v>2021</v>
      </c>
      <c r="G87" s="18" t="str" cm="1">
        <f t="array" ref="G87">IFERROR(INDEX(Lecturas!$E$4:$E$3549,MATCH(1,(Lecturas!$B$4:$B$3549=$A87)*(Lecturas!$E$4:$E$3549&lt;&gt;"")*(Lecturas!$A$4:$A$3549=_xlfn.MAXIFS(Lecturas!$A$4:$A$3549,Lecturas!$B$4:$B$3549,$A87,Lecturas!$E$4:$E$3549,"&lt;&gt;")),0)),"")</f>
        <v/>
      </c>
      <c r="H87" s="18" t="s">
        <v>567</v>
      </c>
      <c r="I87" s="18" t="s">
        <v>462</v>
      </c>
      <c r="J87" s="18">
        <v>15000</v>
      </c>
      <c r="K87" s="18">
        <f>IFERROR(IF($I87="KM",ROUND((_xlfn.MAXIFS(tblLecturas[Kilometraje],tblLecturas[Codigo],$A87)-_xlfn.MINIFS(tblLecturas[Kilometraje],tblLecturas[Codigo],$A87))/(MAX(1,_xlfn.MAXIFS(tblLecturas[Fecha],tblLecturas[Codigo],$A87)-_xlfn.MINIFS(tblLecturas[Fecha],tblLecturas[Codigo],$A87))),1),ROUND((_xlfn.MAXIFS(tblLecturas[Horometro],tblLecturas[Codigo],$A87)-_xlfn.MINIFS(tblLecturas[Horometro],tblLecturas[Codigo],$A87))/(MAX(1,_xlfn.MAXIFS(tblLecturas[Fecha],tblLecturas[Codigo],$A87)-_xlfn.MINIFS(tblLecturas[Fecha],tblLecturas[Codigo],$A87))),1)),"")</f>
        <v>0</v>
      </c>
      <c r="L87" s="20">
        <f>IFERROR(_xlfn.MAXIFS(tblLecturas[Fecha],tblLecturas[Codigo],$A87),"")</f>
        <v>0</v>
      </c>
      <c r="M87" s="26">
        <f>IFERROR(_xlfn.MAXIFS(Lecturas!$C:$C,Lecturas!$B:$B,$A87,Lecturas!$C:$C,"&gt;0"),"")</f>
        <v>0</v>
      </c>
      <c r="N87" s="78">
        <f>IFERROR(_xlfn.MAXIFS(tblLecturas[Kilometraje],tblLecturas[Codigo],$A87,tblLecturas[Kilometraje],"&gt;0"),"")</f>
        <v>0</v>
      </c>
      <c r="O87" s="78" t="str" cm="1">
        <f t="array" ref="O87">IFERROR(IF($I87="KM",LOOKUP(2,1/(Lecturas!$B:$B=$A87)/(Lecturas!$D:$D&gt;0),Lecturas!$D:$D),LOOKUP(2,1/(Lecturas!$B:$B=$A87)/(Lecturas!$C:$C&gt;0),Lecturas!$C:$C)),"")</f>
        <v/>
      </c>
      <c r="P87" s="20">
        <f>IFERROR(_xlfn.MAXIFS(tblMantenciones[Fecha],tblMantenciones[Codigo],tblMaestroEquipos[[#This Row],[Codigo]],tblMantenciones[EsPM],"Sí"),"")</f>
        <v>0</v>
      </c>
      <c r="Q87" s="78" t="str">
        <f>IF(_xlfn.MAXIFS(Mantenciones!$D:$D,Mantenciones!$B:$B,A87)=0,"Sin datos de mantención registrado",_xlfn.MAXIFS(Mantenciones!$D:$D,Mantenciones!$B:$B,A87))</f>
        <v>Sin datos de mantención registrado</v>
      </c>
      <c r="R87" s="18" t="str">
        <f>IFERROR(IF(_xlfn.MAXIFS(Mantenciones!$D:$D,Mantenciones!$B:$B,$A87,Mantenciones!$E:$E,"Sí",Mantenciones!$D:$D,"&gt;0")=0,"Sin datos de mantención registrado",_xlfn.MAXIFS(Mantenciones!$D:$D,Mantenciones!$B:$B,$A87,Mantenciones!$E:$E,"Sí",Mantenciones!$D:$D,"&gt;0")),"Sin datos de mantención registrado")</f>
        <v>Sin datos de mantención registrado</v>
      </c>
      <c r="S87" s="21">
        <f>IFERROR(SUMIFS(tblMantenciones[Costo Mantencion CLP],tblMantenciones[Codigo],tblMaestroEquipos[[#This Row],[Codigo]]),0)</f>
        <v>0</v>
      </c>
      <c r="T87" s="21">
        <f>IFERROR(SUMIFS(tblComprasPM[Costo PM CLP],tblComprasPM[Codigo],tblMaestroEquipos[[#This Row],[Codigo]]),0)</f>
        <v>0</v>
      </c>
      <c r="U87" s="21">
        <f>IFERROR(tblMaestroEquipos[[#This Row],[Costo Mantenciones CLP]]+tblMaestroEquipos[[#This Row],[Costo Compras PM CLP]],0)</f>
        <v>0</v>
      </c>
      <c r="V87" s="18" t="str">
        <f>IFERROR(_xlfn.XLOOKUP(tblMaestroEquipos[[#This Row],[Codigo]],tblEquipos[Codigo],tblEquipos[Estado Base]),"")</f>
        <v>Fuera de Servicio</v>
      </c>
      <c r="W87" s="18" t="str">
        <f t="shared" si="10"/>
        <v>FUERA DE SERVICIO</v>
      </c>
      <c r="X87" s="18" t="str">
        <f t="shared" si="11"/>
        <v/>
      </c>
      <c r="Y8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8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87" s="25" t="str">
        <f>IFERROR(IF(_xlfn.MAXIFS(tblBodega[Fecha],tblBodega[Codigo],tblMaestroEquipos[[#This Row],[Codigo]])=0,"",_xlfn.MAXIFS(tblBodega[Fecha],tblBodega[Codigo],tblMaestroEquipos[[#This Row],[Codigo]])),"")</f>
        <v/>
      </c>
      <c r="AB8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8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8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87" s="51" t="str">
        <f t="shared" si="9"/>
        <v>FUERA DE SERVICIO</v>
      </c>
      <c r="AF87" s="18" t="str">
        <f t="shared" si="12"/>
        <v>NO APLICA</v>
      </c>
      <c r="AG87" s="18" t="str">
        <f t="shared" si="13"/>
        <v>No programar compra</v>
      </c>
      <c r="AH87" s="27">
        <f t="shared" si="14"/>
        <v>0</v>
      </c>
      <c r="AI87" s="27" t="str">
        <f t="shared" si="15"/>
        <v/>
      </c>
      <c r="AJ87" s="24">
        <f t="shared" si="16"/>
        <v>99</v>
      </c>
    </row>
    <row r="88" spans="1:36">
      <c r="A88" s="18" t="s">
        <v>579</v>
      </c>
      <c r="B88" s="18" t="s">
        <v>459</v>
      </c>
      <c r="C88" s="18" t="s">
        <v>1074</v>
      </c>
      <c r="D88" s="18" t="s">
        <v>99</v>
      </c>
      <c r="E88" s="19" t="s">
        <v>580</v>
      </c>
      <c r="F88" s="18">
        <v>2021</v>
      </c>
      <c r="G88" s="18" t="str" cm="1">
        <f t="array" ref="G88">IFERROR(INDEX(Lecturas!$E$4:$E$3549,MATCH(1,(Lecturas!$B$4:$B$3549=$A88)*(Lecturas!$E$4:$E$3549&lt;&gt;"")*(Lecturas!$A$4:$A$3549=_xlfn.MAXIFS(Lecturas!$A$4:$A$3549,Lecturas!$B$4:$B$3549,$A88,Lecturas!$E$4:$E$3549,"&lt;&gt;")),0)),"")</f>
        <v/>
      </c>
      <c r="H88" s="18" t="s">
        <v>567</v>
      </c>
      <c r="I88" s="18" t="s">
        <v>462</v>
      </c>
      <c r="J88" s="18">
        <v>15000</v>
      </c>
      <c r="K88" s="18">
        <f>IFERROR(IF($I88="KM",ROUND((_xlfn.MAXIFS(tblLecturas[Kilometraje],tblLecturas[Codigo],$A88)-_xlfn.MINIFS(tblLecturas[Kilometraje],tblLecturas[Codigo],$A88))/(MAX(1,_xlfn.MAXIFS(tblLecturas[Fecha],tblLecturas[Codigo],$A88)-_xlfn.MINIFS(tblLecturas[Fecha],tblLecturas[Codigo],$A88))),1),ROUND((_xlfn.MAXIFS(tblLecturas[Horometro],tblLecturas[Codigo],$A88)-_xlfn.MINIFS(tblLecturas[Horometro],tblLecturas[Codigo],$A88))/(MAX(1,_xlfn.MAXIFS(tblLecturas[Fecha],tblLecturas[Codigo],$A88)-_xlfn.MINIFS(tblLecturas[Fecha],tblLecturas[Codigo],$A88))),1)),"")</f>
        <v>0</v>
      </c>
      <c r="L88" s="20">
        <f>IFERROR(_xlfn.MAXIFS(tblLecturas[Fecha],tblLecturas[Codigo],$A88),"")</f>
        <v>0</v>
      </c>
      <c r="M88" s="26">
        <f>IFERROR(_xlfn.MAXIFS(Lecturas!$C:$C,Lecturas!$B:$B,$A88,Lecturas!$C:$C,"&gt;0"),"")</f>
        <v>0</v>
      </c>
      <c r="N88" s="78">
        <f>IFERROR(_xlfn.MAXIFS(tblLecturas[Kilometraje],tblLecturas[Codigo],$A88,tblLecturas[Kilometraje],"&gt;0"),"")</f>
        <v>0</v>
      </c>
      <c r="O88" s="78" t="str" cm="1">
        <f t="array" ref="O88">IFERROR(IF($I88="KM",LOOKUP(2,1/(Lecturas!$B:$B=$A88)/(Lecturas!$D:$D&gt;0),Lecturas!$D:$D),LOOKUP(2,1/(Lecturas!$B:$B=$A88)/(Lecturas!$C:$C&gt;0),Lecturas!$C:$C)),"")</f>
        <v/>
      </c>
      <c r="P88" s="20">
        <f>IFERROR(_xlfn.MAXIFS(tblMantenciones[Fecha],tblMantenciones[Codigo],tblMaestroEquipos[[#This Row],[Codigo]],tblMantenciones[EsPM],"Sí"),"")</f>
        <v>0</v>
      </c>
      <c r="Q88" s="78" t="str">
        <f>IF(_xlfn.MAXIFS(Mantenciones!$D:$D,Mantenciones!$B:$B,A88)=0,"Sin datos de mantención registrado",_xlfn.MAXIFS(Mantenciones!$D:$D,Mantenciones!$B:$B,A88))</f>
        <v>Sin datos de mantención registrado</v>
      </c>
      <c r="R88" s="18" t="str">
        <f>IFERROR(IF(_xlfn.MAXIFS(Mantenciones!$D:$D,Mantenciones!$B:$B,$A88,Mantenciones!$E:$E,"Sí",Mantenciones!$D:$D,"&gt;0")=0,"Sin datos de mantención registrado",_xlfn.MAXIFS(Mantenciones!$D:$D,Mantenciones!$B:$B,$A88,Mantenciones!$E:$E,"Sí",Mantenciones!$D:$D,"&gt;0")),"Sin datos de mantención registrado")</f>
        <v>Sin datos de mantención registrado</v>
      </c>
      <c r="S88" s="21">
        <f>IFERROR(SUMIFS(tblMantenciones[Costo Mantencion CLP],tblMantenciones[Codigo],tblMaestroEquipos[[#This Row],[Codigo]]),0)</f>
        <v>0</v>
      </c>
      <c r="T88" s="21">
        <f>IFERROR(SUMIFS(tblComprasPM[Costo PM CLP],tblComprasPM[Codigo],tblMaestroEquipos[[#This Row],[Codigo]]),0)</f>
        <v>0</v>
      </c>
      <c r="U88" s="21">
        <f>IFERROR(tblMaestroEquipos[[#This Row],[Costo Mantenciones CLP]]+tblMaestroEquipos[[#This Row],[Costo Compras PM CLP]],0)</f>
        <v>0</v>
      </c>
      <c r="V88" s="18" t="str">
        <f>IFERROR(_xlfn.XLOOKUP(tblMaestroEquipos[[#This Row],[Codigo]],tblEquipos[Codigo],tblEquipos[Estado Base]),"")</f>
        <v>Fuera de Servicio</v>
      </c>
      <c r="W88" s="18" t="str">
        <f t="shared" si="10"/>
        <v>FUERA DE SERVICIO</v>
      </c>
      <c r="X88" s="18" t="str">
        <f t="shared" si="11"/>
        <v/>
      </c>
      <c r="Y8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88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88" s="25" t="str">
        <f>IFERROR(IF(_xlfn.MAXIFS(tblBodega[Fecha],tblBodega[Codigo],tblMaestroEquipos[[#This Row],[Codigo]])=0,"",_xlfn.MAXIFS(tblBodega[Fecha],tblBodega[Codigo],tblMaestroEquipos[[#This Row],[Codigo]])),"")</f>
        <v/>
      </c>
      <c r="AB88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8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8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88" s="51" t="str">
        <f t="shared" si="9"/>
        <v>FUERA DE SERVICIO</v>
      </c>
      <c r="AF88" s="18" t="str">
        <f t="shared" si="12"/>
        <v>NO APLICA</v>
      </c>
      <c r="AG88" s="18" t="str">
        <f t="shared" si="13"/>
        <v>No programar compra</v>
      </c>
      <c r="AH88" s="27">
        <f t="shared" si="14"/>
        <v>0</v>
      </c>
      <c r="AI88" s="27" t="str">
        <f t="shared" si="15"/>
        <v/>
      </c>
      <c r="AJ88" s="24">
        <f t="shared" si="16"/>
        <v>99</v>
      </c>
    </row>
    <row r="89" spans="1:36">
      <c r="A89" s="18" t="s">
        <v>582</v>
      </c>
      <c r="B89" s="18" t="s">
        <v>502</v>
      </c>
      <c r="C89" s="18" t="s">
        <v>1074</v>
      </c>
      <c r="D89" s="18" t="s">
        <v>55</v>
      </c>
      <c r="E89" s="19" t="s">
        <v>583</v>
      </c>
      <c r="F89" s="18">
        <v>2010</v>
      </c>
      <c r="G89" s="18" t="str" cm="1">
        <f t="array" ref="G89">IFERROR(INDEX(Lecturas!$E$4:$E$3549,MATCH(1,(Lecturas!$B$4:$B$3549=$A89)*(Lecturas!$E$4:$E$3549&lt;&gt;"")*(Lecturas!$A$4:$A$3549=_xlfn.MAXIFS(Lecturas!$A$4:$A$3549,Lecturas!$B$4:$B$3549,$A89,Lecturas!$E$4:$E$3549,"&lt;&gt;")),0)),"")</f>
        <v/>
      </c>
      <c r="H89" s="18" t="s">
        <v>57</v>
      </c>
      <c r="I89" s="18" t="s">
        <v>462</v>
      </c>
      <c r="J89" s="18">
        <v>15000</v>
      </c>
      <c r="K89" s="18">
        <f>IFERROR(IF($I89="KM",ROUND((_xlfn.MAXIFS(tblLecturas[Kilometraje],tblLecturas[Codigo],$A89)-_xlfn.MINIFS(tblLecturas[Kilometraje],tblLecturas[Codigo],$A89))/(MAX(1,_xlfn.MAXIFS(tblLecturas[Fecha],tblLecturas[Codigo],$A89)-_xlfn.MINIFS(tblLecturas[Fecha],tblLecturas[Codigo],$A89))),1),ROUND((_xlfn.MAXIFS(tblLecturas[Horometro],tblLecturas[Codigo],$A89)-_xlfn.MINIFS(tblLecturas[Horometro],tblLecturas[Codigo],$A89))/(MAX(1,_xlfn.MAXIFS(tblLecturas[Fecha],tblLecturas[Codigo],$A89)-_xlfn.MINIFS(tblLecturas[Fecha],tblLecturas[Codigo],$A89))),1)),"")</f>
        <v>0</v>
      </c>
      <c r="L89" s="20">
        <f>IFERROR(_xlfn.MAXIFS(tblLecturas[Fecha],tblLecturas[Codigo],$A89),"")</f>
        <v>0</v>
      </c>
      <c r="M89" s="26">
        <f>IFERROR(_xlfn.MAXIFS(Lecturas!$C:$C,Lecturas!$B:$B,$A89,Lecturas!$C:$C,"&gt;0"),"")</f>
        <v>0</v>
      </c>
      <c r="N89" s="78">
        <f>IFERROR(_xlfn.MAXIFS(tblLecturas[Kilometraje],tblLecturas[Codigo],$A89,tblLecturas[Kilometraje],"&gt;0"),"")</f>
        <v>0</v>
      </c>
      <c r="O89" s="78" t="str" cm="1">
        <f t="array" ref="O89">IFERROR(IF($I89="KM",LOOKUP(2,1/(Lecturas!$B:$B=$A89)/(Lecturas!$D:$D&gt;0),Lecturas!$D:$D),LOOKUP(2,1/(Lecturas!$B:$B=$A89)/(Lecturas!$C:$C&gt;0),Lecturas!$C:$C)),"")</f>
        <v/>
      </c>
      <c r="P89" s="20">
        <f>IFERROR(_xlfn.MAXIFS(tblMantenciones[Fecha],tblMantenciones[Codigo],tblMaestroEquipos[[#This Row],[Codigo]],tblMantenciones[EsPM],"Sí"),"")</f>
        <v>0</v>
      </c>
      <c r="Q89" s="78" t="str">
        <f>IF(_xlfn.MAXIFS(Mantenciones!$D:$D,Mantenciones!$B:$B,A89)=0,"Sin datos de mantención registrado",_xlfn.MAXIFS(Mantenciones!$D:$D,Mantenciones!$B:$B,A89))</f>
        <v>Sin datos de mantención registrado</v>
      </c>
      <c r="R89" s="18" t="str">
        <f>IFERROR(IF(_xlfn.MAXIFS(Mantenciones!$D:$D,Mantenciones!$B:$B,$A89,Mantenciones!$E:$E,"Sí",Mantenciones!$D:$D,"&gt;0")=0,"Sin datos de mantención registrado",_xlfn.MAXIFS(Mantenciones!$D:$D,Mantenciones!$B:$B,$A89,Mantenciones!$E:$E,"Sí",Mantenciones!$D:$D,"&gt;0")),"Sin datos de mantención registrado")</f>
        <v>Sin datos de mantención registrado</v>
      </c>
      <c r="S89" s="21">
        <f>IFERROR(SUMIFS(tblMantenciones[Costo Mantencion CLP],tblMantenciones[Codigo],tblMaestroEquipos[[#This Row],[Codigo]]),0)</f>
        <v>0</v>
      </c>
      <c r="T89" s="21">
        <f>IFERROR(SUMIFS(tblComprasPM[Costo PM CLP],tblComprasPM[Codigo],tblMaestroEquipos[[#This Row],[Codigo]]),0)</f>
        <v>0</v>
      </c>
      <c r="U89" s="21">
        <f>IFERROR(tblMaestroEquipos[[#This Row],[Costo Mantenciones CLP]]+tblMaestroEquipos[[#This Row],[Costo Compras PM CLP]],0)</f>
        <v>0</v>
      </c>
      <c r="V89" s="18" t="str">
        <f>IFERROR(_xlfn.XLOOKUP(tblMaestroEquipos[[#This Row],[Codigo]],tblEquipos[Codigo],tblEquipos[Estado Base]),"")</f>
        <v>Fuera de Servicio</v>
      </c>
      <c r="W89" s="18" t="str">
        <f t="shared" si="10"/>
        <v>FUERA DE SERVICIO</v>
      </c>
      <c r="X89" s="18" t="str">
        <f t="shared" si="11"/>
        <v/>
      </c>
      <c r="Y8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8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89" s="25" t="str">
        <f>IFERROR(IF(_xlfn.MAXIFS(tblBodega[Fecha],tblBodega[Codigo],tblMaestroEquipos[[#This Row],[Codigo]])=0,"",_xlfn.MAXIFS(tblBodega[Fecha],tblBodega[Codigo],tblMaestroEquipos[[#This Row],[Codigo]])),"")</f>
        <v/>
      </c>
      <c r="AB8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8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8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89" s="51" t="str">
        <f t="shared" si="9"/>
        <v>FUERA DE SERVICIO</v>
      </c>
      <c r="AF89" s="18" t="str">
        <f t="shared" si="12"/>
        <v>NO APLICA</v>
      </c>
      <c r="AG89" s="18" t="str">
        <f t="shared" si="13"/>
        <v>No programar compra</v>
      </c>
      <c r="AH89" s="27">
        <f t="shared" si="14"/>
        <v>0</v>
      </c>
      <c r="AI89" s="27" t="str">
        <f t="shared" si="15"/>
        <v/>
      </c>
      <c r="AJ89" s="24">
        <f t="shared" si="16"/>
        <v>99</v>
      </c>
    </row>
    <row r="90" spans="1:36">
      <c r="A90" s="18" t="s">
        <v>584</v>
      </c>
      <c r="B90" s="18" t="s">
        <v>502</v>
      </c>
      <c r="C90" s="18" t="s">
        <v>1074</v>
      </c>
      <c r="D90" s="18" t="s">
        <v>55</v>
      </c>
      <c r="E90" s="19" t="s">
        <v>585</v>
      </c>
      <c r="F90" s="18">
        <v>2017</v>
      </c>
      <c r="G90" s="18" t="str" cm="1">
        <f t="array" ref="G90">IFERROR(INDEX(Lecturas!$E$4:$E$3549,MATCH(1,(Lecturas!$B$4:$B$3549=$A90)*(Lecturas!$E$4:$E$3549&lt;&gt;"")*(Lecturas!$A$4:$A$3549=_xlfn.MAXIFS(Lecturas!$A$4:$A$3549,Lecturas!$B$4:$B$3549,$A90,Lecturas!$E$4:$E$3549,"&lt;&gt;")),0)),"")</f>
        <v/>
      </c>
      <c r="H90" s="18" t="s">
        <v>567</v>
      </c>
      <c r="I90" s="18" t="s">
        <v>462</v>
      </c>
      <c r="J90" s="18">
        <v>15000</v>
      </c>
      <c r="K90" s="18">
        <f>IFERROR(IF($I90="KM",ROUND((_xlfn.MAXIFS(tblLecturas[Kilometraje],tblLecturas[Codigo],$A90)-_xlfn.MINIFS(tblLecturas[Kilometraje],tblLecturas[Codigo],$A90))/(MAX(1,_xlfn.MAXIFS(tblLecturas[Fecha],tblLecturas[Codigo],$A90)-_xlfn.MINIFS(tblLecturas[Fecha],tblLecturas[Codigo],$A90))),1),ROUND((_xlfn.MAXIFS(tblLecturas[Horometro],tblLecturas[Codigo],$A90)-_xlfn.MINIFS(tblLecturas[Horometro],tblLecturas[Codigo],$A90))/(MAX(1,_xlfn.MAXIFS(tblLecturas[Fecha],tblLecturas[Codigo],$A90)-_xlfn.MINIFS(tblLecturas[Fecha],tblLecturas[Codigo],$A90))),1)),"")</f>
        <v>0</v>
      </c>
      <c r="L90" s="20">
        <f>IFERROR(_xlfn.MAXIFS(tblLecturas[Fecha],tblLecturas[Codigo],$A90),"")</f>
        <v>44851</v>
      </c>
      <c r="M90" s="26">
        <f>IFERROR(_xlfn.MAXIFS(Lecturas!$C:$C,Lecturas!$B:$B,$A90,Lecturas!$C:$C,"&gt;0"),"")</f>
        <v>0</v>
      </c>
      <c r="N90" s="78">
        <f>IFERROR(_xlfn.MAXIFS(tblLecturas[Kilometraje],tblLecturas[Codigo],$A90,tblLecturas[Kilometraje],"&gt;0"),"")</f>
        <v>118036</v>
      </c>
      <c r="O90" s="78" t="str" cm="1">
        <f t="array" ref="O90">IFERROR(IF($I90="KM",LOOKUP(2,1/(Lecturas!$B:$B=$A90)/(Lecturas!$D:$D&gt;0),Lecturas!$D:$D),LOOKUP(2,1/(Lecturas!$B:$B=$A90)/(Lecturas!$C:$C&gt;0),Lecturas!$C:$C)),"")</f>
        <v>MALO</v>
      </c>
      <c r="P90" s="20">
        <f>IFERROR(_xlfn.MAXIFS(tblMantenciones[Fecha],tblMantenciones[Codigo],tblMaestroEquipos[[#This Row],[Codigo]],tblMantenciones[EsPM],"Sí"),"")</f>
        <v>0</v>
      </c>
      <c r="Q90" s="78" t="str">
        <f>IF(_xlfn.MAXIFS(Mantenciones!$D:$D,Mantenciones!$B:$B,A90)=0,"Sin datos de mantención registrado",_xlfn.MAXIFS(Mantenciones!$D:$D,Mantenciones!$B:$B,A90))</f>
        <v>Sin datos de mantención registrado</v>
      </c>
      <c r="R90" s="18" t="str">
        <f>IFERROR(IF(_xlfn.MAXIFS(Mantenciones!$D:$D,Mantenciones!$B:$B,$A90,Mantenciones!$E:$E,"Sí",Mantenciones!$D:$D,"&gt;0")=0,"Sin datos de mantención registrado",_xlfn.MAXIFS(Mantenciones!$D:$D,Mantenciones!$B:$B,$A90,Mantenciones!$E:$E,"Sí",Mantenciones!$D:$D,"&gt;0")),"Sin datos de mantención registrado")</f>
        <v>Sin datos de mantención registrado</v>
      </c>
      <c r="S90" s="21">
        <f>IFERROR(SUMIFS(tblMantenciones[Costo Mantencion CLP],tblMantenciones[Codigo],tblMaestroEquipos[[#This Row],[Codigo]]),0)</f>
        <v>0</v>
      </c>
      <c r="T90" s="21">
        <f>IFERROR(SUMIFS(tblComprasPM[Costo PM CLP],tblComprasPM[Codigo],tblMaestroEquipos[[#This Row],[Codigo]]),0)</f>
        <v>0</v>
      </c>
      <c r="U90" s="21">
        <f>IFERROR(tblMaestroEquipos[[#This Row],[Costo Mantenciones CLP]]+tblMaestroEquipos[[#This Row],[Costo Compras PM CLP]],0)</f>
        <v>0</v>
      </c>
      <c r="V90" s="18" t="str">
        <f>IFERROR(_xlfn.XLOOKUP(tblMaestroEquipos[[#This Row],[Codigo]],tblEquipos[Codigo],tblEquipos[Estado Base]),"")</f>
        <v>Fuera de Servicio</v>
      </c>
      <c r="W90" s="18" t="str">
        <f t="shared" si="10"/>
        <v>FUERA DE SERVICIO</v>
      </c>
      <c r="X90" s="18" t="str">
        <f t="shared" si="11"/>
        <v/>
      </c>
      <c r="Y9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9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90" s="25" t="str">
        <f>IFERROR(IF(_xlfn.MAXIFS(tblBodega[Fecha],tblBodega[Codigo],tblMaestroEquipos[[#This Row],[Codigo]])=0,"",_xlfn.MAXIFS(tblBodega[Fecha],tblBodega[Codigo],tblMaestroEquipos[[#This Row],[Codigo]])),"")</f>
        <v/>
      </c>
      <c r="AB9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9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9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90" s="51" t="str">
        <f t="shared" si="9"/>
        <v>FUERA DE SERVICIO</v>
      </c>
      <c r="AF90" s="18" t="str">
        <f t="shared" si="12"/>
        <v>NO APLICA</v>
      </c>
      <c r="AG90" s="18" t="str">
        <f t="shared" si="13"/>
        <v>No programar compra</v>
      </c>
      <c r="AH90" s="27">
        <f t="shared" si="14"/>
        <v>0</v>
      </c>
      <c r="AI90" s="27" t="str">
        <f t="shared" si="15"/>
        <v/>
      </c>
      <c r="AJ90" s="24">
        <f t="shared" si="16"/>
        <v>99</v>
      </c>
    </row>
    <row r="91" spans="1:36">
      <c r="A91" s="18" t="s">
        <v>586</v>
      </c>
      <c r="B91" s="18" t="s">
        <v>502</v>
      </c>
      <c r="C91" s="18" t="s">
        <v>1074</v>
      </c>
      <c r="D91" s="18" t="s">
        <v>55</v>
      </c>
      <c r="E91" s="19" t="s">
        <v>587</v>
      </c>
      <c r="F91" s="18">
        <v>2013</v>
      </c>
      <c r="G91" s="18" t="str" cm="1">
        <f t="array" ref="G91">IFERROR(INDEX(Lecturas!$E$4:$E$3549,MATCH(1,(Lecturas!$B$4:$B$3549=$A91)*(Lecturas!$E$4:$E$3549&lt;&gt;"")*(Lecturas!$A$4:$A$3549=_xlfn.MAXIFS(Lecturas!$A$4:$A$3549,Lecturas!$B$4:$B$3549,$A91,Lecturas!$E$4:$E$3549,"&lt;&gt;")),0)),"")</f>
        <v/>
      </c>
      <c r="H91" s="18" t="s">
        <v>57</v>
      </c>
      <c r="I91" s="18" t="s">
        <v>462</v>
      </c>
      <c r="J91" s="18">
        <v>15000</v>
      </c>
      <c r="K91" s="18">
        <f>IFERROR(IF($I91="KM",ROUND((_xlfn.MAXIFS(tblLecturas[Kilometraje],tblLecturas[Codigo],$A91)-_xlfn.MINIFS(tblLecturas[Kilometraje],tblLecturas[Codigo],$A91))/(MAX(1,_xlfn.MAXIFS(tblLecturas[Fecha],tblLecturas[Codigo],$A91)-_xlfn.MINIFS(tblLecturas[Fecha],tblLecturas[Codigo],$A91))),1),ROUND((_xlfn.MAXIFS(tblLecturas[Horometro],tblLecturas[Codigo],$A91)-_xlfn.MINIFS(tblLecturas[Horometro],tblLecturas[Codigo],$A91))/(MAX(1,_xlfn.MAXIFS(tblLecturas[Fecha],tblLecturas[Codigo],$A91)-_xlfn.MINIFS(tblLecturas[Fecha],tblLecturas[Codigo],$A91))),1)),"")</f>
        <v>0</v>
      </c>
      <c r="L91" s="20">
        <f>IFERROR(_xlfn.MAXIFS(tblLecturas[Fecha],tblLecturas[Codigo],$A91),"")</f>
        <v>0</v>
      </c>
      <c r="M91" s="26">
        <f>IFERROR(_xlfn.MAXIFS(Lecturas!$C:$C,Lecturas!$B:$B,$A91,Lecturas!$C:$C,"&gt;0"),"")</f>
        <v>0</v>
      </c>
      <c r="N91" s="78">
        <f>IFERROR(_xlfn.MAXIFS(tblLecturas[Kilometraje],tblLecturas[Codigo],$A91,tblLecturas[Kilometraje],"&gt;0"),"")</f>
        <v>0</v>
      </c>
      <c r="O91" s="78" t="str" cm="1">
        <f t="array" ref="O91">IFERROR(IF($I91="KM",LOOKUP(2,1/(Lecturas!$B:$B=$A91)/(Lecturas!$D:$D&gt;0),Lecturas!$D:$D),LOOKUP(2,1/(Lecturas!$B:$B=$A91)/(Lecturas!$C:$C&gt;0),Lecturas!$C:$C)),"")</f>
        <v/>
      </c>
      <c r="P91" s="20">
        <f>IFERROR(_xlfn.MAXIFS(tblMantenciones[Fecha],tblMantenciones[Codigo],tblMaestroEquipos[[#This Row],[Codigo]],tblMantenciones[EsPM],"Sí"),"")</f>
        <v>0</v>
      </c>
      <c r="Q91" s="78" t="str">
        <f>IF(_xlfn.MAXIFS(Mantenciones!$D:$D,Mantenciones!$B:$B,A91)=0,"Sin datos de mantención registrado",_xlfn.MAXIFS(Mantenciones!$D:$D,Mantenciones!$B:$B,A91))</f>
        <v>Sin datos de mantención registrado</v>
      </c>
      <c r="R91" s="18" t="str">
        <f>IFERROR(IF(_xlfn.MAXIFS(Mantenciones!$D:$D,Mantenciones!$B:$B,$A91,Mantenciones!$E:$E,"Sí",Mantenciones!$D:$D,"&gt;0")=0,"Sin datos de mantención registrado",_xlfn.MAXIFS(Mantenciones!$D:$D,Mantenciones!$B:$B,$A91,Mantenciones!$E:$E,"Sí",Mantenciones!$D:$D,"&gt;0")),"Sin datos de mantención registrado")</f>
        <v>Sin datos de mantención registrado</v>
      </c>
      <c r="S91" s="21">
        <f>IFERROR(SUMIFS(tblMantenciones[Costo Mantencion CLP],tblMantenciones[Codigo],tblMaestroEquipos[[#This Row],[Codigo]]),0)</f>
        <v>0</v>
      </c>
      <c r="T91" s="21">
        <f>IFERROR(SUMIFS(tblComprasPM[Costo PM CLP],tblComprasPM[Codigo],tblMaestroEquipos[[#This Row],[Codigo]]),0)</f>
        <v>0</v>
      </c>
      <c r="U91" s="21">
        <f>IFERROR(tblMaestroEquipos[[#This Row],[Costo Mantenciones CLP]]+tblMaestroEquipos[[#This Row],[Costo Compras PM CLP]],0)</f>
        <v>0</v>
      </c>
      <c r="V91" s="18" t="str">
        <f>IFERROR(_xlfn.XLOOKUP(tblMaestroEquipos[[#This Row],[Codigo]],tblEquipos[Codigo],tblEquipos[Estado Base]),"")</f>
        <v>Fuera de Servicio</v>
      </c>
      <c r="W91" s="18" t="str">
        <f t="shared" si="10"/>
        <v>FUERA DE SERVICIO</v>
      </c>
      <c r="X91" s="18" t="str">
        <f t="shared" si="11"/>
        <v/>
      </c>
      <c r="Y9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91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91" s="25" t="str">
        <f>IFERROR(IF(_xlfn.MAXIFS(tblBodega[Fecha],tblBodega[Codigo],tblMaestroEquipos[[#This Row],[Codigo]])=0,"",_xlfn.MAXIFS(tblBodega[Fecha],tblBodega[Codigo],tblMaestroEquipos[[#This Row],[Codigo]])),"")</f>
        <v/>
      </c>
      <c r="AB91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9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9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91" s="51" t="str">
        <f t="shared" si="9"/>
        <v>FUERA DE SERVICIO</v>
      </c>
      <c r="AF91" s="18" t="str">
        <f t="shared" si="12"/>
        <v>NO APLICA</v>
      </c>
      <c r="AG91" s="18" t="str">
        <f t="shared" si="13"/>
        <v>No programar compra</v>
      </c>
      <c r="AH91" s="27">
        <f t="shared" si="14"/>
        <v>0</v>
      </c>
      <c r="AI91" s="27" t="str">
        <f t="shared" si="15"/>
        <v/>
      </c>
      <c r="AJ91" s="24">
        <f t="shared" si="16"/>
        <v>99</v>
      </c>
    </row>
    <row r="92" spans="1:36">
      <c r="A92" s="18" t="s">
        <v>588</v>
      </c>
      <c r="B92" s="18" t="s">
        <v>459</v>
      </c>
      <c r="C92" s="18" t="s">
        <v>1074</v>
      </c>
      <c r="D92" s="18" t="s">
        <v>589</v>
      </c>
      <c r="E92" s="19" t="s">
        <v>590</v>
      </c>
      <c r="F92" s="18">
        <v>2023</v>
      </c>
      <c r="G92" s="18" t="str" cm="1">
        <f t="array" ref="G92">IFERROR(INDEX(Lecturas!$E$4:$E$3549,MATCH(1,(Lecturas!$B$4:$B$3549=$A92)*(Lecturas!$E$4:$E$3549&lt;&gt;"")*(Lecturas!$A$4:$A$3549=_xlfn.MAXIFS(Lecturas!$A$4:$A$3549,Lecturas!$B$4:$B$3549,$A92,Lecturas!$E$4:$E$3549,"&lt;&gt;")),0)),"")</f>
        <v/>
      </c>
      <c r="H92" s="18" t="s">
        <v>262</v>
      </c>
      <c r="I92" s="18" t="s">
        <v>462</v>
      </c>
      <c r="J92" s="18">
        <v>15000</v>
      </c>
      <c r="K92" s="18">
        <f>IFERROR(IF($I92="KM",ROUND((_xlfn.MAXIFS(tblLecturas[Kilometraje],tblLecturas[Codigo],$A92)-_xlfn.MINIFS(tblLecturas[Kilometraje],tblLecturas[Codigo],$A92))/(MAX(1,_xlfn.MAXIFS(tblLecturas[Fecha],tblLecturas[Codigo],$A92)-_xlfn.MINIFS(tblLecturas[Fecha],tblLecturas[Codigo],$A92))),1),ROUND((_xlfn.MAXIFS(tblLecturas[Horometro],tblLecturas[Codigo],$A92)-_xlfn.MINIFS(tblLecturas[Horometro],tblLecturas[Codigo],$A92))/(MAX(1,_xlfn.MAXIFS(tblLecturas[Fecha],tblLecturas[Codigo],$A92)-_xlfn.MINIFS(tblLecturas[Fecha],tblLecturas[Codigo],$A92))),1)),"")</f>
        <v>0</v>
      </c>
      <c r="L92" s="20">
        <f>IFERROR(_xlfn.MAXIFS(tblLecturas[Fecha],tblLecturas[Codigo],$A92),"")</f>
        <v>0</v>
      </c>
      <c r="M92" s="26">
        <f>IFERROR(_xlfn.MAXIFS(Lecturas!$C:$C,Lecturas!$B:$B,$A92,Lecturas!$C:$C,"&gt;0"),"")</f>
        <v>0</v>
      </c>
      <c r="N92" s="78">
        <f>IFERROR(_xlfn.MAXIFS(tblLecturas[Kilometraje],tblLecturas[Codigo],$A92,tblLecturas[Kilometraje],"&gt;0"),"")</f>
        <v>0</v>
      </c>
      <c r="O92" s="78" t="str" cm="1">
        <f t="array" ref="O92">IFERROR(IF($I92="KM",LOOKUP(2,1/(Lecturas!$B:$B=$A92)/(Lecturas!$D:$D&gt;0),Lecturas!$D:$D),LOOKUP(2,1/(Lecturas!$B:$B=$A92)/(Lecturas!$C:$C&gt;0),Lecturas!$C:$C)),"")</f>
        <v/>
      </c>
      <c r="P92" s="20">
        <f>IFERROR(_xlfn.MAXIFS(tblMantenciones[Fecha],tblMantenciones[Codigo],tblMaestroEquipos[[#This Row],[Codigo]],tblMantenciones[EsPM],"Sí"),"")</f>
        <v>0</v>
      </c>
      <c r="Q92" s="78" t="str">
        <f>IF(_xlfn.MAXIFS(Mantenciones!$D:$D,Mantenciones!$B:$B,A92)=0,"Sin datos de mantención registrado",_xlfn.MAXIFS(Mantenciones!$D:$D,Mantenciones!$B:$B,A92))</f>
        <v>Sin datos de mantención registrado</v>
      </c>
      <c r="R92" s="18" t="str">
        <f>IFERROR(IF(_xlfn.MAXIFS(Mantenciones!$D:$D,Mantenciones!$B:$B,$A92,Mantenciones!$E:$E,"Sí",Mantenciones!$D:$D,"&gt;0")=0,"Sin datos de mantención registrado",_xlfn.MAXIFS(Mantenciones!$D:$D,Mantenciones!$B:$B,$A92,Mantenciones!$E:$E,"Sí",Mantenciones!$D:$D,"&gt;0")),"Sin datos de mantención registrado")</f>
        <v>Sin datos de mantención registrado</v>
      </c>
      <c r="S92" s="21">
        <f>IFERROR(SUMIFS(tblMantenciones[Costo Mantencion CLP],tblMantenciones[Codigo],tblMaestroEquipos[[#This Row],[Codigo]]),0)</f>
        <v>0</v>
      </c>
      <c r="T92" s="21">
        <f>IFERROR(SUMIFS(tblComprasPM[Costo PM CLP],tblComprasPM[Codigo],tblMaestroEquipos[[#This Row],[Codigo]]),0)</f>
        <v>0</v>
      </c>
      <c r="U92" s="21">
        <f>IFERROR(tblMaestroEquipos[[#This Row],[Costo Mantenciones CLP]]+tblMaestroEquipos[[#This Row],[Costo Compras PM CLP]],0)</f>
        <v>0</v>
      </c>
      <c r="V92" s="18" t="str">
        <f>IFERROR(_xlfn.XLOOKUP(tblMaestroEquipos[[#This Row],[Codigo]],tblEquipos[Codigo],tblEquipos[Estado Base]),"")</f>
        <v>Fuera de Servicio</v>
      </c>
      <c r="W92" s="18" t="str">
        <f t="shared" si="10"/>
        <v>FUERA DE SERVICIO</v>
      </c>
      <c r="X92" s="18" t="str">
        <f t="shared" si="11"/>
        <v/>
      </c>
      <c r="Y9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9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92" s="25" t="str">
        <f>IFERROR(IF(_xlfn.MAXIFS(tblBodega[Fecha],tblBodega[Codigo],tblMaestroEquipos[[#This Row],[Codigo]])=0,"",_xlfn.MAXIFS(tblBodega[Fecha],tblBodega[Codigo],tblMaestroEquipos[[#This Row],[Codigo]])),"")</f>
        <v/>
      </c>
      <c r="AB9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9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9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92" s="51" t="str">
        <f t="shared" si="9"/>
        <v>FUERA DE SERVICIO</v>
      </c>
      <c r="AF92" s="18" t="str">
        <f t="shared" si="12"/>
        <v>NO APLICA</v>
      </c>
      <c r="AG92" s="18" t="str">
        <f t="shared" si="13"/>
        <v>No programar compra</v>
      </c>
      <c r="AH92" s="27">
        <f t="shared" si="14"/>
        <v>0</v>
      </c>
      <c r="AI92" s="27" t="str">
        <f t="shared" si="15"/>
        <v/>
      </c>
      <c r="AJ92" s="24">
        <f t="shared" si="16"/>
        <v>99</v>
      </c>
    </row>
    <row r="93" spans="1:36">
      <c r="A93" s="18" t="s">
        <v>599</v>
      </c>
      <c r="B93" s="18" t="s">
        <v>502</v>
      </c>
      <c r="C93" s="18" t="s">
        <v>1074</v>
      </c>
      <c r="D93" s="18" t="s">
        <v>503</v>
      </c>
      <c r="E93" s="19" t="s">
        <v>600</v>
      </c>
      <c r="F93" s="18">
        <v>2015</v>
      </c>
      <c r="G93" s="18" t="str" cm="1">
        <f t="array" ref="G93">IFERROR(INDEX(Lecturas!$E$4:$E$3549,MATCH(1,(Lecturas!$B$4:$B$3549=$A93)*(Lecturas!$E$4:$E$3549&lt;&gt;"")*(Lecturas!$A$4:$A$3549=_xlfn.MAXIFS(Lecturas!$A$4:$A$3549,Lecturas!$B$4:$B$3549,$A93,Lecturas!$E$4:$E$3549,"&lt;&gt;")),0)),"")</f>
        <v/>
      </c>
      <c r="H93" s="18" t="s">
        <v>567</v>
      </c>
      <c r="I93" s="18" t="s">
        <v>462</v>
      </c>
      <c r="J93" s="18">
        <v>10000</v>
      </c>
      <c r="K93" s="18">
        <f>IFERROR(IF($I93="KM",ROUND((_xlfn.MAXIFS(tblLecturas[Kilometraje],tblLecturas[Codigo],$A93)-_xlfn.MINIFS(tblLecturas[Kilometraje],tblLecturas[Codigo],$A93))/(MAX(1,_xlfn.MAXIFS(tblLecturas[Fecha],tblLecturas[Codigo],$A93)-_xlfn.MINIFS(tblLecturas[Fecha],tblLecturas[Codigo],$A93))),1),ROUND((_xlfn.MAXIFS(tblLecturas[Horometro],tblLecturas[Codigo],$A93)-_xlfn.MINIFS(tblLecturas[Horometro],tblLecturas[Codigo],$A93))/(MAX(1,_xlfn.MAXIFS(tblLecturas[Fecha],tblLecturas[Codigo],$A93)-_xlfn.MINIFS(tblLecturas[Fecha],tblLecturas[Codigo],$A93))),1)),"")</f>
        <v>0</v>
      </c>
      <c r="L93" s="20">
        <f>IFERROR(_xlfn.MAXIFS(tblLecturas[Fecha],tblLecturas[Codigo],$A93),"")</f>
        <v>0</v>
      </c>
      <c r="M93" s="26">
        <f>IFERROR(_xlfn.MAXIFS(Lecturas!$C:$C,Lecturas!$B:$B,$A93,Lecturas!$C:$C,"&gt;0"),"")</f>
        <v>0</v>
      </c>
      <c r="N93" s="78">
        <f>IFERROR(_xlfn.MAXIFS(tblLecturas[Kilometraje],tblLecturas[Codigo],$A93,tblLecturas[Kilometraje],"&gt;0"),"")</f>
        <v>0</v>
      </c>
      <c r="O93" s="78" t="str" cm="1">
        <f t="array" ref="O93">IFERROR(IF($I93="KM",LOOKUP(2,1/(Lecturas!$B:$B=$A93)/(Lecturas!$D:$D&gt;0),Lecturas!$D:$D),LOOKUP(2,1/(Lecturas!$B:$B=$A93)/(Lecturas!$C:$C&gt;0),Lecturas!$C:$C)),"")</f>
        <v/>
      </c>
      <c r="P93" s="20">
        <f>IFERROR(_xlfn.MAXIFS(tblMantenciones[Fecha],tblMantenciones[Codigo],tblMaestroEquipos[[#This Row],[Codigo]],tblMantenciones[EsPM],"Sí"),"")</f>
        <v>0</v>
      </c>
      <c r="Q93" s="78" t="str">
        <f>IF(_xlfn.MAXIFS(Mantenciones!$D:$D,Mantenciones!$B:$B,A93)=0,"Sin datos de mantención registrado",_xlfn.MAXIFS(Mantenciones!$D:$D,Mantenciones!$B:$B,A93))</f>
        <v>Sin datos de mantención registrado</v>
      </c>
      <c r="R93" s="18" t="str">
        <f>IFERROR(IF(_xlfn.MAXIFS(Mantenciones!$D:$D,Mantenciones!$B:$B,$A93,Mantenciones!$E:$E,"Sí",Mantenciones!$D:$D,"&gt;0")=0,"Sin datos de mantención registrado",_xlfn.MAXIFS(Mantenciones!$D:$D,Mantenciones!$B:$B,$A93,Mantenciones!$E:$E,"Sí",Mantenciones!$D:$D,"&gt;0")),"Sin datos de mantención registrado")</f>
        <v>Sin datos de mantención registrado</v>
      </c>
      <c r="S93" s="21">
        <f>IFERROR(SUMIFS(tblMantenciones[Costo Mantencion CLP],tblMantenciones[Codigo],tblMaestroEquipos[[#This Row],[Codigo]]),0)</f>
        <v>0</v>
      </c>
      <c r="T93" s="21">
        <f>IFERROR(SUMIFS(tblComprasPM[Costo PM CLP],tblComprasPM[Codigo],tblMaestroEquipos[[#This Row],[Codigo]]),0)</f>
        <v>0</v>
      </c>
      <c r="U93" s="21">
        <f>IFERROR(tblMaestroEquipos[[#This Row],[Costo Mantenciones CLP]]+tblMaestroEquipos[[#This Row],[Costo Compras PM CLP]],0)</f>
        <v>0</v>
      </c>
      <c r="V93" s="18" t="str">
        <f>IFERROR(_xlfn.XLOOKUP(tblMaestroEquipos[[#This Row],[Codigo]],tblEquipos[Codigo],tblEquipos[Estado Base]),"")</f>
        <v>Fuera de Servicio</v>
      </c>
      <c r="W93" s="18" t="str">
        <f t="shared" si="10"/>
        <v>FUERA DE SERVICIO</v>
      </c>
      <c r="X93" s="18" t="str">
        <f t="shared" si="11"/>
        <v/>
      </c>
      <c r="Y93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93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93" s="25" t="str">
        <f>IFERROR(IF(_xlfn.MAXIFS(tblBodega[Fecha],tblBodega[Codigo],tblMaestroEquipos[[#This Row],[Codigo]])=0,"",_xlfn.MAXIFS(tblBodega[Fecha],tblBodega[Codigo],tblMaestroEquipos[[#This Row],[Codigo]])),"")</f>
        <v/>
      </c>
      <c r="AB93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9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9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93" s="51" t="str">
        <f t="shared" si="9"/>
        <v>FUERA DE SERVICIO</v>
      </c>
      <c r="AF93" s="18" t="str">
        <f t="shared" si="12"/>
        <v>NO APLICA</v>
      </c>
      <c r="AG93" s="18" t="str">
        <f t="shared" si="13"/>
        <v>No programar compra</v>
      </c>
      <c r="AH93" s="27">
        <f t="shared" si="14"/>
        <v>0</v>
      </c>
      <c r="AI93" s="27" t="str">
        <f t="shared" si="15"/>
        <v/>
      </c>
      <c r="AJ93" s="24">
        <f t="shared" si="16"/>
        <v>99</v>
      </c>
    </row>
    <row r="94" spans="1:36">
      <c r="A94" s="18" t="s">
        <v>601</v>
      </c>
      <c r="B94" s="18" t="s">
        <v>502</v>
      </c>
      <c r="C94" s="18" t="s">
        <v>1074</v>
      </c>
      <c r="D94" s="18" t="s">
        <v>476</v>
      </c>
      <c r="E94" s="19" t="s">
        <v>602</v>
      </c>
      <c r="F94" s="18">
        <v>2019</v>
      </c>
      <c r="G94" s="18" t="str" cm="1">
        <f t="array" ref="G94">IFERROR(INDEX(Lecturas!$E$4:$E$3549,MATCH(1,(Lecturas!$B$4:$B$3549=$A94)*(Lecturas!$E$4:$E$3549&lt;&gt;"")*(Lecturas!$A$4:$A$3549=_xlfn.MAXIFS(Lecturas!$A$4:$A$3549,Lecturas!$B$4:$B$3549,$A94,Lecturas!$E$4:$E$3549,"&lt;&gt;")),0)),"")</f>
        <v/>
      </c>
      <c r="H94" s="18" t="s">
        <v>192</v>
      </c>
      <c r="I94" s="18" t="s">
        <v>462</v>
      </c>
      <c r="J94" s="18">
        <v>15000</v>
      </c>
      <c r="K94" s="18">
        <f>IFERROR(IF($I94="KM",ROUND((_xlfn.MAXIFS(tblLecturas[Kilometraje],tblLecturas[Codigo],$A94)-_xlfn.MINIFS(tblLecturas[Kilometraje],tblLecturas[Codigo],$A94))/(MAX(1,_xlfn.MAXIFS(tblLecturas[Fecha],tblLecturas[Codigo],$A94)-_xlfn.MINIFS(tblLecturas[Fecha],tblLecturas[Codigo],$A94))),1),ROUND((_xlfn.MAXIFS(tblLecturas[Horometro],tblLecturas[Codigo],$A94)-_xlfn.MINIFS(tblLecturas[Horometro],tblLecturas[Codigo],$A94))/(MAX(1,_xlfn.MAXIFS(tblLecturas[Fecha],tblLecturas[Codigo],$A94)-_xlfn.MINIFS(tblLecturas[Fecha],tblLecturas[Codigo],$A94))),1)),"")</f>
        <v>0</v>
      </c>
      <c r="L94" s="20">
        <f>IFERROR(_xlfn.MAXIFS(tblLecturas[Fecha],tblLecturas[Codigo],$A94),"")</f>
        <v>0</v>
      </c>
      <c r="M94" s="26">
        <f>IFERROR(_xlfn.MAXIFS(Lecturas!$C:$C,Lecturas!$B:$B,$A94,Lecturas!$C:$C,"&gt;0"),"")</f>
        <v>0</v>
      </c>
      <c r="N94" s="78">
        <f>IFERROR(_xlfn.MAXIFS(tblLecturas[Kilometraje],tblLecturas[Codigo],$A94,tblLecturas[Kilometraje],"&gt;0"),"")</f>
        <v>0</v>
      </c>
      <c r="O94" s="78" t="str" cm="1">
        <f t="array" ref="O94">IFERROR(IF($I94="KM",LOOKUP(2,1/(Lecturas!$B:$B=$A94)/(Lecturas!$D:$D&gt;0),Lecturas!$D:$D),LOOKUP(2,1/(Lecturas!$B:$B=$A94)/(Lecturas!$C:$C&gt;0),Lecturas!$C:$C)),"")</f>
        <v/>
      </c>
      <c r="P94" s="20">
        <f>IFERROR(_xlfn.MAXIFS(tblMantenciones[Fecha],tblMantenciones[Codigo],tblMaestroEquipos[[#This Row],[Codigo]],tblMantenciones[EsPM],"Sí"),"")</f>
        <v>0</v>
      </c>
      <c r="Q94" s="78" t="str">
        <f>IF(_xlfn.MAXIFS(Mantenciones!$D:$D,Mantenciones!$B:$B,A94)=0,"Sin datos de mantención registrado",_xlfn.MAXIFS(Mantenciones!$D:$D,Mantenciones!$B:$B,A94))</f>
        <v>Sin datos de mantención registrado</v>
      </c>
      <c r="R94" s="18" t="str">
        <f>IFERROR(IF(_xlfn.MAXIFS(Mantenciones!$D:$D,Mantenciones!$B:$B,$A94,Mantenciones!$E:$E,"Sí",Mantenciones!$D:$D,"&gt;0")=0,"Sin datos de mantención registrado",_xlfn.MAXIFS(Mantenciones!$D:$D,Mantenciones!$B:$B,$A94,Mantenciones!$E:$E,"Sí",Mantenciones!$D:$D,"&gt;0")),"Sin datos de mantención registrado")</f>
        <v>Sin datos de mantención registrado</v>
      </c>
      <c r="S94" s="21">
        <f>IFERROR(SUMIFS(tblMantenciones[Costo Mantencion CLP],tblMantenciones[Codigo],tblMaestroEquipos[[#This Row],[Codigo]]),0)</f>
        <v>0</v>
      </c>
      <c r="T94" s="21">
        <f>IFERROR(SUMIFS(tblComprasPM[Costo PM CLP],tblComprasPM[Codigo],tblMaestroEquipos[[#This Row],[Codigo]]),0)</f>
        <v>0</v>
      </c>
      <c r="U94" s="21">
        <f>IFERROR(tblMaestroEquipos[[#This Row],[Costo Mantenciones CLP]]+tblMaestroEquipos[[#This Row],[Costo Compras PM CLP]],0)</f>
        <v>0</v>
      </c>
      <c r="V94" s="18" t="str">
        <f>IFERROR(_xlfn.XLOOKUP(tblMaestroEquipos[[#This Row],[Codigo]],tblEquipos[Codigo],tblEquipos[Estado Base]),"")</f>
        <v>Fuera de Servicio</v>
      </c>
      <c r="W94" s="18" t="str">
        <f t="shared" si="10"/>
        <v>FUERA DE SERVICIO</v>
      </c>
      <c r="X94" s="18" t="str">
        <f t="shared" si="11"/>
        <v/>
      </c>
      <c r="Y9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9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94" s="25" t="str">
        <f>IFERROR(IF(_xlfn.MAXIFS(tblBodega[Fecha],tblBodega[Codigo],tblMaestroEquipos[[#This Row],[Codigo]])=0,"",_xlfn.MAXIFS(tblBodega[Fecha],tblBodega[Codigo],tblMaestroEquipos[[#This Row],[Codigo]])),"")</f>
        <v/>
      </c>
      <c r="AB9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9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9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94" s="51" t="str">
        <f t="shared" si="9"/>
        <v>FUERA DE SERVICIO</v>
      </c>
      <c r="AF94" s="18" t="str">
        <f t="shared" si="12"/>
        <v>NO APLICA</v>
      </c>
      <c r="AG94" s="18" t="str">
        <f t="shared" si="13"/>
        <v>No programar compra</v>
      </c>
      <c r="AH94" s="27">
        <f t="shared" si="14"/>
        <v>0</v>
      </c>
      <c r="AI94" s="27" t="str">
        <f t="shared" si="15"/>
        <v/>
      </c>
      <c r="AJ94" s="24">
        <f t="shared" si="16"/>
        <v>99</v>
      </c>
    </row>
    <row r="95" spans="1:36">
      <c r="A95" s="18" t="s">
        <v>606</v>
      </c>
      <c r="B95" s="18" t="s">
        <v>502</v>
      </c>
      <c r="C95" s="18" t="s">
        <v>1074</v>
      </c>
      <c r="D95" s="18" t="s">
        <v>118</v>
      </c>
      <c r="E95" s="19" t="s">
        <v>607</v>
      </c>
      <c r="F95" s="18">
        <v>2018</v>
      </c>
      <c r="G95" s="18" t="str" cm="1">
        <f t="array" ref="G95">IFERROR(INDEX(Lecturas!$E$4:$E$3549,MATCH(1,(Lecturas!$B$4:$B$3549=$A95)*(Lecturas!$E$4:$E$3549&lt;&gt;"")*(Lecturas!$A$4:$A$3549=_xlfn.MAXIFS(Lecturas!$A$4:$A$3549,Lecturas!$B$4:$B$3549,$A95,Lecturas!$E$4:$E$3549,"&lt;&gt;")),0)),"")</f>
        <v/>
      </c>
      <c r="H95" s="18" t="s">
        <v>57</v>
      </c>
      <c r="I95" s="18" t="s">
        <v>462</v>
      </c>
      <c r="J95" s="18">
        <v>15000</v>
      </c>
      <c r="K95" s="18">
        <f>IFERROR(IF($I95="KM",ROUND((_xlfn.MAXIFS(tblLecturas[Kilometraje],tblLecturas[Codigo],$A95)-_xlfn.MINIFS(tblLecturas[Kilometraje],tblLecturas[Codigo],$A95))/(MAX(1,_xlfn.MAXIFS(tblLecturas[Fecha],tblLecturas[Codigo],$A95)-_xlfn.MINIFS(tblLecturas[Fecha],tblLecturas[Codigo],$A95))),1),ROUND((_xlfn.MAXIFS(tblLecturas[Horometro],tblLecturas[Codigo],$A95)-_xlfn.MINIFS(tblLecturas[Horometro],tblLecturas[Codigo],$A95))/(MAX(1,_xlfn.MAXIFS(tblLecturas[Fecha],tblLecturas[Codigo],$A95)-_xlfn.MINIFS(tblLecturas[Fecha],tblLecturas[Codigo],$A95))),1)),"")</f>
        <v>0</v>
      </c>
      <c r="L95" s="20">
        <f>IFERROR(_xlfn.MAXIFS(tblLecturas[Fecha],tblLecturas[Codigo],$A95),"")</f>
        <v>0</v>
      </c>
      <c r="M95" s="26">
        <f>IFERROR(_xlfn.MAXIFS(Lecturas!$C:$C,Lecturas!$B:$B,$A95,Lecturas!$C:$C,"&gt;0"),"")</f>
        <v>0</v>
      </c>
      <c r="N95" s="78">
        <f>IFERROR(_xlfn.MAXIFS(tblLecturas[Kilometraje],tblLecturas[Codigo],$A95,tblLecturas[Kilometraje],"&gt;0"),"")</f>
        <v>0</v>
      </c>
      <c r="O95" s="78" t="str" cm="1">
        <f t="array" ref="O95">IFERROR(IF($I95="KM",LOOKUP(2,1/(Lecturas!$B:$B=$A95)/(Lecturas!$D:$D&gt;0),Lecturas!$D:$D),LOOKUP(2,1/(Lecturas!$B:$B=$A95)/(Lecturas!$C:$C&gt;0),Lecturas!$C:$C)),"")</f>
        <v/>
      </c>
      <c r="P95" s="20">
        <f>IFERROR(_xlfn.MAXIFS(tblMantenciones[Fecha],tblMantenciones[Codigo],tblMaestroEquipos[[#This Row],[Codigo]],tblMantenciones[EsPM],"Sí"),"")</f>
        <v>0</v>
      </c>
      <c r="Q95" s="78" t="str">
        <f>IF(_xlfn.MAXIFS(Mantenciones!$D:$D,Mantenciones!$B:$B,A95)=0,"Sin datos de mantención registrado",_xlfn.MAXIFS(Mantenciones!$D:$D,Mantenciones!$B:$B,A95))</f>
        <v>Sin datos de mantención registrado</v>
      </c>
      <c r="R95" s="18" t="str">
        <f>IFERROR(IF(_xlfn.MAXIFS(Mantenciones!$D:$D,Mantenciones!$B:$B,$A95,Mantenciones!$E:$E,"Sí",Mantenciones!$D:$D,"&gt;0")=0,"Sin datos de mantención registrado",_xlfn.MAXIFS(Mantenciones!$D:$D,Mantenciones!$B:$B,$A95,Mantenciones!$E:$E,"Sí",Mantenciones!$D:$D,"&gt;0")),"Sin datos de mantención registrado")</f>
        <v>Sin datos de mantención registrado</v>
      </c>
      <c r="S95" s="21">
        <f>IFERROR(SUMIFS(tblMantenciones[Costo Mantencion CLP],tblMantenciones[Codigo],tblMaestroEquipos[[#This Row],[Codigo]]),0)</f>
        <v>0</v>
      </c>
      <c r="T95" s="21">
        <f>IFERROR(SUMIFS(tblComprasPM[Costo PM CLP],tblComprasPM[Codigo],tblMaestroEquipos[[#This Row],[Codigo]]),0)</f>
        <v>0</v>
      </c>
      <c r="U95" s="21">
        <f>IFERROR(tblMaestroEquipos[[#This Row],[Costo Mantenciones CLP]]+tblMaestroEquipos[[#This Row],[Costo Compras PM CLP]],0)</f>
        <v>0</v>
      </c>
      <c r="V95" s="18" t="str">
        <f>IFERROR(_xlfn.XLOOKUP(tblMaestroEquipos[[#This Row],[Codigo]],tblEquipos[Codigo],tblEquipos[Estado Base]),"")</f>
        <v>Fuera de Servicio</v>
      </c>
      <c r="W95" s="18" t="str">
        <f t="shared" si="10"/>
        <v>FUERA DE SERVICIO</v>
      </c>
      <c r="X95" s="18" t="str">
        <f t="shared" si="11"/>
        <v/>
      </c>
      <c r="Y9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9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95" s="25" t="str">
        <f>IFERROR(IF(_xlfn.MAXIFS(tblBodega[Fecha],tblBodega[Codigo],tblMaestroEquipos[[#This Row],[Codigo]])=0,"",_xlfn.MAXIFS(tblBodega[Fecha],tblBodega[Codigo],tblMaestroEquipos[[#This Row],[Codigo]])),"")</f>
        <v/>
      </c>
      <c r="AB9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9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9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95" s="51" t="str">
        <f t="shared" si="9"/>
        <v>FUERA DE SERVICIO</v>
      </c>
      <c r="AF95" s="18" t="str">
        <f t="shared" si="12"/>
        <v>NO APLICA</v>
      </c>
      <c r="AG95" s="18" t="str">
        <f t="shared" si="13"/>
        <v>No programar compra</v>
      </c>
      <c r="AH95" s="27">
        <f t="shared" si="14"/>
        <v>0</v>
      </c>
      <c r="AI95" s="27" t="str">
        <f t="shared" si="15"/>
        <v/>
      </c>
      <c r="AJ95" s="24">
        <f t="shared" si="16"/>
        <v>99</v>
      </c>
    </row>
    <row r="96" spans="1:36">
      <c r="A96" s="18" t="s">
        <v>640</v>
      </c>
      <c r="B96" s="18" t="s">
        <v>641</v>
      </c>
      <c r="C96" s="18" t="s">
        <v>1070</v>
      </c>
      <c r="D96" s="18" t="s">
        <v>642</v>
      </c>
      <c r="E96" s="19" t="s">
        <v>643</v>
      </c>
      <c r="F96" s="18">
        <v>1990</v>
      </c>
      <c r="G96" s="18" t="str" cm="1">
        <f t="array" ref="G96">IFERROR(INDEX(Lecturas!$E$4:$E$3549,MATCH(1,(Lecturas!$B$4:$B$3549=$A96)*(Lecturas!$E$4:$E$3549&lt;&gt;"")*(Lecturas!$A$4:$A$3549=_xlfn.MAXIFS(Lecturas!$A$4:$A$3549,Lecturas!$B$4:$B$3549,$A96,Lecturas!$E$4:$E$3549,"&lt;&gt;")),0)),"")</f>
        <v/>
      </c>
      <c r="H96" s="18" t="s">
        <v>151</v>
      </c>
      <c r="I96" s="18" t="s">
        <v>18</v>
      </c>
      <c r="J96" s="18">
        <v>250</v>
      </c>
      <c r="K96" s="18">
        <f>IFERROR(IF($I96="KM",ROUND((_xlfn.MAXIFS(tblLecturas[Kilometraje],tblLecturas[Codigo],$A96)-_xlfn.MINIFS(tblLecturas[Kilometraje],tblLecturas[Codigo],$A96))/(MAX(1,_xlfn.MAXIFS(tblLecturas[Fecha],tblLecturas[Codigo],$A96)-_xlfn.MINIFS(tblLecturas[Fecha],tblLecturas[Codigo],$A96))),1),ROUND((_xlfn.MAXIFS(tblLecturas[Horometro],tblLecturas[Codigo],$A96)-_xlfn.MINIFS(tblLecturas[Horometro],tblLecturas[Codigo],$A96))/(MAX(1,_xlfn.MAXIFS(tblLecturas[Fecha],tblLecturas[Codigo],$A96)-_xlfn.MINIFS(tblLecturas[Fecha],tblLecturas[Codigo],$A96))),1)),"")</f>
        <v>0</v>
      </c>
      <c r="L96" s="20">
        <f>IFERROR(_xlfn.MAXIFS(tblLecturas[Fecha],tblLecturas[Codigo],$A96),"")</f>
        <v>0</v>
      </c>
      <c r="M96" s="26">
        <f>IFERROR(_xlfn.MAXIFS(Lecturas!$C:$C,Lecturas!$B:$B,$A96,Lecturas!$C:$C,"&gt;0"),"")</f>
        <v>0</v>
      </c>
      <c r="N96" s="78">
        <f>IFERROR(_xlfn.MAXIFS(tblLecturas[Kilometraje],tblLecturas[Codigo],$A96,tblLecturas[Kilometraje],"&gt;0"),"")</f>
        <v>0</v>
      </c>
      <c r="O96" s="78" t="str" cm="1">
        <f t="array" ref="O96">IFERROR(IF($I96="KM",LOOKUP(2,1/(Lecturas!$B:$B=$A96)/(Lecturas!$D:$D&gt;0),Lecturas!$D:$D),LOOKUP(2,1/(Lecturas!$B:$B=$A96)/(Lecturas!$C:$C&gt;0),Lecturas!$C:$C)),"")</f>
        <v/>
      </c>
      <c r="P96" s="20">
        <f>IFERROR(_xlfn.MAXIFS(tblMantenciones[Fecha],tblMantenciones[Codigo],tblMaestroEquipos[[#This Row],[Codigo]],tblMantenciones[EsPM],"Sí"),"")</f>
        <v>0</v>
      </c>
      <c r="Q96" s="78" t="str">
        <f>IF(_xlfn.MAXIFS(Mantenciones!$D:$D,Mantenciones!$B:$B,A96)=0,"Sin datos de mantención registrado",_xlfn.MAXIFS(Mantenciones!$D:$D,Mantenciones!$B:$B,A96))</f>
        <v>Sin datos de mantención registrado</v>
      </c>
      <c r="R96" s="18" t="str">
        <f>IFERROR(IF(_xlfn.MAXIFS(Mantenciones!$D:$D,Mantenciones!$B:$B,$A96,Mantenciones!$E:$E,"Sí",Mantenciones!$D:$D,"&gt;0")=0,"Sin datos de mantención registrado",_xlfn.MAXIFS(Mantenciones!$D:$D,Mantenciones!$B:$B,$A96,Mantenciones!$E:$E,"Sí",Mantenciones!$D:$D,"&gt;0")),"Sin datos de mantención registrado")</f>
        <v>Sin datos de mantención registrado</v>
      </c>
      <c r="S96" s="21">
        <f>IFERROR(SUMIFS(tblMantenciones[Costo Mantencion CLP],tblMantenciones[Codigo],tblMaestroEquipos[[#This Row],[Codigo]]),0)</f>
        <v>0</v>
      </c>
      <c r="T96" s="21">
        <f>IFERROR(SUMIFS(tblComprasPM[Costo PM CLP],tblComprasPM[Codigo],tblMaestroEquipos[[#This Row],[Codigo]]),0)</f>
        <v>0</v>
      </c>
      <c r="U96" s="21">
        <f>IFERROR(tblMaestroEquipos[[#This Row],[Costo Mantenciones CLP]]+tblMaestroEquipos[[#This Row],[Costo Compras PM CLP]],0)</f>
        <v>0</v>
      </c>
      <c r="V96" s="18" t="str">
        <f>IFERROR(_xlfn.XLOOKUP(tblMaestroEquipos[[#This Row],[Codigo]],tblEquipos[Codigo],tblEquipos[Estado Base]),"")</f>
        <v>Operativo</v>
      </c>
      <c r="W96" s="18" t="str">
        <f t="shared" si="10"/>
        <v>AL DÍA</v>
      </c>
      <c r="X96" s="18" t="str">
        <f t="shared" si="11"/>
        <v/>
      </c>
      <c r="Y9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9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96" s="25" t="str">
        <f>IFERROR(IF(_xlfn.MAXIFS(tblBodega[Fecha],tblBodega[Codigo],tblMaestroEquipos[[#This Row],[Codigo]])=0,"",_xlfn.MAXIFS(tblBodega[Fecha],tblBodega[Codigo],tblMaestroEquipos[[#This Row],[Codigo]])),"")</f>
        <v/>
      </c>
      <c r="AB9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9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9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96" s="51" t="str">
        <f t="shared" si="9"/>
        <v>OPERATIVO</v>
      </c>
      <c r="AF96" s="18" t="str">
        <f t="shared" si="12"/>
        <v>BAJA</v>
      </c>
      <c r="AG96" s="18" t="str">
        <f t="shared" si="13"/>
        <v>Monitorear próximo vencimiento</v>
      </c>
      <c r="AH96">
        <f t="shared" si="14"/>
        <v>0</v>
      </c>
      <c r="AI96" t="str">
        <f t="shared" si="15"/>
        <v/>
      </c>
      <c r="AJ96" s="24">
        <f t="shared" si="16"/>
        <v>99</v>
      </c>
    </row>
    <row r="97" spans="1:36">
      <c r="A97" s="18" t="s">
        <v>644</v>
      </c>
      <c r="B97" s="18" t="s">
        <v>641</v>
      </c>
      <c r="C97" s="18" t="s">
        <v>1070</v>
      </c>
      <c r="D97" s="18" t="s">
        <v>645</v>
      </c>
      <c r="E97" s="19" t="s">
        <v>646</v>
      </c>
      <c r="F97" s="18">
        <v>2007</v>
      </c>
      <c r="G97" s="18" t="str" cm="1">
        <f t="array" ref="G97">IFERROR(INDEX(Lecturas!$E$4:$E$3549,MATCH(1,(Lecturas!$B$4:$B$3549=$A97)*(Lecturas!$E$4:$E$3549&lt;&gt;"")*(Lecturas!$A$4:$A$3549=_xlfn.MAXIFS(Lecturas!$A$4:$A$3549,Lecturas!$B$4:$B$3549,$A97,Lecturas!$E$4:$E$3549,"&lt;&gt;")),0)),"")</f>
        <v/>
      </c>
      <c r="H97" s="18" t="s">
        <v>151</v>
      </c>
      <c r="I97" s="18" t="s">
        <v>18</v>
      </c>
      <c r="J97" s="18">
        <v>250</v>
      </c>
      <c r="K97" s="18">
        <f>IFERROR(IF($I97="KM",ROUND((_xlfn.MAXIFS(tblLecturas[Kilometraje],tblLecturas[Codigo],$A97)-_xlfn.MINIFS(tblLecturas[Kilometraje],tblLecturas[Codigo],$A97))/(MAX(1,_xlfn.MAXIFS(tblLecturas[Fecha],tblLecturas[Codigo],$A97)-_xlfn.MINIFS(tblLecturas[Fecha],tblLecturas[Codigo],$A97))),1),ROUND((_xlfn.MAXIFS(tblLecturas[Horometro],tblLecturas[Codigo],$A97)-_xlfn.MINIFS(tblLecturas[Horometro],tblLecturas[Codigo],$A97))/(MAX(1,_xlfn.MAXIFS(tblLecturas[Fecha],tblLecturas[Codigo],$A97)-_xlfn.MINIFS(tblLecturas[Fecha],tblLecturas[Codigo],$A97))),1)),"")</f>
        <v>0</v>
      </c>
      <c r="L97" s="20">
        <f>IFERROR(_xlfn.MAXIFS(tblLecturas[Fecha],tblLecturas[Codigo],$A97),"")</f>
        <v>0</v>
      </c>
      <c r="M97" s="26">
        <f>IFERROR(_xlfn.MAXIFS(Lecturas!$C:$C,Lecturas!$B:$B,$A97,Lecturas!$C:$C,"&gt;0"),"")</f>
        <v>0</v>
      </c>
      <c r="N97" s="78">
        <f>IFERROR(_xlfn.MAXIFS(tblLecturas[Kilometraje],tblLecturas[Codigo],$A97,tblLecturas[Kilometraje],"&gt;0"),"")</f>
        <v>0</v>
      </c>
      <c r="O97" s="78" t="str" cm="1">
        <f t="array" ref="O97">IFERROR(IF($I97="KM",LOOKUP(2,1/(Lecturas!$B:$B=$A97)/(Lecturas!$D:$D&gt;0),Lecturas!$D:$D),LOOKUP(2,1/(Lecturas!$B:$B=$A97)/(Lecturas!$C:$C&gt;0),Lecturas!$C:$C)),"")</f>
        <v/>
      </c>
      <c r="P97" s="20">
        <f>IFERROR(_xlfn.MAXIFS(tblMantenciones[Fecha],tblMantenciones[Codigo],tblMaestroEquipos[[#This Row],[Codigo]],tblMantenciones[EsPM],"Sí"),"")</f>
        <v>0</v>
      </c>
      <c r="Q97" s="78" t="str">
        <f>IF(_xlfn.MAXIFS(Mantenciones!$D:$D,Mantenciones!$B:$B,A97)=0,"Sin datos de mantención registrado",_xlfn.MAXIFS(Mantenciones!$D:$D,Mantenciones!$B:$B,A97))</f>
        <v>Sin datos de mantención registrado</v>
      </c>
      <c r="R97" s="18" t="str">
        <f>IFERROR(IF(_xlfn.MAXIFS(Mantenciones!$D:$D,Mantenciones!$B:$B,$A97,Mantenciones!$E:$E,"Sí",Mantenciones!$D:$D,"&gt;0")=0,"Sin datos de mantención registrado",_xlfn.MAXIFS(Mantenciones!$D:$D,Mantenciones!$B:$B,$A97,Mantenciones!$E:$E,"Sí",Mantenciones!$D:$D,"&gt;0")),"Sin datos de mantención registrado")</f>
        <v>Sin datos de mantención registrado</v>
      </c>
      <c r="S97" s="21">
        <f>IFERROR(SUMIFS(tblMantenciones[Costo Mantencion CLP],tblMantenciones[Codigo],tblMaestroEquipos[[#This Row],[Codigo]]),0)</f>
        <v>0</v>
      </c>
      <c r="T97" s="21">
        <f>IFERROR(SUMIFS(tblComprasPM[Costo PM CLP],tblComprasPM[Codigo],tblMaestroEquipos[[#This Row],[Codigo]]),0)</f>
        <v>0</v>
      </c>
      <c r="U97" s="21">
        <f>IFERROR(tblMaestroEquipos[[#This Row],[Costo Mantenciones CLP]]+tblMaestroEquipos[[#This Row],[Costo Compras PM CLP]],0)</f>
        <v>0</v>
      </c>
      <c r="V97" s="18" t="str">
        <f>IFERROR(_xlfn.XLOOKUP(tblMaestroEquipos[[#This Row],[Codigo]],tblEquipos[Codigo],tblEquipos[Estado Base]),"")</f>
        <v>Operativo</v>
      </c>
      <c r="W97" s="18" t="str">
        <f t="shared" si="10"/>
        <v>AL DÍA</v>
      </c>
      <c r="X97" s="18" t="str">
        <f t="shared" si="11"/>
        <v/>
      </c>
      <c r="Y9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9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97" s="25" t="str">
        <f>IFERROR(IF(_xlfn.MAXIFS(tblBodega[Fecha],tblBodega[Codigo],tblMaestroEquipos[[#This Row],[Codigo]])=0,"",_xlfn.MAXIFS(tblBodega[Fecha],tblBodega[Codigo],tblMaestroEquipos[[#This Row],[Codigo]])),"")</f>
        <v/>
      </c>
      <c r="AB9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9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9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97" s="51" t="str">
        <f t="shared" si="9"/>
        <v>OPERATIVO</v>
      </c>
      <c r="AF97" s="18" t="str">
        <f t="shared" si="12"/>
        <v>BAJA</v>
      </c>
      <c r="AG97" s="18" t="str">
        <f t="shared" si="13"/>
        <v>Monitorear próximo vencimiento</v>
      </c>
      <c r="AH97">
        <f t="shared" si="14"/>
        <v>0</v>
      </c>
      <c r="AI97" t="str">
        <f t="shared" si="15"/>
        <v/>
      </c>
      <c r="AJ97" s="24">
        <f t="shared" si="16"/>
        <v>99</v>
      </c>
    </row>
    <row r="98" spans="1:36">
      <c r="A98" s="18" t="s">
        <v>647</v>
      </c>
      <c r="B98" s="18" t="s">
        <v>641</v>
      </c>
      <c r="C98" s="18" t="s">
        <v>1070</v>
      </c>
      <c r="D98" s="18" t="s">
        <v>648</v>
      </c>
      <c r="E98" s="19" t="s">
        <v>649</v>
      </c>
      <c r="F98" s="18">
        <v>2010</v>
      </c>
      <c r="G98" s="18" t="str" cm="1">
        <f t="array" ref="G98">IFERROR(INDEX(Lecturas!$E$4:$E$3549,MATCH(1,(Lecturas!$B$4:$B$3549=$A98)*(Lecturas!$E$4:$E$3549&lt;&gt;"")*(Lecturas!$A$4:$A$3549=_xlfn.MAXIFS(Lecturas!$A$4:$A$3549,Lecturas!$B$4:$B$3549,$A98,Lecturas!$E$4:$E$3549,"&lt;&gt;")),0)),"")</f>
        <v/>
      </c>
      <c r="H98" s="18" t="s">
        <v>151</v>
      </c>
      <c r="I98" s="18" t="s">
        <v>18</v>
      </c>
      <c r="J98" s="18">
        <v>250</v>
      </c>
      <c r="K98" s="18">
        <f>IFERROR(IF($I98="KM",ROUND((_xlfn.MAXIFS(tblLecturas[Kilometraje],tblLecturas[Codigo],$A98)-_xlfn.MINIFS(tblLecturas[Kilometraje],tblLecturas[Codigo],$A98))/(MAX(1,_xlfn.MAXIFS(tblLecturas[Fecha],tblLecturas[Codigo],$A98)-_xlfn.MINIFS(tblLecturas[Fecha],tblLecturas[Codigo],$A98))),1),ROUND((_xlfn.MAXIFS(tblLecturas[Horometro],tblLecturas[Codigo],$A98)-_xlfn.MINIFS(tblLecturas[Horometro],tblLecturas[Codigo],$A98))/(MAX(1,_xlfn.MAXIFS(tblLecturas[Fecha],tblLecturas[Codigo],$A98)-_xlfn.MINIFS(tblLecturas[Fecha],tblLecturas[Codigo],$A98))),1)),"")</f>
        <v>0</v>
      </c>
      <c r="L98" s="20">
        <f>IFERROR(_xlfn.MAXIFS(tblLecturas[Fecha],tblLecturas[Codigo],$A98),"")</f>
        <v>0</v>
      </c>
      <c r="M98" s="26">
        <f>IFERROR(_xlfn.MAXIFS(Lecturas!$C:$C,Lecturas!$B:$B,$A98,Lecturas!$C:$C,"&gt;0"),"")</f>
        <v>0</v>
      </c>
      <c r="N98" s="78">
        <f>IFERROR(_xlfn.MAXIFS(tblLecturas[Kilometraje],tblLecturas[Codigo],$A98,tblLecturas[Kilometraje],"&gt;0"),"")</f>
        <v>0</v>
      </c>
      <c r="O98" s="78" t="str" cm="1">
        <f t="array" ref="O98">IFERROR(IF($I98="KM",LOOKUP(2,1/(Lecturas!$B:$B=$A98)/(Lecturas!$D:$D&gt;0),Lecturas!$D:$D),LOOKUP(2,1/(Lecturas!$B:$B=$A98)/(Lecturas!$C:$C&gt;0),Lecturas!$C:$C)),"")</f>
        <v/>
      </c>
      <c r="P98" s="20">
        <f>IFERROR(_xlfn.MAXIFS(tblMantenciones[Fecha],tblMantenciones[Codigo],tblMaestroEquipos[[#This Row],[Codigo]],tblMantenciones[EsPM],"Sí"),"")</f>
        <v>0</v>
      </c>
      <c r="Q98" s="78" t="str">
        <f>IF(_xlfn.MAXIFS(Mantenciones!$D:$D,Mantenciones!$B:$B,A98)=0,"Sin datos de mantención registrado",_xlfn.MAXIFS(Mantenciones!$D:$D,Mantenciones!$B:$B,A98))</f>
        <v>Sin datos de mantención registrado</v>
      </c>
      <c r="R98" s="18" t="str">
        <f>IFERROR(IF(_xlfn.MAXIFS(Mantenciones!$D:$D,Mantenciones!$B:$B,$A98,Mantenciones!$E:$E,"Sí",Mantenciones!$D:$D,"&gt;0")=0,"Sin datos de mantención registrado",_xlfn.MAXIFS(Mantenciones!$D:$D,Mantenciones!$B:$B,$A98,Mantenciones!$E:$E,"Sí",Mantenciones!$D:$D,"&gt;0")),"Sin datos de mantención registrado")</f>
        <v>Sin datos de mantención registrado</v>
      </c>
      <c r="S98" s="21">
        <f>IFERROR(SUMIFS(tblMantenciones[Costo Mantencion CLP],tblMantenciones[Codigo],tblMaestroEquipos[[#This Row],[Codigo]]),0)</f>
        <v>0</v>
      </c>
      <c r="T98" s="21">
        <f>IFERROR(SUMIFS(tblComprasPM[Costo PM CLP],tblComprasPM[Codigo],tblMaestroEquipos[[#This Row],[Codigo]]),0)</f>
        <v>0</v>
      </c>
      <c r="U98" s="21">
        <f>IFERROR(tblMaestroEquipos[[#This Row],[Costo Mantenciones CLP]]+tblMaestroEquipos[[#This Row],[Costo Compras PM CLP]],0)</f>
        <v>0</v>
      </c>
      <c r="V98" s="18" t="str">
        <f>IFERROR(_xlfn.XLOOKUP(tblMaestroEquipos[[#This Row],[Codigo]],tblEquipos[Codigo],tblEquipos[Estado Base]),"")</f>
        <v>Operativo</v>
      </c>
      <c r="W98" s="18" t="str">
        <f t="shared" si="10"/>
        <v>AL DÍA</v>
      </c>
      <c r="X98" s="18" t="str">
        <f t="shared" si="11"/>
        <v/>
      </c>
      <c r="Y9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98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98" s="25" t="str">
        <f>IFERROR(IF(_xlfn.MAXIFS(tblBodega[Fecha],tblBodega[Codigo],tblMaestroEquipos[[#This Row],[Codigo]])=0,"",_xlfn.MAXIFS(tblBodega[Fecha],tblBodega[Codigo],tblMaestroEquipos[[#This Row],[Codigo]])),"")</f>
        <v/>
      </c>
      <c r="AB98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9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9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98" s="51" t="str">
        <f t="shared" si="9"/>
        <v>OPERATIVO</v>
      </c>
      <c r="AF98" s="18" t="str">
        <f t="shared" si="12"/>
        <v>BAJA</v>
      </c>
      <c r="AG98" s="18" t="str">
        <f t="shared" si="13"/>
        <v>Monitorear próximo vencimiento</v>
      </c>
      <c r="AH98">
        <f t="shared" si="14"/>
        <v>0</v>
      </c>
      <c r="AI98" t="str">
        <f t="shared" si="15"/>
        <v/>
      </c>
      <c r="AJ98" s="24">
        <f t="shared" si="16"/>
        <v>99</v>
      </c>
    </row>
    <row r="99" spans="1:36">
      <c r="A99" s="18" t="s">
        <v>650</v>
      </c>
      <c r="B99" s="18" t="s">
        <v>641</v>
      </c>
      <c r="C99" s="18" t="s">
        <v>1070</v>
      </c>
      <c r="D99" s="18" t="s">
        <v>651</v>
      </c>
      <c r="E99" s="19" t="s">
        <v>652</v>
      </c>
      <c r="F99" s="18">
        <v>2010</v>
      </c>
      <c r="G99" s="18" t="str" cm="1">
        <f t="array" ref="G99">IFERROR(INDEX(Lecturas!$E$4:$E$3549,MATCH(1,(Lecturas!$B$4:$B$3549=$A99)*(Lecturas!$E$4:$E$3549&lt;&gt;"")*(Lecturas!$A$4:$A$3549=_xlfn.MAXIFS(Lecturas!$A$4:$A$3549,Lecturas!$B$4:$B$3549,$A99,Lecturas!$E$4:$E$3549,"&lt;&gt;")),0)),"")</f>
        <v/>
      </c>
      <c r="H99" s="18" t="s">
        <v>151</v>
      </c>
      <c r="I99" s="18" t="s">
        <v>18</v>
      </c>
      <c r="J99" s="18">
        <v>250</v>
      </c>
      <c r="K99" s="18">
        <f>IFERROR(IF($I99="KM",ROUND((_xlfn.MAXIFS(tblLecturas[Kilometraje],tblLecturas[Codigo],$A99)-_xlfn.MINIFS(tblLecturas[Kilometraje],tblLecturas[Codigo],$A99))/(MAX(1,_xlfn.MAXIFS(tblLecturas[Fecha],tblLecturas[Codigo],$A99)-_xlfn.MINIFS(tblLecturas[Fecha],tblLecturas[Codigo],$A99))),1),ROUND((_xlfn.MAXIFS(tblLecturas[Horometro],tblLecturas[Codigo],$A99)-_xlfn.MINIFS(tblLecturas[Horometro],tblLecturas[Codigo],$A99))/(MAX(1,_xlfn.MAXIFS(tblLecturas[Fecha],tblLecturas[Codigo],$A99)-_xlfn.MINIFS(tblLecturas[Fecha],tblLecturas[Codigo],$A99))),1)),"")</f>
        <v>0</v>
      </c>
      <c r="L99" s="20">
        <f>IFERROR(_xlfn.MAXIFS(tblLecturas[Fecha],tblLecturas[Codigo],$A99),"")</f>
        <v>0</v>
      </c>
      <c r="M99" s="26">
        <f>IFERROR(_xlfn.MAXIFS(Lecturas!$C:$C,Lecturas!$B:$B,$A99,Lecturas!$C:$C,"&gt;0"),"")</f>
        <v>0</v>
      </c>
      <c r="N99" s="78">
        <f>IFERROR(_xlfn.MAXIFS(tblLecturas[Kilometraje],tblLecturas[Codigo],$A99,tblLecturas[Kilometraje],"&gt;0"),"")</f>
        <v>0</v>
      </c>
      <c r="O99" s="78" t="str" cm="1">
        <f t="array" ref="O99">IFERROR(IF($I99="KM",LOOKUP(2,1/(Lecturas!$B:$B=$A99)/(Lecturas!$D:$D&gt;0),Lecturas!$D:$D),LOOKUP(2,1/(Lecturas!$B:$B=$A99)/(Lecturas!$C:$C&gt;0),Lecturas!$C:$C)),"")</f>
        <v/>
      </c>
      <c r="P99" s="20">
        <f>IFERROR(_xlfn.MAXIFS(tblMantenciones[Fecha],tblMantenciones[Codigo],tblMaestroEquipos[[#This Row],[Codigo]],tblMantenciones[EsPM],"Sí"),"")</f>
        <v>0</v>
      </c>
      <c r="Q99" s="78" t="str">
        <f>IF(_xlfn.MAXIFS(Mantenciones!$D:$D,Mantenciones!$B:$B,A99)=0,"Sin datos de mantención registrado",_xlfn.MAXIFS(Mantenciones!$D:$D,Mantenciones!$B:$B,A99))</f>
        <v>Sin datos de mantención registrado</v>
      </c>
      <c r="R99" s="18" t="str">
        <f>IFERROR(IF(_xlfn.MAXIFS(Mantenciones!$D:$D,Mantenciones!$B:$B,$A99,Mantenciones!$E:$E,"Sí",Mantenciones!$D:$D,"&gt;0")=0,"Sin datos de mantención registrado",_xlfn.MAXIFS(Mantenciones!$D:$D,Mantenciones!$B:$B,$A99,Mantenciones!$E:$E,"Sí",Mantenciones!$D:$D,"&gt;0")),"Sin datos de mantención registrado")</f>
        <v>Sin datos de mantención registrado</v>
      </c>
      <c r="S99" s="21">
        <f>IFERROR(SUMIFS(tblMantenciones[Costo Mantencion CLP],tblMantenciones[Codigo],tblMaestroEquipos[[#This Row],[Codigo]]),0)</f>
        <v>0</v>
      </c>
      <c r="T99" s="21">
        <f>IFERROR(SUMIFS(tblComprasPM[Costo PM CLP],tblComprasPM[Codigo],tblMaestroEquipos[[#This Row],[Codigo]]),0)</f>
        <v>0</v>
      </c>
      <c r="U99" s="21">
        <f>IFERROR(tblMaestroEquipos[[#This Row],[Costo Mantenciones CLP]]+tblMaestroEquipos[[#This Row],[Costo Compras PM CLP]],0)</f>
        <v>0</v>
      </c>
      <c r="V99" s="18" t="str">
        <f>IFERROR(_xlfn.XLOOKUP(tblMaestroEquipos[[#This Row],[Codigo]],tblEquipos[Codigo],tblEquipos[Estado Base]),"")</f>
        <v>Operativo</v>
      </c>
      <c r="W99" s="18" t="str">
        <f t="shared" si="10"/>
        <v>AL DÍA</v>
      </c>
      <c r="X99" s="18" t="str">
        <f t="shared" si="11"/>
        <v/>
      </c>
      <c r="Y9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9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99" s="25" t="str">
        <f>IFERROR(IF(_xlfn.MAXIFS(tblBodega[Fecha],tblBodega[Codigo],tblMaestroEquipos[[#This Row],[Codigo]])=0,"",_xlfn.MAXIFS(tblBodega[Fecha],tblBodega[Codigo],tblMaestroEquipos[[#This Row],[Codigo]])),"")</f>
        <v/>
      </c>
      <c r="AB9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9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9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99" s="51" t="str">
        <f t="shared" si="9"/>
        <v>OPERATIVO</v>
      </c>
      <c r="AF99" s="18" t="str">
        <f t="shared" si="12"/>
        <v>BAJA</v>
      </c>
      <c r="AG99" s="18" t="str">
        <f t="shared" si="13"/>
        <v>Monitorear próximo vencimiento</v>
      </c>
      <c r="AH99">
        <f t="shared" si="14"/>
        <v>0</v>
      </c>
      <c r="AI99" t="str">
        <f t="shared" si="15"/>
        <v/>
      </c>
      <c r="AJ99" s="24">
        <f t="shared" si="16"/>
        <v>99</v>
      </c>
    </row>
    <row r="100" spans="1:36">
      <c r="A100" s="18" t="s">
        <v>653</v>
      </c>
      <c r="B100" s="18" t="s">
        <v>459</v>
      </c>
      <c r="C100" s="18" t="s">
        <v>1074</v>
      </c>
      <c r="D100" s="18" t="s">
        <v>99</v>
      </c>
      <c r="E100" s="19" t="s">
        <v>654</v>
      </c>
      <c r="F100" s="18">
        <v>2022</v>
      </c>
      <c r="G100" s="18" t="str" cm="1">
        <f t="array" ref="G100">IFERROR(INDEX(Lecturas!$E$4:$E$3549,MATCH(1,(Lecturas!$B$4:$B$3549=$A100)*(Lecturas!$E$4:$E$3549&lt;&gt;"")*(Lecturas!$A$4:$A$3549=_xlfn.MAXIFS(Lecturas!$A$4:$A$3549,Lecturas!$B$4:$B$3549,$A100,Lecturas!$E$4:$E$3549,"&lt;&gt;")),0)),"")</f>
        <v/>
      </c>
      <c r="H100" s="18"/>
      <c r="I100" s="18" t="s">
        <v>462</v>
      </c>
      <c r="J100" s="18">
        <v>15000</v>
      </c>
      <c r="K100" s="18">
        <f>IFERROR(IF($I100="KM",ROUND((_xlfn.MAXIFS(tblLecturas[Kilometraje],tblLecturas[Codigo],$A100)-_xlfn.MINIFS(tblLecturas[Kilometraje],tblLecturas[Codigo],$A100))/(MAX(1,_xlfn.MAXIFS(tblLecturas[Fecha],tblLecturas[Codigo],$A100)-_xlfn.MINIFS(tblLecturas[Fecha],tblLecturas[Codigo],$A100))),1),ROUND((_xlfn.MAXIFS(tblLecturas[Horometro],tblLecturas[Codigo],$A100)-_xlfn.MINIFS(tblLecturas[Horometro],tblLecturas[Codigo],$A100))/(MAX(1,_xlfn.MAXIFS(tblLecturas[Fecha],tblLecturas[Codigo],$A100)-_xlfn.MINIFS(tblLecturas[Fecha],tblLecturas[Codigo],$A100))),1)),"")</f>
        <v>0</v>
      </c>
      <c r="L100" s="20">
        <f>IFERROR(_xlfn.MAXIFS(tblLecturas[Fecha],tblLecturas[Codigo],$A100),"")</f>
        <v>0</v>
      </c>
      <c r="M100" s="26">
        <f>IFERROR(_xlfn.MAXIFS(Lecturas!$C:$C,Lecturas!$B:$B,$A100,Lecturas!$C:$C,"&gt;0"),"")</f>
        <v>0</v>
      </c>
      <c r="N100" s="78">
        <f>IFERROR(_xlfn.MAXIFS(tblLecturas[Kilometraje],tblLecturas[Codigo],$A100,tblLecturas[Kilometraje],"&gt;0"),"")</f>
        <v>0</v>
      </c>
      <c r="O100" s="78" t="str" cm="1">
        <f t="array" ref="O100">IFERROR(IF($I100="KM",LOOKUP(2,1/(Lecturas!$B:$B=$A100)/(Lecturas!$D:$D&gt;0),Lecturas!$D:$D),LOOKUP(2,1/(Lecturas!$B:$B=$A100)/(Lecturas!$C:$C&gt;0),Lecturas!$C:$C)),"")</f>
        <v/>
      </c>
      <c r="P100" s="20">
        <f>IFERROR(_xlfn.MAXIFS(tblMantenciones[Fecha],tblMantenciones[Codigo],tblMaestroEquipos[[#This Row],[Codigo]],tblMantenciones[EsPM],"Sí"),"")</f>
        <v>0</v>
      </c>
      <c r="Q100" s="78" t="str">
        <f>IF(_xlfn.MAXIFS(Mantenciones!$D:$D,Mantenciones!$B:$B,A100)=0,"Sin datos de mantención registrado",_xlfn.MAXIFS(Mantenciones!$D:$D,Mantenciones!$B:$B,A100))</f>
        <v>Sin datos de mantención registrado</v>
      </c>
      <c r="R100" s="18" t="str">
        <f>IFERROR(IF(_xlfn.MAXIFS(Mantenciones!$D:$D,Mantenciones!$B:$B,$A100,Mantenciones!$E:$E,"Sí",Mantenciones!$D:$D,"&gt;0")=0,"Sin datos de mantención registrado",_xlfn.MAXIFS(Mantenciones!$D:$D,Mantenciones!$B:$B,$A100,Mantenciones!$E:$E,"Sí",Mantenciones!$D:$D,"&gt;0")),"Sin datos de mantención registrado")</f>
        <v>Sin datos de mantención registrado</v>
      </c>
      <c r="S100" s="21">
        <f>IFERROR(SUMIFS(tblMantenciones[Costo Mantencion CLP],tblMantenciones[Codigo],tblMaestroEquipos[[#This Row],[Codigo]]),0)</f>
        <v>0</v>
      </c>
      <c r="T100" s="21">
        <f>IFERROR(SUMIFS(tblComprasPM[Costo PM CLP],tblComprasPM[Codigo],tblMaestroEquipos[[#This Row],[Codigo]]),0)</f>
        <v>0</v>
      </c>
      <c r="U100" s="21">
        <f>IFERROR(tblMaestroEquipos[[#This Row],[Costo Mantenciones CLP]]+tblMaestroEquipos[[#This Row],[Costo Compras PM CLP]],0)</f>
        <v>0</v>
      </c>
      <c r="V100" s="18" t="str">
        <f>IFERROR(_xlfn.XLOOKUP(tblMaestroEquipos[[#This Row],[Codigo]],tblEquipos[Codigo],tblEquipos[Estado Base]),"")</f>
        <v>Operativo</v>
      </c>
      <c r="W100" s="18" t="str">
        <f t="shared" si="10"/>
        <v>AL DÍA</v>
      </c>
      <c r="X100" s="18" t="str">
        <f t="shared" si="11"/>
        <v/>
      </c>
      <c r="Y10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0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00" s="25" t="str">
        <f>IFERROR(IF(_xlfn.MAXIFS(tblBodega[Fecha],tblBodega[Codigo],tblMaestroEquipos[[#This Row],[Codigo]])=0,"",_xlfn.MAXIFS(tblBodega[Fecha],tblBodega[Codigo],tblMaestroEquipos[[#This Row],[Codigo]])),"")</f>
        <v/>
      </c>
      <c r="AB10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0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0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00" s="51" t="str">
        <f t="shared" si="9"/>
        <v>OPERATIVO</v>
      </c>
      <c r="AF100" s="18" t="str">
        <f t="shared" si="12"/>
        <v>BAJA</v>
      </c>
      <c r="AG100" s="18" t="str">
        <f t="shared" si="13"/>
        <v>Monitorear próximo vencimiento</v>
      </c>
      <c r="AH100">
        <f t="shared" si="14"/>
        <v>0</v>
      </c>
      <c r="AI100" t="str">
        <f t="shared" si="15"/>
        <v/>
      </c>
      <c r="AJ100" s="24">
        <f t="shared" si="16"/>
        <v>99</v>
      </c>
    </row>
    <row r="101" spans="1:36">
      <c r="A101" s="18" t="s">
        <v>408</v>
      </c>
      <c r="B101" s="18" t="s">
        <v>340</v>
      </c>
      <c r="C101" s="18" t="s">
        <v>1070</v>
      </c>
      <c r="D101" s="18" t="s">
        <v>375</v>
      </c>
      <c r="E101" s="19" t="s">
        <v>397</v>
      </c>
      <c r="F101" s="18">
        <v>2019</v>
      </c>
      <c r="G101" s="18" t="str" cm="1">
        <f t="array" ref="G101">IFERROR(INDEX(Lecturas!$E$4:$E$3549,MATCH(1,(Lecturas!$B$4:$B$3549=$A101)*(Lecturas!$E$4:$E$3549&lt;&gt;"")*(Lecturas!$A$4:$A$3549=_xlfn.MAXIFS(Lecturas!$A$4:$A$3549,Lecturas!$B$4:$B$3549,$A101,Lecturas!$E$4:$E$3549,"&lt;&gt;")),0)),"")</f>
        <v/>
      </c>
      <c r="H101" s="18" t="s">
        <v>409</v>
      </c>
      <c r="I101" s="18" t="s">
        <v>18</v>
      </c>
      <c r="J101" s="18">
        <v>250</v>
      </c>
      <c r="K101" s="18">
        <f>IFERROR(IF($I101="KM",ROUND((_xlfn.MAXIFS(tblLecturas[Kilometraje],tblLecturas[Codigo],$A101)-_xlfn.MINIFS(tblLecturas[Kilometraje],tblLecturas[Codigo],$A101))/(MAX(1,_xlfn.MAXIFS(tblLecturas[Fecha],tblLecturas[Codigo],$A101)-_xlfn.MINIFS(tblLecturas[Fecha],tblLecturas[Codigo],$A101))),1),ROUND((_xlfn.MAXIFS(tblLecturas[Horometro],tblLecturas[Codigo],$A101)-_xlfn.MINIFS(tblLecturas[Horometro],tblLecturas[Codigo],$A101))/(MAX(1,_xlfn.MAXIFS(tblLecturas[Fecha],tblLecturas[Codigo],$A101)-_xlfn.MINIFS(tblLecturas[Fecha],tblLecturas[Codigo],$A101))),1)),"")</f>
        <v>2.5</v>
      </c>
      <c r="L101" s="20">
        <f>IFERROR(_xlfn.MAXIFS(tblLecturas[Fecha],tblLecturas[Codigo],$A101),"")</f>
        <v>46107</v>
      </c>
      <c r="M101" s="26">
        <f>IFERROR(_xlfn.MAXIFS(Lecturas!$C:$C,Lecturas!$B:$B,$A101,Lecturas!$C:$C,"&gt;0"),"")</f>
        <v>4470</v>
      </c>
      <c r="N101" s="78">
        <f>IFERROR(_xlfn.MAXIFS(tblLecturas[Kilometraje],tblLecturas[Codigo],$A101,tblLecturas[Kilometraje],"&gt;0"),"")</f>
        <v>0</v>
      </c>
      <c r="O101" s="78" cm="1">
        <f t="array" ref="O101">IFERROR(IF($I101="KM",LOOKUP(2,1/(Lecturas!$B:$B=$A101)/(Lecturas!$D:$D&gt;0),Lecturas!$D:$D),LOOKUP(2,1/(Lecturas!$B:$B=$A101)/(Lecturas!$C:$C&gt;0),Lecturas!$C:$C)),"")</f>
        <v>4470</v>
      </c>
      <c r="P101" s="20">
        <f>IFERROR(_xlfn.MAXIFS(tblMantenciones[Fecha],tblMantenciones[Codigo],tblMaestroEquipos[[#This Row],[Codigo]],tblMantenciones[EsPM],"Sí"),"")</f>
        <v>46106</v>
      </c>
      <c r="Q101" s="78">
        <f>IF(_xlfn.MAXIFS(Mantenciones!$D:$D,Mantenciones!$B:$B,A101)=0,"Sin datos de mantención registrado",_xlfn.MAXIFS(Mantenciones!$D:$D,Mantenciones!$B:$B,A101))</f>
        <v>4116</v>
      </c>
      <c r="R101" s="18">
        <f>IFERROR(IF(_xlfn.MAXIFS(Mantenciones!$D:$D,Mantenciones!$B:$B,$A101,Mantenciones!$E:$E,"Sí",Mantenciones!$D:$D,"&gt;0")=0,"Sin datos de mantención registrado",_xlfn.MAXIFS(Mantenciones!$D:$D,Mantenciones!$B:$B,$A101,Mantenciones!$E:$E,"Sí",Mantenciones!$D:$D,"&gt;0")),"Sin datos de mantención registrado")</f>
        <v>4116</v>
      </c>
      <c r="S101" s="21">
        <f>IFERROR(SUMIFS(tblMantenciones[Costo Mantencion CLP],tblMantenciones[Codigo],A101),0)</f>
        <v>0</v>
      </c>
      <c r="T101" s="21">
        <f>IFERROR(SUMIFS(tblComprasPM[Costo PM CLP],tblComprasPM[Codigo],tblMaestroEquipos[[#This Row],[Codigo]]),0)</f>
        <v>0</v>
      </c>
      <c r="U101" s="21">
        <f>IFERROR(tblMaestroEquipos[[#This Row],[Costo Mantenciones CLP]]+tblMaestroEquipos[[#This Row],[Costo Compras PM CLP]],0)</f>
        <v>0</v>
      </c>
      <c r="V101" s="18" t="str">
        <f>IFERROR(_xlfn.XLOOKUP(tblMaestroEquipos[[#This Row],[Codigo]],tblEquipos[Codigo],tblEquipos[Estado Base]),"")</f>
        <v>Operativo</v>
      </c>
      <c r="W101" s="18" t="str">
        <f t="shared" si="10"/>
        <v>ATRASADA</v>
      </c>
      <c r="X101" s="18">
        <f t="shared" si="11"/>
        <v>-104</v>
      </c>
      <c r="Y101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46003</v>
      </c>
      <c r="Z101" s="25">
        <f>IFERROR(IF(_xlfn.MINIFS(tblComprasPM[Fecha],tblComprasPM[Codigo],tblMaestroEquipos[[#This Row],[Codigo]])=0,"",_xlfn.MINIFS(tblComprasPM[Fecha],tblComprasPM[Codigo],tblMaestroEquipos[[#This Row],[Codigo]])),"")</f>
        <v>46113</v>
      </c>
      <c r="AA101" s="25">
        <f>IFERROR(IF(_xlfn.MAXIFS(tblBodega[Fecha],tblBodega[Codigo],tblMaestroEquipos[[#This Row],[Codigo]])=0,"",_xlfn.MAXIFS(tblBodega[Fecha],tblBodega[Codigo],tblMaestroEquipos[[#This Row],[Codigo]])),"")</f>
        <v>46101</v>
      </c>
      <c r="AB10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01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5</v>
      </c>
      <c r="AD10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01" s="51" t="str">
        <f t="shared" si="9"/>
        <v>OPERATIVO</v>
      </c>
      <c r="AF101" s="18" t="str">
        <f t="shared" si="12"/>
        <v>BAJA</v>
      </c>
      <c r="AG101" s="18" t="str">
        <f t="shared" si="13"/>
        <v>Monitorear próximo vencimiento</v>
      </c>
      <c r="AH101">
        <f t="shared" si="14"/>
        <v>0</v>
      </c>
      <c r="AI101" t="str">
        <f t="shared" si="15"/>
        <v/>
      </c>
      <c r="AJ101" s="24">
        <f t="shared" si="16"/>
        <v>1</v>
      </c>
    </row>
    <row r="102" spans="1:36">
      <c r="A102" s="18" t="s">
        <v>121</v>
      </c>
      <c r="B102" s="18" t="s">
        <v>20</v>
      </c>
      <c r="C102" s="18" t="s">
        <v>1069</v>
      </c>
      <c r="D102" s="18" t="s">
        <v>118</v>
      </c>
      <c r="E102" s="19" t="s">
        <v>119</v>
      </c>
      <c r="F102" s="18">
        <v>2021</v>
      </c>
      <c r="G102" s="18" t="str" cm="1">
        <f t="array" ref="G102">IFERROR(INDEX(Lecturas!$E$4:$E$3549,MATCH(1,(Lecturas!$B$4:$B$3549=$A102)*(Lecturas!$E$4:$E$3549&lt;&gt;"")*(Lecturas!$A$4:$A$3549=_xlfn.MAXIFS(Lecturas!$A$4:$A$3549,Lecturas!$B$4:$B$3549,$A102,Lecturas!$E$4:$E$3549,"&lt;&gt;")),0)),"")</f>
        <v>Quirihue</v>
      </c>
      <c r="H102" s="18" t="s">
        <v>1096</v>
      </c>
      <c r="I102" s="18" t="s">
        <v>18</v>
      </c>
      <c r="J102" s="18">
        <v>250</v>
      </c>
      <c r="K102" s="18">
        <f>IFERROR(IF($I102="KM",ROUND((_xlfn.MAXIFS(tblLecturas[Kilometraje],tblLecturas[Codigo],$A102)-_xlfn.MINIFS(tblLecturas[Kilometraje],tblLecturas[Codigo],$A102))/(MAX(1,_xlfn.MAXIFS(tblLecturas[Fecha],tblLecturas[Codigo],$A102)-_xlfn.MINIFS(tblLecturas[Fecha],tblLecturas[Codigo],$A102))),1),ROUND((_xlfn.MAXIFS(tblLecturas[Horometro],tblLecturas[Codigo],$A102)-_xlfn.MINIFS(tblLecturas[Horometro],tblLecturas[Codigo],$A102))/(MAX(1,_xlfn.MAXIFS(tblLecturas[Fecha],tblLecturas[Codigo],$A102)-_xlfn.MINIFS(tblLecturas[Fecha],tblLecturas[Codigo],$A102))),1)),"")</f>
        <v>66.8</v>
      </c>
      <c r="L102" s="20">
        <f>IFERROR(_xlfn.MAXIFS(tblLecturas[Fecha],tblLecturas[Codigo],$A102),"")</f>
        <v>46115</v>
      </c>
      <c r="M102" s="26">
        <f>IFERROR(_xlfn.MAXIFS(Lecturas!$C:$C,Lecturas!$B:$B,$A102,Lecturas!$C:$C,"&gt;0"),"")</f>
        <v>9497</v>
      </c>
      <c r="N102" s="78">
        <f>IFERROR(_xlfn.MAXIFS(tblLecturas[Kilometraje],tblLecturas[Codigo],$A102,tblLecturas[Kilometraje],"&gt;0"),"")</f>
        <v>195464</v>
      </c>
      <c r="O102" s="78" cm="1">
        <f t="array" ref="O102">IFERROR(IF($I102="KM",LOOKUP(2,1/(Lecturas!$B:$B=$A102)/(Lecturas!$D:$D&gt;0),Lecturas!$D:$D),LOOKUP(2,1/(Lecturas!$B:$B=$A102)/(Lecturas!$C:$C&gt;0),Lecturas!$C:$C)),"")</f>
        <v>7602</v>
      </c>
      <c r="P102" s="20">
        <f>IFERROR(_xlfn.MAXIFS(tblMantenciones[Fecha],tblMantenciones[Codigo],tblMaestroEquipos[[#This Row],[Codigo]],tblMantenciones[EsPM],"Sí"),"")</f>
        <v>46105</v>
      </c>
      <c r="Q102" s="78">
        <f>IF(_xlfn.MAXIFS(Mantenciones!$D:$D,Mantenciones!$B:$B,A102)=0,"Sin datos de mantención registrado",_xlfn.MAXIFS(Mantenciones!$D:$D,Mantenciones!$B:$B,A102))</f>
        <v>189042</v>
      </c>
      <c r="R102" s="18">
        <f>IFERROR(IF(_xlfn.MAXIFS(Mantenciones!$D:$D,Mantenciones!$B:$B,$A102,Mantenciones!$E:$E,"Sí",Mantenciones!$D:$D,"&gt;0")=0,"Sin datos de mantención registrado",_xlfn.MAXIFS(Mantenciones!$D:$D,Mantenciones!$B:$B,$A102,Mantenciones!$E:$E,"Sí",Mantenciones!$D:$D,"&gt;0")),"Sin datos de mantención registrado")</f>
        <v>189042</v>
      </c>
      <c r="S102" s="21">
        <f>IFERROR(SUMIFS(tblMantenciones[Costo Mantencion CLP],tblMantenciones[Codigo],A102),0)</f>
        <v>0</v>
      </c>
      <c r="T102" s="21">
        <f>IFERROR(SUMIFS(tblComprasPM[Costo PM CLP],tblComprasPM[Codigo],tblMaestroEquipos[[#This Row],[Codigo]]),0)</f>
        <v>0</v>
      </c>
      <c r="U102" s="21">
        <f>IFERROR(tblMaestroEquipos[[#This Row],[Costo Mantenciones CLP]]+tblMaestroEquipos[[#This Row],[Costo Compras PM CLP]],0)</f>
        <v>0</v>
      </c>
      <c r="V102" s="18" t="str">
        <f>IFERROR(_xlfn.XLOOKUP(tblMaestroEquipos[[#This Row],[Codigo]],tblEquipos[Codigo],tblEquipos[Estado Base]),"")</f>
        <v>Operativo</v>
      </c>
      <c r="W102" s="18" t="str">
        <f t="shared" si="10"/>
        <v>AL DÍA</v>
      </c>
      <c r="X102" s="18">
        <f t="shared" si="11"/>
        <v>181690</v>
      </c>
      <c r="Y102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227805</v>
      </c>
      <c r="Z10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02" s="25">
        <f>IFERROR(IF(_xlfn.MAXIFS(tblBodega[Fecha],tblBodega[Codigo],tblMaestroEquipos[[#This Row],[Codigo]])=0,"",_xlfn.MAXIFS(tblBodega[Fecha],tblBodega[Codigo],tblMaestroEquipos[[#This Row],[Codigo]])),"")</f>
        <v>46087</v>
      </c>
      <c r="AB10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02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18</v>
      </c>
      <c r="AD10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02" s="51" t="str">
        <f t="shared" si="9"/>
        <v>OPERATIVO</v>
      </c>
      <c r="AF102" s="18" t="str">
        <f t="shared" si="12"/>
        <v>BAJA</v>
      </c>
      <c r="AG102" s="18" t="str">
        <f t="shared" si="13"/>
        <v>Monitorear próximo vencimiento</v>
      </c>
      <c r="AH102">
        <f t="shared" si="14"/>
        <v>0</v>
      </c>
      <c r="AI102" t="str">
        <f t="shared" si="15"/>
        <v/>
      </c>
      <c r="AJ102" s="24">
        <f t="shared" si="16"/>
        <v>99</v>
      </c>
    </row>
    <row r="103" spans="1:36">
      <c r="A103" s="18" t="s">
        <v>548</v>
      </c>
      <c r="B103" s="18" t="s">
        <v>459</v>
      </c>
      <c r="C103" s="18" t="s">
        <v>1074</v>
      </c>
      <c r="D103" s="18" t="s">
        <v>99</v>
      </c>
      <c r="E103" s="19" t="s">
        <v>460</v>
      </c>
      <c r="F103" s="18">
        <v>2026</v>
      </c>
      <c r="G103" s="18" t="str" cm="1">
        <f t="array" ref="G103">IFERROR(INDEX(Lecturas!$E$4:$E$3549,MATCH(1,(Lecturas!$B$4:$B$3549=$A103)*(Lecturas!$E$4:$E$3549&lt;&gt;"")*(Lecturas!$A$4:$A$3549=_xlfn.MAXIFS(Lecturas!$A$4:$A$3549,Lecturas!$B$4:$B$3549,$A103,Lecturas!$E$4:$E$3549,"&lt;&gt;")),0)),"")</f>
        <v/>
      </c>
      <c r="H103" s="18"/>
      <c r="I103" s="18" t="s">
        <v>462</v>
      </c>
      <c r="J103" s="18">
        <v>15000</v>
      </c>
      <c r="K103" s="18">
        <f>IFERROR(IF($I103="KM",ROUND((_xlfn.MAXIFS(tblLecturas[Kilometraje],tblLecturas[Codigo],$A103)-_xlfn.MINIFS(tblLecturas[Kilometraje],tblLecturas[Codigo],$A103))/(MAX(1,_xlfn.MAXIFS(tblLecturas[Fecha],tblLecturas[Codigo],$A103)-_xlfn.MINIFS(tblLecturas[Fecha],tblLecturas[Codigo],$A103))),1),ROUND((_xlfn.MAXIFS(tblLecturas[Horometro],tblLecturas[Codigo],$A103)-_xlfn.MINIFS(tblLecturas[Horometro],tblLecturas[Codigo],$A103))/(MAX(1,_xlfn.MAXIFS(tblLecturas[Fecha],tblLecturas[Codigo],$A103)-_xlfn.MINIFS(tblLecturas[Fecha],tblLecturas[Codigo],$A103))),1)),"")</f>
        <v>2.7</v>
      </c>
      <c r="L103" s="20">
        <f>IFERROR(_xlfn.MAXIFS(tblLecturas[Fecha],tblLecturas[Codigo],$A103),"")</f>
        <v>46101</v>
      </c>
      <c r="M103" s="26">
        <f>IFERROR(_xlfn.MAXIFS(Lecturas!$C:$C,Lecturas!$B:$B,$A103,Lecturas!$C:$C,"&gt;0"),"")</f>
        <v>0</v>
      </c>
      <c r="N103" s="78">
        <f>IFERROR(_xlfn.MAXIFS(tblLecturas[Kilometraje],tblLecturas[Codigo],$A103,tblLecturas[Kilometraje],"&gt;0"),"")</f>
        <v>23789</v>
      </c>
      <c r="O103" s="78" cm="1">
        <f t="array" ref="O103">IFERROR(IF($I103="KM",LOOKUP(2,1/(Lecturas!$B:$B=$A103)/(Lecturas!$D:$D&gt;0),Lecturas!$D:$D),LOOKUP(2,1/(Lecturas!$B:$B=$A103)/(Lecturas!$C:$C&gt;0),Lecturas!$C:$C)),"")</f>
        <v>23789</v>
      </c>
      <c r="P103" s="20">
        <f>IFERROR(_xlfn.MAXIFS(tblMantenciones[Fecha],tblMantenciones[Codigo],tblMaestroEquipos[[#This Row],[Codigo]],tblMantenciones[EsPM],"Sí"),"")</f>
        <v>46050</v>
      </c>
      <c r="Q103" s="78">
        <f>IF(_xlfn.MAXIFS(Mantenciones!$D:$D,Mantenciones!$B:$B,A103)=0,"Sin datos de mantención registrado",_xlfn.MAXIFS(Mantenciones!$D:$D,Mantenciones!$B:$B,A103))</f>
        <v>12362</v>
      </c>
      <c r="R103" s="18">
        <f>IFERROR(IF(_xlfn.MAXIFS(Mantenciones!$D:$D,Mantenciones!$B:$B,$A103,Mantenciones!$E:$E,"Sí",Mantenciones!$D:$D,"&gt;0")=0,"Sin datos de mantención registrado",_xlfn.MAXIFS(Mantenciones!$D:$D,Mantenciones!$B:$B,$A103,Mantenciones!$E:$E,"Sí",Mantenciones!$D:$D,"&gt;0")),"Sin datos de mantención registrado")</f>
        <v>12362</v>
      </c>
      <c r="S103" s="21">
        <f>IFERROR(SUMIFS(tblMantenciones[Costo Mantencion CLP],tblMantenciones[Codigo],A103),0)</f>
        <v>263017</v>
      </c>
      <c r="T103" s="21">
        <f>IFERROR(SUMIFS(tblComprasPM[Costo PM CLP],tblComprasPM[Codigo],tblMaestroEquipos[[#This Row],[Codigo]]),0)</f>
        <v>0</v>
      </c>
      <c r="U103" s="21">
        <f>IFERROR(tblMaestroEquipos[[#This Row],[Costo Mantenciones CLP]]+tblMaestroEquipos[[#This Row],[Costo Compras PM CLP]],0)</f>
        <v>263017</v>
      </c>
      <c r="V103" s="18" t="str">
        <f>IFERROR(_xlfn.XLOOKUP(tblMaestroEquipos[[#This Row],[Codigo]],tblEquipos[Codigo],tblEquipos[Estado Base]),"")</f>
        <v>Operativo</v>
      </c>
      <c r="W103" s="18" t="str">
        <f t="shared" si="10"/>
        <v>AL DÍA</v>
      </c>
      <c r="X103" s="18">
        <f t="shared" si="11"/>
        <v>3573</v>
      </c>
      <c r="Y10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49674</v>
      </c>
      <c r="Z103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03" s="25" t="str">
        <f>IFERROR(IF(_xlfn.MAXIFS(tblBodega[Fecha],tblBodega[Codigo],tblMaestroEquipos[[#This Row],[Codigo]])=0,"",_xlfn.MAXIFS(tblBodega[Fecha],tblBodega[Codigo],tblMaestroEquipos[[#This Row],[Codigo]])),"")</f>
        <v/>
      </c>
      <c r="AB103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0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0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03" s="51" t="str">
        <f t="shared" si="9"/>
        <v>OPERATIVO</v>
      </c>
      <c r="AF103" s="18" t="str">
        <f t="shared" si="12"/>
        <v>BAJA</v>
      </c>
      <c r="AG103" s="18" t="str">
        <f t="shared" si="13"/>
        <v>Monitorear próximo vencimiento</v>
      </c>
      <c r="AH103">
        <f t="shared" si="14"/>
        <v>0</v>
      </c>
      <c r="AI103" t="str">
        <f t="shared" si="15"/>
        <v/>
      </c>
      <c r="AJ103" s="24">
        <f t="shared" si="16"/>
        <v>99</v>
      </c>
    </row>
    <row r="104" spans="1:36">
      <c r="A104" s="18" t="s">
        <v>295</v>
      </c>
      <c r="B104" s="18" t="s">
        <v>264</v>
      </c>
      <c r="C104" s="18" t="s">
        <v>1070</v>
      </c>
      <c r="D104" s="18" t="s">
        <v>296</v>
      </c>
      <c r="E104" s="19" t="s">
        <v>297</v>
      </c>
      <c r="F104" s="18">
        <v>2019</v>
      </c>
      <c r="G104" s="18" t="str" cm="1">
        <f t="array" ref="G104">IFERROR(INDEX(Lecturas!$E$4:$E$3549,MATCH(1,(Lecturas!$B$4:$B$3549=$A104)*(Lecturas!$E$4:$E$3549&lt;&gt;"")*(Lecturas!$A$4:$A$3549=_xlfn.MAXIFS(Lecturas!$A$4:$A$3549,Lecturas!$B$4:$B$3549,$A104,Lecturas!$E$4:$E$3549,"&lt;&gt;")),0)),"")</f>
        <v>Palmucho</v>
      </c>
      <c r="H104" s="18"/>
      <c r="I104" s="18" t="s">
        <v>18</v>
      </c>
      <c r="J104" s="18">
        <v>250</v>
      </c>
      <c r="K104" s="18">
        <f>IFERROR(IF($I104="KM",ROUND((_xlfn.MAXIFS(tblLecturas[Kilometraje],tblLecturas[Codigo],$A104)-_xlfn.MINIFS(tblLecturas[Kilometraje],tblLecturas[Codigo],$A104))/(MAX(1,_xlfn.MAXIFS(tblLecturas[Fecha],tblLecturas[Codigo],$A104)-_xlfn.MINIFS(tblLecturas[Fecha],tblLecturas[Codigo],$A104))),1),ROUND((_xlfn.MAXIFS(tblLecturas[Horometro],tblLecturas[Codigo],$A104)-_xlfn.MINIFS(tblLecturas[Horometro],tblLecturas[Codigo],$A104))/(MAX(1,_xlfn.MAXIFS(tblLecturas[Fecha],tblLecturas[Codigo],$A104)-_xlfn.MINIFS(tblLecturas[Fecha],tblLecturas[Codigo],$A104))),1)),"")</f>
        <v>65</v>
      </c>
      <c r="L104" s="20">
        <f>IFERROR(_xlfn.MAXIFS(tblLecturas[Fecha],tblLecturas[Codigo],$A104),"")</f>
        <v>46105</v>
      </c>
      <c r="M104" s="26">
        <f>IFERROR(_xlfn.MAXIFS(Lecturas!$C:$C,Lecturas!$B:$B,$A104,Lecturas!$C:$C,"&gt;0"),"")</f>
        <v>13383</v>
      </c>
      <c r="N104" s="78">
        <f>IFERROR(_xlfn.MAXIFS(tblLecturas[Kilometraje],tblLecturas[Codigo],$A104,tblLecturas[Kilometraje],"&gt;0"),"")</f>
        <v>0</v>
      </c>
      <c r="O104" s="78" cm="1">
        <f t="array" ref="O104">IFERROR(IF($I104="KM",LOOKUP(2,1/(Lecturas!$B:$B=$A104)/(Lecturas!$D:$D&gt;0),Lecturas!$D:$D),LOOKUP(2,1/(Lecturas!$B:$B=$A104)/(Lecturas!$C:$C&gt;0),Lecturas!$C:$C)),"")</f>
        <v>13383</v>
      </c>
      <c r="P104" s="20">
        <f>IFERROR(_xlfn.MAXIFS(tblMantenciones[Fecha],tblMantenciones[Codigo],tblMaestroEquipos[[#This Row],[Codigo]],tblMantenciones[EsPM],"Sí"),"")</f>
        <v>46031</v>
      </c>
      <c r="Q104" s="78">
        <f>IF(_xlfn.MAXIFS(Mantenciones!$D:$D,Mantenciones!$B:$B,A104)=0,"Sin datos de mantención registrado",_xlfn.MAXIFS(Mantenciones!$D:$D,Mantenciones!$B:$B,A104))</f>
        <v>87661</v>
      </c>
      <c r="R104" s="18">
        <f>IFERROR(IF(_xlfn.MAXIFS(Mantenciones!$D:$D,Mantenciones!$B:$B,$A104,Mantenciones!$E:$E,"Sí",Mantenciones!$D:$D,"&gt;0")=0,"Sin datos de mantención registrado",_xlfn.MAXIFS(Mantenciones!$D:$D,Mantenciones!$B:$B,$A104,Mantenciones!$E:$E,"Sí",Mantenciones!$D:$D,"&gt;0")),"Sin datos de mantención registrado")</f>
        <v>87661</v>
      </c>
      <c r="S104" s="21">
        <f>IFERROR(SUMIFS(tblMantenciones[Costo Mantencion CLP],tblMantenciones[Codigo],A104),0)</f>
        <v>0</v>
      </c>
      <c r="T104" s="21">
        <f>IFERROR(SUMIFS(tblComprasPM[Costo PM CLP],tblComprasPM[Codigo],tblMaestroEquipos[[#This Row],[Codigo]]),0)</f>
        <v>0</v>
      </c>
      <c r="U104" s="21">
        <f>IFERROR(tblMaestroEquipos[[#This Row],[Costo Mantenciones CLP]]+tblMaestroEquipos[[#This Row],[Costo Compras PM CLP]],0)</f>
        <v>0</v>
      </c>
      <c r="V104" s="18" t="str">
        <f>IFERROR(_xlfn.XLOOKUP(tblMaestroEquipos[[#This Row],[Codigo]],tblEquipos[Codigo],tblEquipos[Estado Base]),"")</f>
        <v>Operativo</v>
      </c>
      <c r="W104" s="18" t="str">
        <f t="shared" si="10"/>
        <v>POR RECIBIR</v>
      </c>
      <c r="X104" s="18">
        <f t="shared" si="11"/>
        <v>74528</v>
      </c>
      <c r="Y104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120633</v>
      </c>
      <c r="Z10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04" s="25">
        <f>IFERROR(IF(_xlfn.MAXIFS(tblBodega[Fecha],tblBodega[Codigo],tblMaestroEquipos[[#This Row],[Codigo]])=0,"",_xlfn.MAXIFS(tblBodega[Fecha],tblBodega[Codigo],tblMaestroEquipos[[#This Row],[Codigo]])),"")</f>
        <v>46087</v>
      </c>
      <c r="AB10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0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0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04" s="51" t="str">
        <f t="shared" si="9"/>
        <v>OPERATIVO</v>
      </c>
      <c r="AF104" s="18" t="str">
        <f t="shared" si="12"/>
        <v>BAJA</v>
      </c>
      <c r="AG104" s="18" t="str">
        <f t="shared" si="13"/>
        <v>Monitorear próximo vencimiento</v>
      </c>
      <c r="AH104">
        <f t="shared" si="14"/>
        <v>0</v>
      </c>
      <c r="AI104" t="str">
        <f t="shared" si="15"/>
        <v/>
      </c>
      <c r="AJ104" s="24">
        <f t="shared" si="16"/>
        <v>3</v>
      </c>
    </row>
    <row r="105" spans="1:36">
      <c r="A105" s="18" t="s">
        <v>339</v>
      </c>
      <c r="B105" s="18" t="s">
        <v>340</v>
      </c>
      <c r="C105" s="18" t="s">
        <v>1070</v>
      </c>
      <c r="D105" s="18" t="s">
        <v>341</v>
      </c>
      <c r="E105" s="19" t="s">
        <v>342</v>
      </c>
      <c r="F105" s="18">
        <v>2011</v>
      </c>
      <c r="G105" s="18" t="str" cm="1">
        <f t="array" ref="G105">IFERROR(INDEX(Lecturas!$E$4:$E$3549,MATCH(1,(Lecturas!$B$4:$B$3549=$A105)*(Lecturas!$E$4:$E$3549&lt;&gt;"")*(Lecturas!$A$4:$A$3549=_xlfn.MAXIFS(Lecturas!$A$4:$A$3549,Lecturas!$B$4:$B$3549,$A105,Lecturas!$E$4:$E$3549,"&lt;&gt;")),0)),"")</f>
        <v>Ninhue</v>
      </c>
      <c r="H105" s="18" t="s">
        <v>343</v>
      </c>
      <c r="I105" s="18" t="s">
        <v>18</v>
      </c>
      <c r="J105" s="18">
        <v>250</v>
      </c>
      <c r="K105" s="18">
        <f>IFERROR(IF($I105="KM",ROUND((_xlfn.MAXIFS(tblLecturas[Kilometraje],tblLecturas[Codigo],$A105)-_xlfn.MINIFS(tblLecturas[Kilometraje],tblLecturas[Codigo],$A105))/(MAX(1,_xlfn.MAXIFS(tblLecturas[Fecha],tblLecturas[Codigo],$A105)-_xlfn.MINIFS(tblLecturas[Fecha],tblLecturas[Codigo],$A105))),1),ROUND((_xlfn.MAXIFS(tblLecturas[Horometro],tblLecturas[Codigo],$A105)-_xlfn.MINIFS(tblLecturas[Horometro],tblLecturas[Codigo],$A105))/(MAX(1,_xlfn.MAXIFS(tblLecturas[Fecha],tblLecturas[Codigo],$A105)-_xlfn.MINIFS(tblLecturas[Fecha],tblLecturas[Codigo],$A105))),1)),"")</f>
        <v>5.8</v>
      </c>
      <c r="L105" s="20">
        <f>IFERROR(_xlfn.MAXIFS(tblLecturas[Fecha],tblLecturas[Codigo],$A105),"")</f>
        <v>46104</v>
      </c>
      <c r="M105" s="26">
        <f>IFERROR(_xlfn.MAXIFS(Lecturas!$C:$C,Lecturas!$B:$B,$A105,Lecturas!$C:$C,"&gt;0"),"")</f>
        <v>14728</v>
      </c>
      <c r="N105" s="78">
        <f>IFERROR(_xlfn.MAXIFS(tblLecturas[Kilometraje],tblLecturas[Codigo],$A105,tblLecturas[Kilometraje],"&gt;0"),"")</f>
        <v>0</v>
      </c>
      <c r="O105" s="78" cm="1">
        <f t="array" ref="O105">IFERROR(IF($I105="KM",LOOKUP(2,1/(Lecturas!$B:$B=$A105)/(Lecturas!$D:$D&gt;0),Lecturas!$D:$D),LOOKUP(2,1/(Lecturas!$B:$B=$A105)/(Lecturas!$C:$C&gt;0),Lecturas!$C:$C)),"")</f>
        <v>1965</v>
      </c>
      <c r="P105" s="20">
        <f>IFERROR(_xlfn.MAXIFS(tblMantenciones[Fecha],tblMantenciones[Codigo],tblMaestroEquipos[[#This Row],[Codigo]],tblMantenciones[EsPM],"Sí"),"")</f>
        <v>46108</v>
      </c>
      <c r="Q105" s="78">
        <f>IF(_xlfn.MAXIFS(Mantenciones!$D:$D,Mantenciones!$B:$B,A105)=0,"Sin datos de mantención registrado",_xlfn.MAXIFS(Mantenciones!$D:$D,Mantenciones!$B:$B,A105))</f>
        <v>1974</v>
      </c>
      <c r="R105" s="18">
        <f>IFERROR(IF(_xlfn.MAXIFS(Mantenciones!$D:$D,Mantenciones!$B:$B,$A105,Mantenciones!$E:$E,"Sí",Mantenciones!$D:$D,"&gt;0")=0,"Sin datos de mantención registrado",_xlfn.MAXIFS(Mantenciones!$D:$D,Mantenciones!$B:$B,$A105,Mantenciones!$E:$E,"Sí",Mantenciones!$D:$D,"&gt;0")),"Sin datos de mantención registrado")</f>
        <v>1974</v>
      </c>
      <c r="S105" s="21">
        <f>IFERROR(SUMIFS(tblMantenciones[Costo Mantencion CLP],tblMantenciones[Codigo],A105),0)</f>
        <v>0</v>
      </c>
      <c r="T105" s="21">
        <f>IFERROR(SUMIFS(tblComprasPM[Costo PM CLP],tblComprasPM[Codigo],tblMaestroEquipos[[#This Row],[Codigo]]),0)</f>
        <v>369785.86</v>
      </c>
      <c r="U105" s="21">
        <f>IFERROR(tblMaestroEquipos[[#This Row],[Costo Mantenciones CLP]]+tblMaestroEquipos[[#This Row],[Costo Compras PM CLP]],0)</f>
        <v>369785.86</v>
      </c>
      <c r="V105" s="18" t="str">
        <f>IFERROR(_xlfn.XLOOKUP(tblMaestroEquipos[[#This Row],[Codigo]],tblEquipos[Codigo],tblEquipos[Estado Base]),"")</f>
        <v>Operativo</v>
      </c>
      <c r="W105" s="18" t="str">
        <f t="shared" si="10"/>
        <v>AL DÍA</v>
      </c>
      <c r="X105" s="18">
        <f t="shared" si="11"/>
        <v>259</v>
      </c>
      <c r="Y10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46363</v>
      </c>
      <c r="Z105" s="25">
        <f>IFERROR(IF(_xlfn.MINIFS(tblComprasPM[Fecha],tblComprasPM[Codigo],tblMaestroEquipos[[#This Row],[Codigo]])=0,"",_xlfn.MINIFS(tblComprasPM[Fecha],tblComprasPM[Codigo],tblMaestroEquipos[[#This Row],[Codigo]])),"")</f>
        <v>46084.6933587616</v>
      </c>
      <c r="AA105" s="25">
        <f>IFERROR(IF(_xlfn.MAXIFS(tblBodega[Fecha],tblBodega[Codigo],tblMaestroEquipos[[#This Row],[Codigo]])=0,"",_xlfn.MAXIFS(tblBodega[Fecha],tblBodega[Codigo],tblMaestroEquipos[[#This Row],[Codigo]])),"")</f>
        <v>46105</v>
      </c>
      <c r="AB105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24</v>
      </c>
      <c r="AC10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3</v>
      </c>
      <c r="AD10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05" s="51" t="str">
        <f t="shared" si="9"/>
        <v>OPERATIVO</v>
      </c>
      <c r="AF105" s="18" t="str">
        <f t="shared" si="12"/>
        <v>BAJA</v>
      </c>
      <c r="AG105" s="18" t="str">
        <f t="shared" si="13"/>
        <v>Monitorear próximo vencimiento</v>
      </c>
      <c r="AH105">
        <f t="shared" si="14"/>
        <v>0</v>
      </c>
      <c r="AI105" t="str">
        <f t="shared" si="15"/>
        <v/>
      </c>
      <c r="AJ105" s="24">
        <f t="shared" si="16"/>
        <v>99</v>
      </c>
    </row>
    <row r="106" spans="1:36">
      <c r="A106" s="18" t="s">
        <v>611</v>
      </c>
      <c r="B106" s="18" t="s">
        <v>502</v>
      </c>
      <c r="C106" s="18" t="s">
        <v>1074</v>
      </c>
      <c r="D106" s="18" t="s">
        <v>118</v>
      </c>
      <c r="E106" s="19" t="s">
        <v>609</v>
      </c>
      <c r="F106" s="18">
        <v>2017</v>
      </c>
      <c r="G106" s="18" t="str" cm="1">
        <f t="array" ref="G106">IFERROR(INDEX(Lecturas!$E$4:$E$3549,MATCH(1,(Lecturas!$B$4:$B$3549=$A106)*(Lecturas!$E$4:$E$3549&lt;&gt;"")*(Lecturas!$A$4:$A$3549=_xlfn.MAXIFS(Lecturas!$A$4:$A$3549,Lecturas!$B$4:$B$3549,$A106,Lecturas!$E$4:$E$3549,"&lt;&gt;")),0)),"")</f>
        <v>San Carlos</v>
      </c>
      <c r="H106" s="18" t="s">
        <v>1075</v>
      </c>
      <c r="I106" s="18" t="s">
        <v>462</v>
      </c>
      <c r="J106" s="18">
        <v>15000</v>
      </c>
      <c r="K106" s="18">
        <f>IFERROR(IF($I106="KM",ROUND((_xlfn.MAXIFS(tblLecturas[Kilometraje],tblLecturas[Codigo],$A106)-_xlfn.MINIFS(tblLecturas[Kilometraje],tblLecturas[Codigo],$A106))/(MAX(1,_xlfn.MAXIFS(tblLecturas[Fecha],tblLecturas[Codigo],$A106)-_xlfn.MINIFS(tblLecturas[Fecha],tblLecturas[Codigo],$A106))),1),ROUND((_xlfn.MAXIFS(tblLecturas[Horometro],tblLecturas[Codigo],$A106)-_xlfn.MINIFS(tblLecturas[Horometro],tblLecturas[Codigo],$A106))/(MAX(1,_xlfn.MAXIFS(tblLecturas[Fecha],tblLecturas[Codigo],$A106)-_xlfn.MINIFS(tblLecturas[Fecha],tblLecturas[Codigo],$A106))),1)),"")</f>
        <v>128</v>
      </c>
      <c r="L106" s="20">
        <f>IFERROR(_xlfn.MAXIFS(tblLecturas[Fecha],tblLecturas[Codigo],$A106),"")</f>
        <v>46133</v>
      </c>
      <c r="M106" s="26">
        <f>IFERROR(_xlfn.MAXIFS(Lecturas!$C:$C,Lecturas!$B:$B,$A106,Lecturas!$C:$C,"&gt;0"),"")</f>
        <v>0</v>
      </c>
      <c r="N106" s="78">
        <f>IFERROR(_xlfn.MAXIFS(tblLecturas[Kilometraje],tblLecturas[Codigo],$A106,tblLecturas[Kilometraje],"&gt;0"),"")</f>
        <v>266420</v>
      </c>
      <c r="O106" s="78" cm="1">
        <f t="array" ref="O106">IFERROR(IF($I106="KM",LOOKUP(2,1/(Lecturas!$B:$B=$A106)/(Lecturas!$D:$D&gt;0),Lecturas!$D:$D),LOOKUP(2,1/(Lecturas!$B:$B=$A106)/(Lecturas!$C:$C&gt;0),Lecturas!$C:$C)),"")</f>
        <v>266420</v>
      </c>
      <c r="P106" s="20">
        <f>IFERROR(_xlfn.MAXIFS(tblMantenciones[Fecha],tblMantenciones[Codigo],tblMaestroEquipos[[#This Row],[Codigo]],tblMantenciones[EsPM],"Sí"),"")</f>
        <v>46124</v>
      </c>
      <c r="Q106" s="78">
        <f>IF(_xlfn.MAXIFS(Mantenciones!$D:$D,Mantenciones!$B:$B,A106)=0,"Sin datos de mantención registrado",_xlfn.MAXIFS(Mantenciones!$D:$D,Mantenciones!$B:$B,A106))</f>
        <v>306311</v>
      </c>
      <c r="R106" s="18">
        <f>IFERROR(IF(_xlfn.MAXIFS(Mantenciones!$D:$D,Mantenciones!$B:$B,$A106,Mantenciones!$E:$E,"Sí",Mantenciones!$D:$D,"&gt;0")=0,"Sin datos de mantención registrado",_xlfn.MAXIFS(Mantenciones!$D:$D,Mantenciones!$B:$B,$A106,Mantenciones!$E:$E,"Sí",Mantenciones!$D:$D,"&gt;0")),"Sin datos de mantención registrado")</f>
        <v>306311</v>
      </c>
      <c r="S106" s="21">
        <f>IFERROR(SUMIFS(tblMantenciones[Costo Mantencion CLP],tblMantenciones[Codigo],tblMaestroEquipos[[#This Row],[Codigo]]),0)</f>
        <v>0</v>
      </c>
      <c r="T106" s="21">
        <f>IFERROR(SUMIFS(tblComprasPM[Costo PM CLP],tblComprasPM[Codigo],tblMaestroEquipos[[#This Row],[Codigo]]),0)</f>
        <v>38549.9</v>
      </c>
      <c r="U106" s="21">
        <f>IFERROR(tblMaestroEquipos[[#This Row],[Costo Mantenciones CLP]]+tblMaestroEquipos[[#This Row],[Costo Compras PM CLP]],0)</f>
        <v>38549.9</v>
      </c>
      <c r="V106" s="18" t="str">
        <f>IFERROR(_xlfn.XLOOKUP(tblMaestroEquipos[[#This Row],[Codigo]],tblEquipos[Codigo],tblEquipos[Estado Base]),"")</f>
        <v>Operativo</v>
      </c>
      <c r="W106" s="18" t="str">
        <f t="shared" si="10"/>
        <v>AL DÍA</v>
      </c>
      <c r="X106" s="18">
        <f t="shared" si="11"/>
        <v>54891</v>
      </c>
      <c r="Y106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101024</v>
      </c>
      <c r="Z106" s="25">
        <f>IFERROR(IF(_xlfn.MINIFS(tblComprasPM[Fecha],tblComprasPM[Codigo],tblMaestroEquipos[[#This Row],[Codigo]])=0,"",_xlfn.MINIFS(tblComprasPM[Fecha],tblComprasPM[Codigo],tblMaestroEquipos[[#This Row],[Codigo]])),"")</f>
        <v>46098</v>
      </c>
      <c r="AA106" s="25">
        <f>IFERROR(IF(_xlfn.MAXIFS(tblBodega[Fecha],tblBodega[Codigo],tblMaestroEquipos[[#This Row],[Codigo]])=0,"",_xlfn.MAXIFS(tblBodega[Fecha],tblBodega[Codigo],tblMaestroEquipos[[#This Row],[Codigo]])),"")</f>
        <v>46119</v>
      </c>
      <c r="AB10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26</v>
      </c>
      <c r="AC10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5</v>
      </c>
      <c r="AD10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06" s="51" t="str">
        <f t="shared" si="9"/>
        <v>OPERATIVO</v>
      </c>
      <c r="AF106" s="18" t="str">
        <f t="shared" si="12"/>
        <v>BAJA</v>
      </c>
      <c r="AG106" s="18" t="str">
        <f t="shared" si="13"/>
        <v>Monitorear próximo vencimiento</v>
      </c>
      <c r="AH106">
        <f t="shared" si="14"/>
        <v>0</v>
      </c>
      <c r="AI106" t="str">
        <f t="shared" si="15"/>
        <v/>
      </c>
      <c r="AJ106" s="24">
        <f t="shared" si="16"/>
        <v>99</v>
      </c>
    </row>
    <row r="107" spans="1:36" s="27" customFormat="1">
      <c r="A107" s="18" t="s">
        <v>44</v>
      </c>
      <c r="B107" s="18" t="s">
        <v>45</v>
      </c>
      <c r="C107" s="18" t="s">
        <v>1069</v>
      </c>
      <c r="D107" s="18" t="s">
        <v>46</v>
      </c>
      <c r="E107" s="19" t="s">
        <v>47</v>
      </c>
      <c r="F107" s="18">
        <v>2012</v>
      </c>
      <c r="G107" s="18" t="str" cm="1">
        <f t="array" ref="G107">IFERROR(INDEX(Lecturas!$E$4:$E$3549,MATCH(1,(Lecturas!$B$4:$B$3549=$A107)*(Lecturas!$E$4:$E$3549&lt;&gt;"")*(Lecturas!$A$4:$A$3549=_xlfn.MAXIFS(Lecturas!$A$4:$A$3549,Lecturas!$B$4:$B$3549,$A107,Lecturas!$E$4:$E$3549,"&lt;&gt;")),0)),"")</f>
        <v>Palmucho</v>
      </c>
      <c r="H107" s="18" t="s">
        <v>49</v>
      </c>
      <c r="I107" s="18" t="s">
        <v>462</v>
      </c>
      <c r="J107" s="18">
        <v>10000</v>
      </c>
      <c r="K107" s="18">
        <f>IFERROR(IF($I107="KM",ROUND((_xlfn.MAXIFS(tblLecturas[Kilometraje],tblLecturas[Codigo],$A107)-_xlfn.MINIFS(tblLecturas[Kilometraje],tblLecturas[Codigo],$A107))/(MAX(1,_xlfn.MAXIFS(tblLecturas[Fecha],tblLecturas[Codigo],$A107)-_xlfn.MINIFS(tblLecturas[Fecha],tblLecturas[Codigo],$A107))),1),ROUND((_xlfn.MAXIFS(tblLecturas[Horometro],tblLecturas[Codigo],$A107)-_xlfn.MINIFS(tblLecturas[Horometro],tblLecturas[Codigo],$A107))/(MAX(1,_xlfn.MAXIFS(tblLecturas[Fecha],tblLecturas[Codigo],$A107)-_xlfn.MINIFS(tblLecturas[Fecha],tblLecturas[Codigo],$A107))),1)),"")</f>
        <v>44</v>
      </c>
      <c r="L107" s="20">
        <f>IFERROR(_xlfn.MAXIFS(tblLecturas[Fecha],tblLecturas[Codigo],$A107),"")</f>
        <v>46106</v>
      </c>
      <c r="M107" s="26">
        <f>IFERROR(_xlfn.MAXIFS(Lecturas!$C:$C,Lecturas!$B:$B,$A107,Lecturas!$C:$C,"&gt;0"),"")</f>
        <v>0</v>
      </c>
      <c r="N107" s="78">
        <f>IFERROR(_xlfn.MAXIFS(tblLecturas[Kilometraje],tblLecturas[Codigo],$A107,tblLecturas[Kilometraje],"&gt;0"),"")</f>
        <v>190409</v>
      </c>
      <c r="O107" s="78" cm="1">
        <f t="array" ref="O107">IFERROR(IF($I107="KM",LOOKUP(2,1/(Lecturas!$B:$B=$A107)/(Lecturas!$D:$D&gt;0),Lecturas!$D:$D),LOOKUP(2,1/(Lecturas!$B:$B=$A107)/(Lecturas!$C:$C&gt;0),Lecturas!$C:$C)),"")</f>
        <v>190409</v>
      </c>
      <c r="P107" s="20">
        <f>IFERROR(_xlfn.MAXIFS(tblMantenciones[Fecha],tblMantenciones[Codigo],tblMaestroEquipos[[#This Row],[Codigo]],tblMantenciones[EsPM],"Sí"),"")</f>
        <v>46093</v>
      </c>
      <c r="Q107" s="78">
        <f>IF(_xlfn.MAXIFS(Mantenciones!$D:$D,Mantenciones!$B:$B,A107)=0,"Sin datos de mantención registrado",_xlfn.MAXIFS(Mantenciones!$D:$D,Mantenciones!$B:$B,A107))</f>
        <v>189849</v>
      </c>
      <c r="R107" s="18">
        <f>IFERROR(IF(_xlfn.MAXIFS(Mantenciones!$D:$D,Mantenciones!$B:$B,$A107,Mantenciones!$E:$E,"Sí",Mantenciones!$D:$D,"&gt;0")=0,"Sin datos de mantención registrado",_xlfn.MAXIFS(Mantenciones!$D:$D,Mantenciones!$B:$B,$A107,Mantenciones!$E:$E,"Sí",Mantenciones!$D:$D,"&gt;0")),"Sin datos de mantención registrado")</f>
        <v>189849</v>
      </c>
      <c r="S107" s="21">
        <f>IFERROR(SUMIFS(tblMantenciones[Costo Mantencion CLP],tblMantenciones[Codigo],A107),0)</f>
        <v>0</v>
      </c>
      <c r="T107" s="21">
        <f>IFERROR(SUMIFS(tblComprasPM[Costo PM CLP],tblComprasPM[Codigo],tblMaestroEquipos[[#This Row],[Codigo]]),0)</f>
        <v>170432.99</v>
      </c>
      <c r="U107" s="21">
        <f>IFERROR(tblMaestroEquipos[[#This Row],[Costo Mantenciones CLP]]+tblMaestroEquipos[[#This Row],[Costo Compras PM CLP]],0)</f>
        <v>170432.99</v>
      </c>
      <c r="V107" s="18" t="str">
        <f>IFERROR(_xlfn.XLOOKUP(tblMaestroEquipos[[#This Row],[Codigo]],tblEquipos[Codigo],tblEquipos[Estado Base]),"")</f>
        <v>Operativo</v>
      </c>
      <c r="W107" s="18" t="str">
        <f t="shared" si="10"/>
        <v>AL DÍA</v>
      </c>
      <c r="X107" s="18">
        <f t="shared" si="11"/>
        <v>9440</v>
      </c>
      <c r="Y107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55546</v>
      </c>
      <c r="Z107" s="25">
        <f>IFERROR(IF(_xlfn.MINIFS(tblComprasPM[Fecha],tblComprasPM[Codigo],tblMaestroEquipos[[#This Row],[Codigo]])=0,"",_xlfn.MINIFS(tblComprasPM[Fecha],tblComprasPM[Codigo],tblMaestroEquipos[[#This Row],[Codigo]])),"")</f>
        <v>46093.485688888897</v>
      </c>
      <c r="AA107" s="25">
        <f>IFERROR(IF(_xlfn.MAXIFS(tblBodega[Fecha],tblBodega[Codigo],tblMaestroEquipos[[#This Row],[Codigo]])=0,"",_xlfn.MAXIFS(tblBodega[Fecha],tblBodega[Codigo],tblMaestroEquipos[[#This Row],[Codigo]])),"")</f>
        <v>46091</v>
      </c>
      <c r="AB10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07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2</v>
      </c>
      <c r="AD10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07" s="51" t="str">
        <f t="shared" si="9"/>
        <v>OPERATIVO</v>
      </c>
      <c r="AF107" s="18" t="str">
        <f t="shared" si="12"/>
        <v>BAJA</v>
      </c>
      <c r="AG107" s="18" t="str">
        <f t="shared" si="13"/>
        <v>Monitorear próximo vencimiento</v>
      </c>
      <c r="AH107">
        <f t="shared" si="14"/>
        <v>0</v>
      </c>
      <c r="AI107" t="str">
        <f t="shared" si="15"/>
        <v/>
      </c>
      <c r="AJ107" s="24">
        <f t="shared" si="16"/>
        <v>99</v>
      </c>
    </row>
    <row r="108" spans="1:36">
      <c r="A108" s="18" t="s">
        <v>382</v>
      </c>
      <c r="B108" s="18" t="s">
        <v>366</v>
      </c>
      <c r="C108" s="18" t="s">
        <v>1070</v>
      </c>
      <c r="D108" s="18" t="s">
        <v>307</v>
      </c>
      <c r="E108" s="19" t="s">
        <v>368</v>
      </c>
      <c r="F108" s="18">
        <v>2014</v>
      </c>
      <c r="G108" s="18" t="str" cm="1">
        <f t="array" ref="G108">IFERROR(INDEX(Lecturas!$E$4:$E$3549,MATCH(1,(Lecturas!$B$4:$B$3549=$A108)*(Lecturas!$E$4:$E$3549&lt;&gt;"")*(Lecturas!$A$4:$A$3549=_xlfn.MAXIFS(Lecturas!$A$4:$A$3549,Lecturas!$B$4:$B$3549,$A108,Lecturas!$E$4:$E$3549,"&lt;&gt;")),0)),"")</f>
        <v>Pelluhue</v>
      </c>
      <c r="H108" s="18" t="s">
        <v>53</v>
      </c>
      <c r="I108" s="18" t="s">
        <v>18</v>
      </c>
      <c r="J108" s="18">
        <v>250</v>
      </c>
      <c r="K108" s="18">
        <f>IFERROR(IF($I108="KM",ROUND((_xlfn.MAXIFS(tblLecturas[Kilometraje],tblLecturas[Codigo],$A108)-_xlfn.MINIFS(tblLecturas[Kilometraje],tblLecturas[Codigo],$A108))/(MAX(1,_xlfn.MAXIFS(tblLecturas[Fecha],tblLecturas[Codigo],$A108)-_xlfn.MINIFS(tblLecturas[Fecha],tblLecturas[Codigo],$A108))),1),ROUND((_xlfn.MAXIFS(tblLecturas[Horometro],tblLecturas[Codigo],$A108)-_xlfn.MINIFS(tblLecturas[Horometro],tblLecturas[Codigo],$A108))/(MAX(1,_xlfn.MAXIFS(tblLecturas[Fecha],tblLecturas[Codigo],$A108)-_xlfn.MINIFS(tblLecturas[Fecha],tblLecturas[Codigo],$A108))),1)),"")</f>
        <v>1.2</v>
      </c>
      <c r="L108" s="20">
        <f>IFERROR(_xlfn.MAXIFS(tblLecturas[Fecha],tblLecturas[Codigo],$A108),"")</f>
        <v>46094</v>
      </c>
      <c r="M108" s="26">
        <f>IFERROR(_xlfn.MAXIFS(Lecturas!$C:$C,Lecturas!$B:$B,$A108,Lecturas!$C:$C,"&gt;0"),"")</f>
        <v>13040</v>
      </c>
      <c r="N108" s="78">
        <f>IFERROR(_xlfn.MAXIFS(tblLecturas[Kilometraje],tblLecturas[Codigo],$A108,tblLecturas[Kilometraje],"&gt;0"),"")</f>
        <v>0</v>
      </c>
      <c r="O108" s="78" cm="1">
        <f t="array" ref="O108">IFERROR(IF($I108="KM",LOOKUP(2,1/(Lecturas!$B:$B=$A108)/(Lecturas!$D:$D&gt;0),Lecturas!$D:$D),LOOKUP(2,1/(Lecturas!$B:$B=$A108)/(Lecturas!$C:$C&gt;0),Lecturas!$C:$C)),"")</f>
        <v>13040</v>
      </c>
      <c r="P108" s="20">
        <f>IFERROR(_xlfn.MAXIFS(tblMantenciones[Fecha],tblMantenciones[Codigo],tblMaestroEquipos[[#This Row],[Codigo]],tblMantenciones[EsPM],"Sí"),"")</f>
        <v>46094</v>
      </c>
      <c r="Q108" s="78">
        <f>IF(_xlfn.MAXIFS(Mantenciones!$D:$D,Mantenciones!$B:$B,A108)=0,"Sin datos de mantención registrado",_xlfn.MAXIFS(Mantenciones!$D:$D,Mantenciones!$B:$B,A108))</f>
        <v>13040</v>
      </c>
      <c r="R108" s="18">
        <f>IFERROR(IF(_xlfn.MAXIFS(Mantenciones!$D:$D,Mantenciones!$B:$B,$A108,Mantenciones!$E:$E,"Sí",Mantenciones!$D:$D,"&gt;0")=0,"Sin datos de mantención registrado",_xlfn.MAXIFS(Mantenciones!$D:$D,Mantenciones!$B:$B,$A108,Mantenciones!$E:$E,"Sí",Mantenciones!$D:$D,"&gt;0")),"Sin datos de mantención registrado")</f>
        <v>13040</v>
      </c>
      <c r="S108" s="21">
        <f>IFERROR(SUMIFS(tblMantenciones[Costo Mantencion CLP],tblMantenciones[Codigo],A108),0)</f>
        <v>89099.98</v>
      </c>
      <c r="T108" s="21">
        <f>IFERROR(SUMIFS(tblComprasPM[Costo PM CLP],tblComprasPM[Codigo],tblMaestroEquipos[[#This Row],[Codigo]]),0)</f>
        <v>89099.976699999999</v>
      </c>
      <c r="U108" s="21">
        <f>IFERROR(tblMaestroEquipos[[#This Row],[Costo Mantenciones CLP]]+tblMaestroEquipos[[#This Row],[Costo Compras PM CLP]],0)</f>
        <v>178199.95669999998</v>
      </c>
      <c r="V108" s="18" t="str">
        <f>IFERROR(_xlfn.XLOOKUP(tblMaestroEquipos[[#This Row],[Codigo]],tblEquipos[Codigo],tblEquipos[Estado Base]),"")</f>
        <v>Operativo</v>
      </c>
      <c r="W108" s="18" t="str">
        <f t="shared" si="10"/>
        <v>AL DÍA</v>
      </c>
      <c r="X108" s="18">
        <f t="shared" si="11"/>
        <v>250</v>
      </c>
      <c r="Y108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46344</v>
      </c>
      <c r="Z108" s="25">
        <f>IFERROR(IF(_xlfn.MINIFS(tblComprasPM[Fecha],tblComprasPM[Codigo],tblMaestroEquipos[[#This Row],[Codigo]])=0,"",_xlfn.MINIFS(tblComprasPM[Fecha],tblComprasPM[Codigo],tblMaestroEquipos[[#This Row],[Codigo]])),"")</f>
        <v>46094.669263854201</v>
      </c>
      <c r="AA108" s="25">
        <f>IFERROR(IF(_xlfn.MAXIFS(tblBodega[Fecha],tblBodega[Codigo],tblMaestroEquipos[[#This Row],[Codigo]])=0,"",_xlfn.MAXIFS(tblBodega[Fecha],tblBodega[Codigo],tblMaestroEquipos[[#This Row],[Codigo]])),"")</f>
        <v>46094</v>
      </c>
      <c r="AB10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08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0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08" s="51" t="str">
        <f t="shared" si="9"/>
        <v>OPERATIVO</v>
      </c>
      <c r="AF108" s="18" t="str">
        <f t="shared" si="12"/>
        <v>BAJA</v>
      </c>
      <c r="AG108" s="18" t="str">
        <f t="shared" si="13"/>
        <v>Monitorear próximo vencimiento</v>
      </c>
      <c r="AH108">
        <f t="shared" si="14"/>
        <v>0</v>
      </c>
      <c r="AI108" t="str">
        <f t="shared" si="15"/>
        <v/>
      </c>
      <c r="AJ108" s="24">
        <f t="shared" si="16"/>
        <v>99</v>
      </c>
    </row>
    <row r="109" spans="1:36">
      <c r="A109" s="18" t="s">
        <v>306</v>
      </c>
      <c r="B109" s="18" t="s">
        <v>259</v>
      </c>
      <c r="C109" s="18" t="s">
        <v>1070</v>
      </c>
      <c r="D109" s="18" t="s">
        <v>307</v>
      </c>
      <c r="E109" s="19" t="s">
        <v>308</v>
      </c>
      <c r="F109" s="18">
        <v>2011</v>
      </c>
      <c r="G109" s="18" t="str" cm="1">
        <f t="array" ref="G109">IFERROR(INDEX(Lecturas!$E$4:$E$3549,MATCH(1,(Lecturas!$B$4:$B$3549=$A109)*(Lecturas!$E$4:$E$3549&lt;&gt;"")*(Lecturas!$A$4:$A$3549=_xlfn.MAXIFS(Lecturas!$A$4:$A$3549,Lecturas!$B$4:$B$3549,$A109,Lecturas!$E$4:$E$3549,"&lt;&gt;")),0)),"")</f>
        <v>Villaseca</v>
      </c>
      <c r="H109" s="18" t="s">
        <v>57</v>
      </c>
      <c r="I109" s="18" t="s">
        <v>18</v>
      </c>
      <c r="J109" s="18">
        <v>250</v>
      </c>
      <c r="K109" s="18">
        <f>IFERROR(IF($I109="KM",ROUND((_xlfn.MAXIFS(tblLecturas[Kilometraje],tblLecturas[Codigo],$A109)-_xlfn.MINIFS(tblLecturas[Kilometraje],tblLecturas[Codigo],$A109))/(MAX(1,_xlfn.MAXIFS(tblLecturas[Fecha],tblLecturas[Codigo],$A109)-_xlfn.MINIFS(tblLecturas[Fecha],tblLecturas[Codigo],$A109))),1),ROUND((_xlfn.MAXIFS(tblLecturas[Horometro],tblLecturas[Codigo],$A109)-_xlfn.MINIFS(tblLecturas[Horometro],tblLecturas[Codigo],$A109))/(MAX(1,_xlfn.MAXIFS(tblLecturas[Fecha],tblLecturas[Codigo],$A109)-_xlfn.MINIFS(tblLecturas[Fecha],tblLecturas[Codigo],$A109))),1)),"")</f>
        <v>1.6</v>
      </c>
      <c r="L109" s="20">
        <f>IFERROR(_xlfn.MAXIFS(tblLecturas[Fecha],tblLecturas[Codigo],$A109),"")</f>
        <v>46139</v>
      </c>
      <c r="M109" s="26">
        <f>IFERROR(_xlfn.MAXIFS(Lecturas!$C:$C,Lecturas!$B:$B,$A109,Lecturas!$C:$C,"&gt;0"),"")</f>
        <v>21474</v>
      </c>
      <c r="N109" s="78">
        <f>IFERROR(_xlfn.MAXIFS(tblLecturas[Kilometraje],tblLecturas[Codigo],$A109,tblLecturas[Kilometraje],"&gt;0"),"")</f>
        <v>0</v>
      </c>
      <c r="O109" s="78" cm="1">
        <f t="array" ref="O109">IFERROR(IF($I109="KM",LOOKUP(2,1/(Lecturas!$B:$B=$A109)/(Lecturas!$D:$D&gt;0),Lecturas!$D:$D),LOOKUP(2,1/(Lecturas!$B:$B=$A109)/(Lecturas!$C:$C&gt;0),Lecturas!$C:$C)),"")</f>
        <v>21474</v>
      </c>
      <c r="P109" s="20">
        <f>IFERROR(_xlfn.MAXIFS(tblMantenciones[Fecha],tblMantenciones[Codigo],tblMaestroEquipos[[#This Row],[Codigo]],tblMantenciones[EsPM],"Sí"),"")</f>
        <v>46121</v>
      </c>
      <c r="Q109" s="78">
        <f>IF(_xlfn.MAXIFS(Mantenciones!$D:$D,Mantenciones!$B:$B,A109)=0,"Sin datos de mantención registrado",_xlfn.MAXIFS(Mantenciones!$D:$D,Mantenciones!$B:$B,A109))</f>
        <v>21445</v>
      </c>
      <c r="R109" s="18">
        <f>IFERROR(IF(_xlfn.MAXIFS(Mantenciones!$D:$D,Mantenciones!$B:$B,$A109,Mantenciones!$E:$E,"Sí",Mantenciones!$D:$D,"&gt;0")=0,"Sin datos de mantención registrado",_xlfn.MAXIFS(Mantenciones!$D:$D,Mantenciones!$B:$B,$A109,Mantenciones!$E:$E,"Sí",Mantenciones!$D:$D,"&gt;0")),"Sin datos de mantención registrado")</f>
        <v>21445</v>
      </c>
      <c r="S109" s="21">
        <f>IFERROR(SUMIFS(tblMantenciones[Costo Mantencion CLP],tblMantenciones[Codigo],A109),0)</f>
        <v>0</v>
      </c>
      <c r="T109" s="21">
        <f>IFERROR(SUMIFS(tblComprasPM[Costo PM CLP],tblComprasPM[Codigo],tblMaestroEquipos[[#This Row],[Codigo]]),0)</f>
        <v>115923.85</v>
      </c>
      <c r="U109" s="21">
        <f>IFERROR(tblMaestroEquipos[[#This Row],[Costo Mantenciones CLP]]+tblMaestroEquipos[[#This Row],[Costo Compras PM CLP]],0)</f>
        <v>115923.85</v>
      </c>
      <c r="V109" s="18" t="str">
        <f>IFERROR(_xlfn.XLOOKUP(tblMaestroEquipos[[#This Row],[Codigo]],tblEquipos[Codigo],tblEquipos[Estado Base]),"")</f>
        <v>Operativo</v>
      </c>
      <c r="W109" s="18" t="str">
        <f t="shared" si="10"/>
        <v>AL DÍA</v>
      </c>
      <c r="X109" s="18">
        <f t="shared" si="11"/>
        <v>221</v>
      </c>
      <c r="Y109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46360</v>
      </c>
      <c r="Z109" s="25">
        <f>IFERROR(IF(_xlfn.MINIFS(tblComprasPM[Fecha],tblComprasPM[Codigo],tblMaestroEquipos[[#This Row],[Codigo]])=0,"",_xlfn.MINIFS(tblComprasPM[Fecha],tblComprasPM[Codigo],tblMaestroEquipos[[#This Row],[Codigo]])),"")</f>
        <v>46084.6612838773</v>
      </c>
      <c r="AA109" s="25">
        <f>IFERROR(IF(_xlfn.MAXIFS(tblBodega[Fecha],tblBodega[Codigo],tblMaestroEquipos[[#This Row],[Codigo]])=0,"",_xlfn.MAXIFS(tblBodega[Fecha],tblBodega[Codigo],tblMaestroEquipos[[#This Row],[Codigo]])),"")</f>
        <v>46105</v>
      </c>
      <c r="AB10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37</v>
      </c>
      <c r="AC109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16</v>
      </c>
      <c r="AD10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09" s="51" t="str">
        <f t="shared" si="9"/>
        <v>OPERATIVO</v>
      </c>
      <c r="AF109" s="18" t="str">
        <f t="shared" si="12"/>
        <v>BAJA</v>
      </c>
      <c r="AG109" s="18" t="str">
        <f t="shared" si="13"/>
        <v>Monitorear próximo vencimiento</v>
      </c>
      <c r="AH109">
        <f t="shared" si="14"/>
        <v>0</v>
      </c>
      <c r="AI109" t="str">
        <f t="shared" si="15"/>
        <v/>
      </c>
      <c r="AJ109" s="24">
        <f t="shared" si="16"/>
        <v>99</v>
      </c>
    </row>
    <row r="110" spans="1:36">
      <c r="A110" s="18" t="s">
        <v>575</v>
      </c>
      <c r="B110" s="18" t="s">
        <v>459</v>
      </c>
      <c r="C110" s="18" t="s">
        <v>1074</v>
      </c>
      <c r="D110" s="18" t="s">
        <v>99</v>
      </c>
      <c r="E110" s="19" t="s">
        <v>566</v>
      </c>
      <c r="F110" s="18">
        <v>2021</v>
      </c>
      <c r="G110" s="18" t="str" cm="1">
        <f t="array" ref="G110">IFERROR(INDEX(Lecturas!$E$4:$E$3549,MATCH(1,(Lecturas!$B$4:$B$3549=$A110)*(Lecturas!$E$4:$E$3549&lt;&gt;"")*(Lecturas!$A$4:$A$3549=_xlfn.MAXIFS(Lecturas!$A$4:$A$3549,Lecturas!$B$4:$B$3549,$A110,Lecturas!$E$4:$E$3549,"&lt;&gt;")),0)),"")</f>
        <v/>
      </c>
      <c r="H110" s="18" t="s">
        <v>57</v>
      </c>
      <c r="I110" s="18" t="s">
        <v>462</v>
      </c>
      <c r="J110" s="18">
        <v>15000</v>
      </c>
      <c r="K110" s="18">
        <f>IFERROR(IF($I110="KM",ROUND((_xlfn.MAXIFS(tblLecturas[Kilometraje],tblLecturas[Codigo],$A110)-_xlfn.MINIFS(tblLecturas[Kilometraje],tblLecturas[Codigo],$A110))/(MAX(1,_xlfn.MAXIFS(tblLecturas[Fecha],tblLecturas[Codigo],$A110)-_xlfn.MINIFS(tblLecturas[Fecha],tblLecturas[Codigo],$A110))),1),ROUND((_xlfn.MAXIFS(tblLecturas[Horometro],tblLecturas[Codigo],$A110)-_xlfn.MINIFS(tblLecturas[Horometro],tblLecturas[Codigo],$A110))/(MAX(1,_xlfn.MAXIFS(tblLecturas[Fecha],tblLecturas[Codigo],$A110)-_xlfn.MINIFS(tblLecturas[Fecha],tblLecturas[Codigo],$A110))),1)),"")</f>
        <v>114.1</v>
      </c>
      <c r="L110" s="20">
        <f>IFERROR(_xlfn.MAXIFS(tblLecturas[Fecha],tblLecturas[Codigo],$A110),"")</f>
        <v>46133</v>
      </c>
      <c r="M110" s="26">
        <f>IFERROR(_xlfn.MAXIFS(Lecturas!$C:$C,Lecturas!$B:$B,$A110,Lecturas!$C:$C,"&gt;0"),"")</f>
        <v>240293</v>
      </c>
      <c r="N110" s="78">
        <f>IFERROR(_xlfn.MAXIFS(tblLecturas[Kilometraje],tblLecturas[Codigo],$A110,tblLecturas[Kilometraje],"&gt;0"),"")</f>
        <v>242494</v>
      </c>
      <c r="O110" s="78" cm="1">
        <f t="array" ref="O110">IFERROR(IF($I110="KM",LOOKUP(2,1/(Lecturas!$B:$B=$A110)/(Lecturas!$D:$D&gt;0),Lecturas!$D:$D),LOOKUP(2,1/(Lecturas!$B:$B=$A110)/(Lecturas!$C:$C&gt;0),Lecturas!$C:$C)),"")</f>
        <v>242494</v>
      </c>
      <c r="P110" s="20">
        <f>IFERROR(_xlfn.MAXIFS(tblMantenciones[Fecha],tblMantenciones[Codigo],tblMaestroEquipos[[#This Row],[Codigo]],tblMantenciones[EsPM],"Sí"),"")</f>
        <v>46099</v>
      </c>
      <c r="Q110" s="78">
        <f>IF(_xlfn.MAXIFS(Mantenciones!$D:$D,Mantenciones!$B:$B,A110)=0,"Sin datos de mantención registrado",_xlfn.MAXIFS(Mantenciones!$D:$D,Mantenciones!$B:$B,A110))</f>
        <v>241448</v>
      </c>
      <c r="R110" s="18">
        <f>IFERROR(IF(_xlfn.MAXIFS(Mantenciones!$D:$D,Mantenciones!$B:$B,$A110,Mantenciones!$E:$E,"Sí",Mantenciones!$D:$D,"&gt;0")=0,"Sin datos de mantención registrado",_xlfn.MAXIFS(Mantenciones!$D:$D,Mantenciones!$B:$B,$A110,Mantenciones!$E:$E,"Sí",Mantenciones!$D:$D,"&gt;0")),"Sin datos de mantención registrado")</f>
        <v>241448</v>
      </c>
      <c r="S110" s="21">
        <f>IFERROR(SUMIFS(tblMantenciones[Costo Mantencion CLP],tblMantenciones[Codigo],tblMaestroEquipos[[#This Row],[Codigo]]),0)</f>
        <v>0</v>
      </c>
      <c r="T110" s="21">
        <f>IFERROR(SUMIFS(tblComprasPM[Costo PM CLP],tblComprasPM[Codigo],tblMaestroEquipos[[#This Row],[Codigo]]),0)</f>
        <v>0</v>
      </c>
      <c r="U110" s="21">
        <f>IFERROR(tblMaestroEquipos[[#This Row],[Costo Mantenciones CLP]]+tblMaestroEquipos[[#This Row],[Costo Compras PM CLP]],0)</f>
        <v>0</v>
      </c>
      <c r="V110" s="18" t="str">
        <f>IFERROR(_xlfn.XLOOKUP(tblMaestroEquipos[[#This Row],[Codigo]],tblEquipos[Codigo],tblEquipos[Estado Base]),"")</f>
        <v>Fuera de Servicio</v>
      </c>
      <c r="W110" s="18" t="str">
        <f t="shared" si="10"/>
        <v>FUERA DE SERVICIO</v>
      </c>
      <c r="X110" s="18">
        <f t="shared" si="11"/>
        <v>13954</v>
      </c>
      <c r="Y11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1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10" s="25" t="str">
        <f>IFERROR(IF(_xlfn.MAXIFS(tblBodega[Fecha],tblBodega[Codigo],tblMaestroEquipos[[#This Row],[Codigo]])=0,"",_xlfn.MAXIFS(tblBodega[Fecha],tblBodega[Codigo],tblMaestroEquipos[[#This Row],[Codigo]])),"")</f>
        <v/>
      </c>
      <c r="AB11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1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1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10" s="51" t="str">
        <f t="shared" si="9"/>
        <v>FUERA DE SERVICIO</v>
      </c>
      <c r="AF110" s="18" t="str">
        <f t="shared" si="12"/>
        <v>NO APLICA</v>
      </c>
      <c r="AG110" s="18" t="str">
        <f t="shared" si="13"/>
        <v>No programar compra</v>
      </c>
      <c r="AH110">
        <f t="shared" si="14"/>
        <v>0</v>
      </c>
      <c r="AI110" t="str">
        <f t="shared" si="15"/>
        <v/>
      </c>
      <c r="AJ110" s="24">
        <f t="shared" si="16"/>
        <v>99</v>
      </c>
    </row>
    <row r="111" spans="1:36">
      <c r="A111" s="18" t="s">
        <v>544</v>
      </c>
      <c r="B111" s="18" t="s">
        <v>459</v>
      </c>
      <c r="C111" s="18" t="s">
        <v>1074</v>
      </c>
      <c r="D111" s="18" t="s">
        <v>545</v>
      </c>
      <c r="E111" s="19" t="s">
        <v>546</v>
      </c>
      <c r="F111" s="18">
        <v>2023</v>
      </c>
      <c r="G111" s="18" t="str" cm="1">
        <f t="array" ref="G111">IFERROR(INDEX(Lecturas!$E$4:$E$3549,MATCH(1,(Lecturas!$B$4:$B$3549=$A111)*(Lecturas!$E$4:$E$3549&lt;&gt;"")*(Lecturas!$A$4:$A$3549=_xlfn.MAXIFS(Lecturas!$A$4:$A$3549,Lecturas!$B$4:$B$3549,$A111,Lecturas!$E$4:$E$3549,"&lt;&gt;")),0)),"")</f>
        <v/>
      </c>
      <c r="H111" s="18"/>
      <c r="I111" s="18" t="s">
        <v>462</v>
      </c>
      <c r="J111" s="18">
        <v>15000</v>
      </c>
      <c r="K111" s="18">
        <f>IFERROR(IF($I111="KM",ROUND((_xlfn.MAXIFS(tblLecturas[Kilometraje],tblLecturas[Codigo],$A111)-_xlfn.MINIFS(tblLecturas[Kilometraje],tblLecturas[Codigo],$A111))/(MAX(1,_xlfn.MAXIFS(tblLecturas[Fecha],tblLecturas[Codigo],$A111)-_xlfn.MINIFS(tblLecturas[Fecha],tblLecturas[Codigo],$A111))),1),ROUND((_xlfn.MAXIFS(tblLecturas[Horometro],tblLecturas[Codigo],$A111)-_xlfn.MINIFS(tblLecturas[Horometro],tblLecturas[Codigo],$A111))/(MAX(1,_xlfn.MAXIFS(tblLecturas[Fecha],tblLecturas[Codigo],$A111)-_xlfn.MINIFS(tblLecturas[Fecha],tblLecturas[Codigo],$A111))),1)),"")</f>
        <v>70.400000000000006</v>
      </c>
      <c r="L111" s="20">
        <f>IFERROR(_xlfn.MAXIFS(tblLecturas[Fecha],tblLecturas[Codigo],$A111),"")</f>
        <v>46085</v>
      </c>
      <c r="M111" s="26">
        <f>IFERROR(_xlfn.MAXIFS(Lecturas!$C:$C,Lecturas!$B:$B,$A111,Lecturas!$C:$C,"&gt;0"),"")</f>
        <v>0</v>
      </c>
      <c r="N111" s="78">
        <f>IFERROR(_xlfn.MAXIFS(tblLecturas[Kilometraje],tblLecturas[Codigo],$A111,tblLecturas[Kilometraje],"&gt;0"),"")</f>
        <v>34811</v>
      </c>
      <c r="O111" s="78" cm="1">
        <f t="array" ref="O111">IFERROR(IF($I111="KM",LOOKUP(2,1/(Lecturas!$B:$B=$A111)/(Lecturas!$D:$D&gt;0),Lecturas!$D:$D),LOOKUP(2,1/(Lecturas!$B:$B=$A111)/(Lecturas!$C:$C&gt;0),Lecturas!$C:$C)),"")</f>
        <v>34811</v>
      </c>
      <c r="P111" s="20">
        <f>IFERROR(_xlfn.MAXIFS(tblMantenciones[Fecha],tblMantenciones[Codigo],tblMaestroEquipos[[#This Row],[Codigo]],tblMantenciones[EsPM],"Sí"),"")</f>
        <v>46054</v>
      </c>
      <c r="Q111" s="78">
        <f>IF(_xlfn.MAXIFS(Mantenciones!$D:$D,Mantenciones!$B:$B,A111)=0,"Sin datos de mantención registrado",_xlfn.MAXIFS(Mantenciones!$D:$D,Mantenciones!$B:$B,A111))</f>
        <v>30000</v>
      </c>
      <c r="R111" s="18">
        <f>IFERROR(IF(_xlfn.MAXIFS(Mantenciones!$D:$D,Mantenciones!$B:$B,$A111,Mantenciones!$E:$E,"Sí",Mantenciones!$D:$D,"&gt;0")=0,"Sin datos de mantención registrado",_xlfn.MAXIFS(Mantenciones!$D:$D,Mantenciones!$B:$B,$A111,Mantenciones!$E:$E,"Sí",Mantenciones!$D:$D,"&gt;0")),"Sin datos de mantención registrado")</f>
        <v>30000</v>
      </c>
      <c r="S111" s="21">
        <f>IFERROR(SUMIFS(tblMantenciones[Costo Mantencion CLP],tblMantenciones[Codigo],A111),0)</f>
        <v>0</v>
      </c>
      <c r="T111" s="21">
        <f>IFERROR(SUMIFS(tblComprasPM[Costo PM CLP],tblComprasPM[Codigo],tblMaestroEquipos[[#This Row],[Codigo]]),0)</f>
        <v>0</v>
      </c>
      <c r="U111" s="21">
        <f>IFERROR(tblMaestroEquipos[[#This Row],[Costo Mantenciones CLP]]+tblMaestroEquipos[[#This Row],[Costo Compras PM CLP]],0)</f>
        <v>0</v>
      </c>
      <c r="V111" s="18" t="str">
        <f>IFERROR(_xlfn.XLOOKUP(tblMaestroEquipos[[#This Row],[Codigo]],tblEquipos[Codigo],tblEquipos[Estado Base]),"")</f>
        <v>Operativo</v>
      </c>
      <c r="W111" s="18" t="str">
        <f t="shared" si="10"/>
        <v>AL DÍA</v>
      </c>
      <c r="X111" s="18">
        <f t="shared" si="11"/>
        <v>10189</v>
      </c>
      <c r="Y111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56274</v>
      </c>
      <c r="Z111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11" s="25" t="str">
        <f>IFERROR(IF(_xlfn.MAXIFS(tblBodega[Fecha],tblBodega[Codigo],tblMaestroEquipos[[#This Row],[Codigo]])=0,"",_xlfn.MAXIFS(tblBodega[Fecha],tblBodega[Codigo],tblMaestroEquipos[[#This Row],[Codigo]])),"")</f>
        <v/>
      </c>
      <c r="AB111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1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1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11" s="51" t="str">
        <f t="shared" si="9"/>
        <v>OPERATIVO</v>
      </c>
      <c r="AF111" s="18" t="str">
        <f t="shared" si="12"/>
        <v>BAJA</v>
      </c>
      <c r="AG111" s="18" t="str">
        <f t="shared" si="13"/>
        <v>Monitorear próximo vencimiento</v>
      </c>
      <c r="AH111">
        <f t="shared" si="14"/>
        <v>0</v>
      </c>
      <c r="AI111" t="str">
        <f t="shared" si="15"/>
        <v/>
      </c>
      <c r="AJ111" s="24">
        <f t="shared" si="16"/>
        <v>99</v>
      </c>
    </row>
    <row r="112" spans="1:36">
      <c r="A112" s="18" t="s">
        <v>420</v>
      </c>
      <c r="B112" s="18" t="s">
        <v>259</v>
      </c>
      <c r="C112" s="18" t="s">
        <v>1070</v>
      </c>
      <c r="D112" s="18" t="s">
        <v>421</v>
      </c>
      <c r="E112" s="19" t="s">
        <v>422</v>
      </c>
      <c r="F112" s="18">
        <v>2019</v>
      </c>
      <c r="G112" s="18" t="str" cm="1">
        <f t="array" ref="G112">IFERROR(INDEX(Lecturas!$E$4:$E$3549,MATCH(1,(Lecturas!$B$4:$B$3549=$A112)*(Lecturas!$E$4:$E$3549&lt;&gt;"")*(Lecturas!$A$4:$A$3549=_xlfn.MAXIFS(Lecturas!$A$4:$A$3549,Lecturas!$B$4:$B$3549,$A112,Lecturas!$E$4:$E$3549,"&lt;&gt;")),0)),"")</f>
        <v>Cobquecura</v>
      </c>
      <c r="H112" s="18" t="s">
        <v>423</v>
      </c>
      <c r="I112" s="18" t="s">
        <v>18</v>
      </c>
      <c r="J112" s="18">
        <v>250</v>
      </c>
      <c r="K112" s="18">
        <f>IFERROR(IF($I112="KM",ROUND((_xlfn.MAXIFS(tblLecturas[Kilometraje],tblLecturas[Codigo],$A112)-_xlfn.MINIFS(tblLecturas[Kilometraje],tblLecturas[Codigo],$A112))/(MAX(1,_xlfn.MAXIFS(tblLecturas[Fecha],tblLecturas[Codigo],$A112)-_xlfn.MINIFS(tblLecturas[Fecha],tblLecturas[Codigo],$A112))),1),ROUND((_xlfn.MAXIFS(tblLecturas[Horometro],tblLecturas[Codigo],$A112)-_xlfn.MINIFS(tblLecturas[Horometro],tblLecturas[Codigo],$A112))/(MAX(1,_xlfn.MAXIFS(tblLecturas[Fecha],tblLecturas[Codigo],$A112)-_xlfn.MINIFS(tblLecturas[Fecha],tblLecturas[Codigo],$A112))),1)),"")</f>
        <v>3.3</v>
      </c>
      <c r="L112" s="20">
        <f>IFERROR(_xlfn.MAXIFS(tblLecturas[Fecha],tblLecturas[Codigo],$A112),"")</f>
        <v>46098</v>
      </c>
      <c r="M112" s="26">
        <f>IFERROR(_xlfn.MAXIFS(Lecturas!$C:$C,Lecturas!$B:$B,$A112,Lecturas!$C:$C,"&gt;0"),"")</f>
        <v>5765</v>
      </c>
      <c r="N112" s="78">
        <f>IFERROR(_xlfn.MAXIFS(tblLecturas[Kilometraje],tblLecturas[Codigo],$A112,tblLecturas[Kilometraje],"&gt;0"),"")</f>
        <v>0</v>
      </c>
      <c r="O112" s="78" cm="1">
        <f t="array" ref="O112">IFERROR(IF($I112="KM",LOOKUP(2,1/(Lecturas!$B:$B=$A112)/(Lecturas!$D:$D&gt;0),Lecturas!$D:$D),LOOKUP(2,1/(Lecturas!$B:$B=$A112)/(Lecturas!$C:$C&gt;0),Lecturas!$C:$C)),"")</f>
        <v>5765</v>
      </c>
      <c r="P112" s="20">
        <f>IFERROR(_xlfn.MAXIFS(tblMantenciones[Fecha],tblMantenciones[Codigo],tblMaestroEquipos[[#This Row],[Codigo]],tblMantenciones[EsPM],"Sí"),"")</f>
        <v>46125</v>
      </c>
      <c r="Q112" s="78">
        <f>IF(_xlfn.MAXIFS(Mantenciones!$D:$D,Mantenciones!$B:$B,A112)=0,"Sin datos de mantención registrado",_xlfn.MAXIFS(Mantenciones!$D:$D,Mantenciones!$B:$B,A112))</f>
        <v>5770</v>
      </c>
      <c r="R112" s="18">
        <f>IFERROR(IF(_xlfn.MAXIFS(Mantenciones!$D:$D,Mantenciones!$B:$B,$A112,Mantenciones!$E:$E,"Sí",Mantenciones!$D:$D,"&gt;0")=0,"Sin datos de mantención registrado",_xlfn.MAXIFS(Mantenciones!$D:$D,Mantenciones!$B:$B,$A112,Mantenciones!$E:$E,"Sí",Mantenciones!$D:$D,"&gt;0")),"Sin datos de mantención registrado")</f>
        <v>5770</v>
      </c>
      <c r="S112" s="21">
        <f>IFERROR(SUMIFS(tblMantenciones[Costo Mantencion CLP],tblMantenciones[Codigo],A112),0)</f>
        <v>0</v>
      </c>
      <c r="T112" s="21">
        <f>IFERROR(SUMIFS(tblComprasPM[Costo PM CLP],tblComprasPM[Codigo],tblMaestroEquipos[[#This Row],[Codigo]]),0)</f>
        <v>456581.58</v>
      </c>
      <c r="U112" s="21">
        <f>IFERROR(tblMaestroEquipos[[#This Row],[Costo Mantenciones CLP]]+tblMaestroEquipos[[#This Row],[Costo Compras PM CLP]],0)</f>
        <v>456581.58</v>
      </c>
      <c r="V112" s="18" t="str">
        <f>IFERROR(_xlfn.XLOOKUP(tblMaestroEquipos[[#This Row],[Codigo]],tblEquipos[Codigo],tblEquipos[Estado Base]),"")</f>
        <v>Operativo</v>
      </c>
      <c r="W112" s="18" t="str">
        <f t="shared" si="10"/>
        <v>AL DÍA</v>
      </c>
      <c r="X112" s="18">
        <f t="shared" si="11"/>
        <v>255</v>
      </c>
      <c r="Y112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46353</v>
      </c>
      <c r="Z112" s="25">
        <f>IFERROR(IF(_xlfn.MINIFS(tblComprasPM[Fecha],tblComprasPM[Codigo],tblMaestroEquipos[[#This Row],[Codigo]])=0,"",_xlfn.MINIFS(tblComprasPM[Fecha],tblComprasPM[Codigo],tblMaestroEquipos[[#This Row],[Codigo]])),"")</f>
        <v>46072.696969097196</v>
      </c>
      <c r="AA112" s="25">
        <f>IFERROR(IF(_xlfn.MAXIFS(tblBodega[Fecha],tblBodega[Codigo],tblMaestroEquipos[[#This Row],[Codigo]])=0,"",_xlfn.MAXIFS(tblBodega[Fecha],tblBodega[Codigo],tblMaestroEquipos[[#This Row],[Codigo]])),"")</f>
        <v>46077</v>
      </c>
      <c r="AB112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53</v>
      </c>
      <c r="AC112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48</v>
      </c>
      <c r="AD11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12" s="51" t="str">
        <f t="shared" si="9"/>
        <v>OPERATIVO</v>
      </c>
      <c r="AF112" s="18" t="str">
        <f t="shared" si="12"/>
        <v>BAJA</v>
      </c>
      <c r="AG112" s="18" t="str">
        <f t="shared" si="13"/>
        <v>Monitorear próximo vencimiento</v>
      </c>
      <c r="AH112">
        <f t="shared" si="14"/>
        <v>0</v>
      </c>
      <c r="AI112" t="str">
        <f t="shared" si="15"/>
        <v/>
      </c>
      <c r="AJ112" s="24">
        <f t="shared" si="16"/>
        <v>99</v>
      </c>
    </row>
    <row r="113" spans="1:36">
      <c r="A113" s="18" t="s">
        <v>234</v>
      </c>
      <c r="B113" s="18" t="s">
        <v>235</v>
      </c>
      <c r="C113" s="18" t="s">
        <v>1070</v>
      </c>
      <c r="D113" s="18" t="s">
        <v>236</v>
      </c>
      <c r="E113" s="19">
        <v>674</v>
      </c>
      <c r="F113" s="18">
        <v>2017</v>
      </c>
      <c r="G113" s="18" t="str" cm="1">
        <f t="array" ref="G113">IFERROR(INDEX(Lecturas!$E$4:$E$3549,MATCH(1,(Lecturas!$B$4:$B$3549=$A113)*(Lecturas!$E$4:$E$3549&lt;&gt;"")*(Lecturas!$A$4:$A$3549=_xlfn.MAXIFS(Lecturas!$A$4:$A$3549,Lecturas!$B$4:$B$3549,$A113,Lecturas!$E$4:$E$3549,"&lt;&gt;")),0)),"")</f>
        <v/>
      </c>
      <c r="H113" s="18" t="s">
        <v>237</v>
      </c>
      <c r="I113" s="18" t="s">
        <v>18</v>
      </c>
      <c r="J113" s="18">
        <v>250</v>
      </c>
      <c r="K113" s="18">
        <f>IFERROR(IF($I113="KM",ROUND((_xlfn.MAXIFS(tblLecturas[Kilometraje],tblLecturas[Codigo],$A113)-_xlfn.MINIFS(tblLecturas[Kilometraje],tblLecturas[Codigo],$A113))/(MAX(1,_xlfn.MAXIFS(tblLecturas[Fecha],tblLecturas[Codigo],$A113)-_xlfn.MINIFS(tblLecturas[Fecha],tblLecturas[Codigo],$A113))),1),ROUND((_xlfn.MAXIFS(tblLecturas[Horometro],tblLecturas[Codigo],$A113)-_xlfn.MINIFS(tblLecturas[Horometro],tblLecturas[Codigo],$A113))/(MAX(1,_xlfn.MAXIFS(tblLecturas[Fecha],tblLecturas[Codigo],$A113)-_xlfn.MINIFS(tblLecturas[Fecha],tblLecturas[Codigo],$A113))),1)),"")</f>
        <v>2</v>
      </c>
      <c r="L113" s="20">
        <f>IFERROR(_xlfn.MAXIFS(tblLecturas[Fecha],tblLecturas[Codigo],$A113),"")</f>
        <v>46107</v>
      </c>
      <c r="M113" s="26">
        <f>IFERROR(_xlfn.MAXIFS(Lecturas!$C:$C,Lecturas!$B:$B,$A113,Lecturas!$C:$C,"&gt;0"),"")</f>
        <v>2050</v>
      </c>
      <c r="N113" s="78">
        <f>IFERROR(_xlfn.MAXIFS(tblLecturas[Kilometraje],tblLecturas[Codigo],$A113,tblLecturas[Kilometraje],"&gt;0"),"")</f>
        <v>1884</v>
      </c>
      <c r="O113" s="78" cm="1">
        <f t="array" ref="O113">IFERROR(IF($I113="KM",LOOKUP(2,1/(Lecturas!$B:$B=$A113)/(Lecturas!$D:$D&gt;0),Lecturas!$D:$D),LOOKUP(2,1/(Lecturas!$B:$B=$A113)/(Lecturas!$C:$C&gt;0),Lecturas!$C:$C)),"")</f>
        <v>2050</v>
      </c>
      <c r="P113" s="20">
        <f>IFERROR(_xlfn.MAXIFS(tblMantenciones[Fecha],tblMantenciones[Codigo],tblMaestroEquipos[[#This Row],[Codigo]],tblMantenciones[EsPM],"Sí"),"")</f>
        <v>46107</v>
      </c>
      <c r="Q113" s="78">
        <f>IF(_xlfn.MAXIFS(Mantenciones!$D:$D,Mantenciones!$B:$B,A113)=0,"Sin datos de mantención registrado",_xlfn.MAXIFS(Mantenciones!$D:$D,Mantenciones!$B:$B,A113))</f>
        <v>2050</v>
      </c>
      <c r="R113" s="18">
        <f>IFERROR(IF(_xlfn.MAXIFS(Mantenciones!$D:$D,Mantenciones!$B:$B,$A113,Mantenciones!$E:$E,"Sí",Mantenciones!$D:$D,"&gt;0")=0,"Sin datos de mantención registrado",_xlfn.MAXIFS(Mantenciones!$D:$D,Mantenciones!$B:$B,$A113,Mantenciones!$E:$E,"Sí",Mantenciones!$D:$D,"&gt;0")),"Sin datos de mantención registrado")</f>
        <v>2050</v>
      </c>
      <c r="S113" s="21">
        <f>IFERROR(SUMIFS(tblMantenciones[Costo Mantencion CLP],tblMantenciones[Codigo],A113),0)</f>
        <v>0</v>
      </c>
      <c r="T113" s="21">
        <f>IFERROR(SUMIFS(tblComprasPM[Costo PM CLP],tblComprasPM[Codigo],tblMaestroEquipos[[#This Row],[Codigo]]),0)</f>
        <v>0</v>
      </c>
      <c r="U113" s="21">
        <f>IFERROR(tblMaestroEquipos[[#This Row],[Costo Mantenciones CLP]]+tblMaestroEquipos[[#This Row],[Costo Compras PM CLP]],0)</f>
        <v>0</v>
      </c>
      <c r="V113" s="18" t="str">
        <f>IFERROR(_xlfn.XLOOKUP(tblMaestroEquipos[[#This Row],[Codigo]],tblEquipos[Codigo],tblEquipos[Estado Base]),"")</f>
        <v>Operativo</v>
      </c>
      <c r="W113" s="18" t="str">
        <f t="shared" si="10"/>
        <v>AL DÍA</v>
      </c>
      <c r="X113" s="18">
        <f t="shared" si="11"/>
        <v>250</v>
      </c>
      <c r="Y11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46357</v>
      </c>
      <c r="Z113" s="25">
        <f>IFERROR(IF(_xlfn.MINIFS(tblComprasPM[Fecha],tblComprasPM[Codigo],tblMaestroEquipos[[#This Row],[Codigo]])=0,"",_xlfn.MINIFS(tblComprasPM[Fecha],tblComprasPM[Codigo],tblMaestroEquipos[[#This Row],[Codigo]])),"")</f>
        <v>46113</v>
      </c>
      <c r="AA113" s="25">
        <f>IFERROR(IF(_xlfn.MAXIFS(tblBodega[Fecha],tblBodega[Codigo],tblMaestroEquipos[[#This Row],[Codigo]])=0,"",_xlfn.MAXIFS(tblBodega[Fecha],tblBodega[Codigo],tblMaestroEquipos[[#This Row],[Codigo]])),"")</f>
        <v>46105</v>
      </c>
      <c r="AB11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13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2</v>
      </c>
      <c r="AD11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13" s="51" t="str">
        <f t="shared" si="9"/>
        <v>OPERATIVO</v>
      </c>
      <c r="AF113" s="18" t="str">
        <f t="shared" si="12"/>
        <v>BAJA</v>
      </c>
      <c r="AG113" s="18" t="str">
        <f t="shared" si="13"/>
        <v>Monitorear próximo vencimiento</v>
      </c>
      <c r="AH113">
        <f t="shared" si="14"/>
        <v>0</v>
      </c>
      <c r="AI113" t="str">
        <f t="shared" si="15"/>
        <v/>
      </c>
      <c r="AJ113" s="24">
        <f t="shared" si="16"/>
        <v>99</v>
      </c>
    </row>
    <row r="114" spans="1:36">
      <c r="A114" s="18" t="s">
        <v>628</v>
      </c>
      <c r="B114" s="18" t="s">
        <v>459</v>
      </c>
      <c r="C114" s="18" t="s">
        <v>1074</v>
      </c>
      <c r="D114" s="18" t="s">
        <v>99</v>
      </c>
      <c r="E114" s="19" t="s">
        <v>566</v>
      </c>
      <c r="F114" s="18">
        <v>2023</v>
      </c>
      <c r="G114" s="18" t="str" cm="1">
        <f t="array" ref="G114">IFERROR(INDEX(Lecturas!$E$4:$E$3549,MATCH(1,(Lecturas!$B$4:$B$3549=$A114)*(Lecturas!$E$4:$E$3549&lt;&gt;"")*(Lecturas!$A$4:$A$3549=_xlfn.MAXIFS(Lecturas!$A$4:$A$3549,Lecturas!$B$4:$B$3549,$A114,Lecturas!$E$4:$E$3549,"&lt;&gt;")),0)),"")</f>
        <v>Palmucho</v>
      </c>
      <c r="H114" s="18" t="s">
        <v>1081</v>
      </c>
      <c r="I114" s="18" t="s">
        <v>462</v>
      </c>
      <c r="J114" s="18">
        <v>15000</v>
      </c>
      <c r="K114" s="18">
        <f>IFERROR(IF($I114="KM",ROUND((_xlfn.MAXIFS(tblLecturas[Kilometraje],tblLecturas[Codigo],$A114)-_xlfn.MINIFS(tblLecturas[Kilometraje],tblLecturas[Codigo],$A114))/(MAX(1,_xlfn.MAXIFS(tblLecturas[Fecha],tblLecturas[Codigo],$A114)-_xlfn.MINIFS(tblLecturas[Fecha],tblLecturas[Codigo],$A114))),1),ROUND((_xlfn.MAXIFS(tblLecturas[Horometro],tblLecturas[Codigo],$A114)-_xlfn.MINIFS(tblLecturas[Horometro],tblLecturas[Codigo],$A114))/(MAX(1,_xlfn.MAXIFS(tblLecturas[Fecha],tblLecturas[Codigo],$A114)-_xlfn.MINIFS(tblLecturas[Fecha],tblLecturas[Codigo],$A114))),1)),"")</f>
        <v>114.8</v>
      </c>
      <c r="L114" s="20">
        <f>IFERROR(_xlfn.MAXIFS(tblLecturas[Fecha],tblLecturas[Codigo],$A114),"")</f>
        <v>46104</v>
      </c>
      <c r="M114" s="26">
        <f>IFERROR(_xlfn.MAXIFS(Lecturas!$C:$C,Lecturas!$B:$B,$A114,Lecturas!$C:$C,"&gt;0"),"")</f>
        <v>0</v>
      </c>
      <c r="N114" s="78">
        <f>IFERROR(_xlfn.MAXIFS(tblLecturas[Kilometraje],tblLecturas[Codigo],$A114,tblLecturas[Kilometraje],"&gt;0"),"")</f>
        <v>93964</v>
      </c>
      <c r="O114" s="78" cm="1">
        <f t="array" ref="O114">IFERROR(IF($I114="KM",LOOKUP(2,1/(Lecturas!$B:$B=$A114)/(Lecturas!$D:$D&gt;0),Lecturas!$D:$D),LOOKUP(2,1/(Lecturas!$B:$B=$A114)/(Lecturas!$C:$C&gt;0),Lecturas!$C:$C)),"")</f>
        <v>93964</v>
      </c>
      <c r="P114" s="20">
        <f>IFERROR(_xlfn.MAXIFS(tblMantenciones[Fecha],tblMantenciones[Codigo],tblMaestroEquipos[[#This Row],[Codigo]],tblMantenciones[EsPM],"Sí"),"")</f>
        <v>46101</v>
      </c>
      <c r="Q114" s="78">
        <f>IF(_xlfn.MAXIFS(Mantenciones!$D:$D,Mantenciones!$B:$B,A114)=0,"Sin datos de mantención registrado",_xlfn.MAXIFS(Mantenciones!$D:$D,Mantenciones!$B:$B,A114))</f>
        <v>92994</v>
      </c>
      <c r="R114" s="18">
        <f>IFERROR(IF(_xlfn.MAXIFS(Mantenciones!$D:$D,Mantenciones!$B:$B,$A114,Mantenciones!$E:$E,"Sí",Mantenciones!$D:$D,"&gt;0")=0,"Sin datos de mantención registrado",_xlfn.MAXIFS(Mantenciones!$D:$D,Mantenciones!$B:$B,$A114,Mantenciones!$E:$E,"Sí",Mantenciones!$D:$D,"&gt;0")),"Sin datos de mantención registrado")</f>
        <v>92994</v>
      </c>
      <c r="S114" s="21">
        <f>IFERROR(SUMIFS(tblMantenciones[Costo Mantencion CLP],tblMantenciones[Codigo],tblMaestroEquipos[[#This Row],[Codigo]]),0)</f>
        <v>0</v>
      </c>
      <c r="T114" s="21">
        <f>IFERROR(SUMIFS(tblComprasPM[Costo PM CLP],tblComprasPM[Codigo],tblMaestroEquipos[[#This Row],[Codigo]]),0)</f>
        <v>24499.97</v>
      </c>
      <c r="U114" s="21">
        <f>IFERROR(tblMaestroEquipos[[#This Row],[Costo Mantenciones CLP]]+tblMaestroEquipos[[#This Row],[Costo Compras PM CLP]],0)</f>
        <v>24499.97</v>
      </c>
      <c r="V114" s="18" t="str">
        <f>IFERROR(_xlfn.XLOOKUP(tblMaestroEquipos[[#This Row],[Codigo]],tblEquipos[Codigo],tblEquipos[Estado Base]),"")</f>
        <v>Operativo</v>
      </c>
      <c r="W114" s="18" t="str">
        <f t="shared" si="10"/>
        <v>AL DÍA</v>
      </c>
      <c r="X114" s="18">
        <f t="shared" si="11"/>
        <v>14030</v>
      </c>
      <c r="Y114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60134</v>
      </c>
      <c r="Z114" s="25">
        <f>IFERROR(IF(_xlfn.MINIFS(tblComprasPM[Fecha],tblComprasPM[Codigo],tblMaestroEquipos[[#This Row],[Codigo]])=0,"",_xlfn.MINIFS(tblComprasPM[Fecha],tblComprasPM[Codigo],tblMaestroEquipos[[#This Row],[Codigo]])),"")</f>
        <v>46127</v>
      </c>
      <c r="AA114" s="25">
        <f>IFERROR(IF(_xlfn.MAXIFS(tblBodega[Fecha],tblBodega[Codigo],tblMaestroEquipos[[#This Row],[Codigo]])=0,"",_xlfn.MAXIFS(tblBodega[Fecha],tblBodega[Codigo],tblMaestroEquipos[[#This Row],[Codigo]])),"")</f>
        <v>46101</v>
      </c>
      <c r="AB114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1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1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14" s="51" t="str">
        <f t="shared" si="9"/>
        <v>OPERATIVO</v>
      </c>
      <c r="AF114" s="18" t="str">
        <f t="shared" si="12"/>
        <v>BAJA</v>
      </c>
      <c r="AG114" s="18" t="str">
        <f t="shared" si="13"/>
        <v>Monitorear próximo vencimiento</v>
      </c>
      <c r="AH114">
        <f t="shared" si="14"/>
        <v>0</v>
      </c>
      <c r="AI114" t="str">
        <f t="shared" si="15"/>
        <v/>
      </c>
      <c r="AJ114" s="24">
        <f t="shared" si="16"/>
        <v>99</v>
      </c>
    </row>
    <row r="115" spans="1:36">
      <c r="A115" s="18" t="s">
        <v>481</v>
      </c>
      <c r="B115" s="18" t="s">
        <v>459</v>
      </c>
      <c r="C115" s="18" t="s">
        <v>1074</v>
      </c>
      <c r="D115" s="18" t="s">
        <v>482</v>
      </c>
      <c r="E115" s="19" t="s">
        <v>483</v>
      </c>
      <c r="F115" s="18">
        <v>2024</v>
      </c>
      <c r="G115" s="18" t="str" cm="1">
        <f t="array" ref="G115">IFERROR(INDEX(Lecturas!$E$4:$E$3549,MATCH(1,(Lecturas!$B$4:$B$3549=$A115)*(Lecturas!$E$4:$E$3549&lt;&gt;"")*(Lecturas!$A$4:$A$3549=_xlfn.MAXIFS(Lecturas!$A$4:$A$3549,Lecturas!$B$4:$B$3549,$A115,Lecturas!$E$4:$E$3549,"&lt;&gt;")),0)),"")</f>
        <v/>
      </c>
      <c r="H115" s="18" t="s">
        <v>484</v>
      </c>
      <c r="I115" s="18" t="s">
        <v>462</v>
      </c>
      <c r="J115" s="18">
        <v>15000</v>
      </c>
      <c r="K115" s="18">
        <f>IFERROR(IF($I115="KM",ROUND((_xlfn.MAXIFS(tblLecturas[Kilometraje],tblLecturas[Codigo],$A115)-_xlfn.MINIFS(tblLecturas[Kilometraje],tblLecturas[Codigo],$A115))/(MAX(1,_xlfn.MAXIFS(tblLecturas[Fecha],tblLecturas[Codigo],$A115)-_xlfn.MINIFS(tblLecturas[Fecha],tblLecturas[Codigo],$A115))),1),ROUND((_xlfn.MAXIFS(tblLecturas[Horometro],tblLecturas[Codigo],$A115)-_xlfn.MINIFS(tblLecturas[Horometro],tblLecturas[Codigo],$A115))/(MAX(1,_xlfn.MAXIFS(tblLecturas[Fecha],tblLecturas[Codigo],$A115)-_xlfn.MINIFS(tblLecturas[Fecha],tblLecturas[Codigo],$A115))),1)),"")</f>
        <v>107.2</v>
      </c>
      <c r="L115" s="20">
        <f>IFERROR(_xlfn.MAXIFS(tblLecturas[Fecha],tblLecturas[Codigo],$A115),"")</f>
        <v>46133</v>
      </c>
      <c r="M115" s="26">
        <f>IFERROR(_xlfn.MAXIFS(Lecturas!$C:$C,Lecturas!$B:$B,$A115,Lecturas!$C:$C,"&gt;0"),"")</f>
        <v>0</v>
      </c>
      <c r="N115" s="78">
        <f>IFERROR(_xlfn.MAXIFS(tblLecturas[Kilometraje],tblLecturas[Codigo],$A115,tblLecturas[Kilometraje],"&gt;0"),"")</f>
        <v>82711</v>
      </c>
      <c r="O115" s="78" cm="1">
        <f t="array" ref="O115">IFERROR(IF($I115="KM",LOOKUP(2,1/(Lecturas!$B:$B=$A115)/(Lecturas!$D:$D&gt;0),Lecturas!$D:$D),LOOKUP(2,1/(Lecturas!$B:$B=$A115)/(Lecturas!$C:$C&gt;0),Lecturas!$C:$C)),"")</f>
        <v>82711</v>
      </c>
      <c r="P115" s="20">
        <f>IFERROR(_xlfn.MAXIFS(tblMantenciones[Fecha],tblMantenciones[Codigo],tblMaestroEquipos[[#This Row],[Codigo]],tblMantenciones[EsPM],"Sí"),"")</f>
        <v>46086</v>
      </c>
      <c r="Q115" s="78">
        <f>IF(_xlfn.MAXIFS(Mantenciones!$D:$D,Mantenciones!$B:$B,A115)=0,"Sin datos de mantención registrado",_xlfn.MAXIFS(Mantenciones!$D:$D,Mantenciones!$B:$B,A115))</f>
        <v>75400</v>
      </c>
      <c r="R115" s="18">
        <f>IFERROR(IF(_xlfn.MAXIFS(Mantenciones!$D:$D,Mantenciones!$B:$B,$A115,Mantenciones!$E:$E,"Sí",Mantenciones!$D:$D,"&gt;0")=0,"Sin datos de mantención registrado",_xlfn.MAXIFS(Mantenciones!$D:$D,Mantenciones!$B:$B,$A115,Mantenciones!$E:$E,"Sí",Mantenciones!$D:$D,"&gt;0")),"Sin datos de mantención registrado")</f>
        <v>75400</v>
      </c>
      <c r="S115" s="21">
        <f>IFERROR(SUMIFS(tblMantenciones[Costo Mantencion CLP],tblMantenciones[Codigo],A115),0)</f>
        <v>425505</v>
      </c>
      <c r="T115" s="21">
        <f>IFERROR(SUMIFS(tblComprasPM[Costo PM CLP],tblComprasPM[Codigo],tblMaestroEquipos[[#This Row],[Codigo]]),0)</f>
        <v>0</v>
      </c>
      <c r="U115" s="21">
        <f>IFERROR(tblMaestroEquipos[[#This Row],[Costo Mantenciones CLP]]+tblMaestroEquipos[[#This Row],[Costo Compras PM CLP]],0)</f>
        <v>425505</v>
      </c>
      <c r="V115" s="18" t="str">
        <f>IFERROR(_xlfn.XLOOKUP(tblMaestroEquipos[[#This Row],[Codigo]],tblEquipos[Codigo],tblEquipos[Estado Base]),"")</f>
        <v>Operativo</v>
      </c>
      <c r="W115" s="18" t="str">
        <f t="shared" si="10"/>
        <v>AL DÍA</v>
      </c>
      <c r="X115" s="18">
        <f t="shared" si="11"/>
        <v>7689</v>
      </c>
      <c r="Y11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53822</v>
      </c>
      <c r="Z11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15" s="25" t="str">
        <f>IFERROR(IF(_xlfn.MAXIFS(tblBodega[Fecha],tblBodega[Codigo],tblMaestroEquipos[[#This Row],[Codigo]])=0,"",_xlfn.MAXIFS(tblBodega[Fecha],tblBodega[Codigo],tblMaestroEquipos[[#This Row],[Codigo]])),"")</f>
        <v/>
      </c>
      <c r="AB11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1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1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15" s="51" t="str">
        <f t="shared" si="9"/>
        <v>OPERATIVO</v>
      </c>
      <c r="AF115" s="18" t="str">
        <f t="shared" si="12"/>
        <v>BAJA</v>
      </c>
      <c r="AG115" s="18" t="str">
        <f t="shared" si="13"/>
        <v>Monitorear próximo vencimiento</v>
      </c>
      <c r="AH115">
        <f t="shared" si="14"/>
        <v>0</v>
      </c>
      <c r="AI115" t="str">
        <f t="shared" si="15"/>
        <v/>
      </c>
      <c r="AJ115" s="24">
        <f t="shared" si="16"/>
        <v>99</v>
      </c>
    </row>
    <row r="116" spans="1:36">
      <c r="A116" s="18" t="s">
        <v>528</v>
      </c>
      <c r="B116" s="18" t="s">
        <v>459</v>
      </c>
      <c r="C116" s="18" t="s">
        <v>1074</v>
      </c>
      <c r="D116" s="18" t="s">
        <v>99</v>
      </c>
      <c r="E116" s="19" t="s">
        <v>524</v>
      </c>
      <c r="F116" s="18">
        <v>2025</v>
      </c>
      <c r="G116" s="18" t="str" cm="1">
        <f t="array" ref="G116">IFERROR(INDEX(Lecturas!$E$4:$E$3549,MATCH(1,(Lecturas!$B$4:$B$3549=$A116)*(Lecturas!$E$4:$E$3549&lt;&gt;"")*(Lecturas!$A$4:$A$3549=_xlfn.MAXIFS(Lecturas!$A$4:$A$3549,Lecturas!$B$4:$B$3549,$A116,Lecturas!$E$4:$E$3549,"&lt;&gt;")),0)),"")</f>
        <v>San Carlos</v>
      </c>
      <c r="H116" s="18" t="s">
        <v>532</v>
      </c>
      <c r="I116" s="18" t="s">
        <v>462</v>
      </c>
      <c r="J116" s="18">
        <v>15000</v>
      </c>
      <c r="K116" s="18">
        <f>IFERROR(IF($I116="KM",ROUND((_xlfn.MAXIFS(tblLecturas[Kilometraje],tblLecturas[Codigo],$A116)-_xlfn.MINIFS(tblLecturas[Kilometraje],tblLecturas[Codigo],$A116))/(MAX(1,_xlfn.MAXIFS(tblLecturas[Fecha],tblLecturas[Codigo],$A116)-_xlfn.MINIFS(tblLecturas[Fecha],tblLecturas[Codigo],$A116))),1),ROUND((_xlfn.MAXIFS(tblLecturas[Horometro],tblLecturas[Codigo],$A116)-_xlfn.MINIFS(tblLecturas[Horometro],tblLecturas[Codigo],$A116))/(MAX(1,_xlfn.MAXIFS(tblLecturas[Fecha],tblLecturas[Codigo],$A116)-_xlfn.MINIFS(tblLecturas[Fecha],tblLecturas[Codigo],$A116))),1)),"")</f>
        <v>142.80000000000001</v>
      </c>
      <c r="L116" s="20">
        <f>IFERROR(_xlfn.MAXIFS(tblLecturas[Fecha],tblLecturas[Codigo],$A116),"")</f>
        <v>46136</v>
      </c>
      <c r="M116" s="26">
        <f>IFERROR(_xlfn.MAXIFS(Lecturas!$C:$C,Lecturas!$B:$B,$A116,Lecturas!$C:$C,"&gt;0"),"")</f>
        <v>0</v>
      </c>
      <c r="N116" s="78">
        <f>IFERROR(_xlfn.MAXIFS(tblLecturas[Kilometraje],tblLecturas[Codigo],$A116,tblLecturas[Kilometraje],"&gt;0"),"")</f>
        <v>74968</v>
      </c>
      <c r="O116" s="78" cm="1">
        <f t="array" ref="O116">IFERROR(IF($I116="KM",LOOKUP(2,1/(Lecturas!$B:$B=$A116)/(Lecturas!$D:$D&gt;0),Lecturas!$D:$D),LOOKUP(2,1/(Lecturas!$B:$B=$A116)/(Lecturas!$C:$C&gt;0),Lecturas!$C:$C)),"")</f>
        <v>74968</v>
      </c>
      <c r="P116" s="20">
        <f>IFERROR(_xlfn.MAXIFS(tblMantenciones[Fecha],tblMantenciones[Codigo],tblMaestroEquipos[[#This Row],[Codigo]],tblMantenciones[EsPM],"Sí"),"")</f>
        <v>46121</v>
      </c>
      <c r="Q116" s="78">
        <f>IF(_xlfn.MAXIFS(Mantenciones!$D:$D,Mantenciones!$B:$B,A116)=0,"Sin datos de mantención registrado",_xlfn.MAXIFS(Mantenciones!$D:$D,Mantenciones!$B:$B,A116))</f>
        <v>72423</v>
      </c>
      <c r="R116" s="18">
        <f>IFERROR(IF(_xlfn.MAXIFS(Mantenciones!$D:$D,Mantenciones!$B:$B,$A116,Mantenciones!$E:$E,"Sí",Mantenciones!$D:$D,"&gt;0")=0,"Sin datos de mantención registrado",_xlfn.MAXIFS(Mantenciones!$D:$D,Mantenciones!$B:$B,$A116,Mantenciones!$E:$E,"Sí",Mantenciones!$D:$D,"&gt;0")),"Sin datos de mantención registrado")</f>
        <v>72423</v>
      </c>
      <c r="S116" s="21">
        <f>IFERROR(SUMIFS(tblMantenciones[Costo Mantencion CLP],tblMantenciones[Codigo],A116),0)</f>
        <v>607478</v>
      </c>
      <c r="T116" s="21">
        <f>IFERROR(SUMIFS(tblComprasPM[Costo PM CLP],tblComprasPM[Codigo],tblMaestroEquipos[[#This Row],[Codigo]]),0)</f>
        <v>0</v>
      </c>
      <c r="U116" s="21">
        <f>IFERROR(tblMaestroEquipos[[#This Row],[Costo Mantenciones CLP]]+tblMaestroEquipos[[#This Row],[Costo Compras PM CLP]],0)</f>
        <v>607478</v>
      </c>
      <c r="V116" s="18" t="str">
        <f>IFERROR(_xlfn.XLOOKUP(tblMaestroEquipos[[#This Row],[Codigo]],tblEquipos[Codigo],tblEquipos[Estado Base]),"")</f>
        <v>Operativo</v>
      </c>
      <c r="W116" s="18" t="str">
        <f t="shared" si="10"/>
        <v>AL DÍA</v>
      </c>
      <c r="X116" s="18">
        <f t="shared" si="11"/>
        <v>12455</v>
      </c>
      <c r="Y116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58591</v>
      </c>
      <c r="Z11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16" s="25" t="str">
        <f>IFERROR(IF(_xlfn.MAXIFS(tblBodega[Fecha],tblBodega[Codigo],tblMaestroEquipos[[#This Row],[Codigo]])=0,"",_xlfn.MAXIFS(tblBodega[Fecha],tblBodega[Codigo],tblMaestroEquipos[[#This Row],[Codigo]])),"")</f>
        <v/>
      </c>
      <c r="AB11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1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1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16" s="51" t="str">
        <f t="shared" si="9"/>
        <v>OPERATIVO</v>
      </c>
      <c r="AF116" s="18" t="str">
        <f t="shared" si="12"/>
        <v>BAJA</v>
      </c>
      <c r="AG116" s="18" t="str">
        <f t="shared" si="13"/>
        <v>Monitorear próximo vencimiento</v>
      </c>
      <c r="AH116">
        <f t="shared" si="14"/>
        <v>0</v>
      </c>
      <c r="AI116" t="str">
        <f t="shared" si="15"/>
        <v/>
      </c>
      <c r="AJ116" s="24">
        <f t="shared" si="16"/>
        <v>99</v>
      </c>
    </row>
    <row r="117" spans="1:36">
      <c r="A117" s="18" t="s">
        <v>547</v>
      </c>
      <c r="B117" s="18" t="s">
        <v>459</v>
      </c>
      <c r="C117" s="18" t="s">
        <v>1074</v>
      </c>
      <c r="D117" s="18" t="s">
        <v>99</v>
      </c>
      <c r="E117" s="19" t="s">
        <v>460</v>
      </c>
      <c r="F117" s="18">
        <v>2026</v>
      </c>
      <c r="G117" s="18" t="str" cm="1">
        <f t="array" ref="G117">IFERROR(INDEX(Lecturas!$E$4:$E$3549,MATCH(1,(Lecturas!$B$4:$B$3549=$A117)*(Lecturas!$E$4:$E$3549&lt;&gt;"")*(Lecturas!$A$4:$A$3549=_xlfn.MAXIFS(Lecturas!$A$4:$A$3549,Lecturas!$B$4:$B$3549,$A117,Lecturas!$E$4:$E$3549,"&lt;&gt;")),0)),"")</f>
        <v/>
      </c>
      <c r="H117" s="18"/>
      <c r="I117" s="18" t="s">
        <v>462</v>
      </c>
      <c r="J117" s="18">
        <v>15000</v>
      </c>
      <c r="K117" s="18">
        <f>IFERROR(IF($I117="KM",ROUND((_xlfn.MAXIFS(tblLecturas[Kilometraje],tblLecturas[Codigo],$A117)-_xlfn.MINIFS(tblLecturas[Kilometraje],tblLecturas[Codigo],$A117))/(MAX(1,_xlfn.MAXIFS(tblLecturas[Fecha],tblLecturas[Codigo],$A117)-_xlfn.MINIFS(tblLecturas[Fecha],tblLecturas[Codigo],$A117))),1),ROUND((_xlfn.MAXIFS(tblLecturas[Horometro],tblLecturas[Codigo],$A117)-_xlfn.MINIFS(tblLecturas[Horometro],tblLecturas[Codigo],$A117))/(MAX(1,_xlfn.MAXIFS(tblLecturas[Fecha],tblLecturas[Codigo],$A117)-_xlfn.MINIFS(tblLecturas[Fecha],tblLecturas[Codigo],$A117))),1)),"")</f>
        <v>143.6</v>
      </c>
      <c r="L117" s="20">
        <f>IFERROR(_xlfn.MAXIFS(tblLecturas[Fecha],tblLecturas[Codigo],$A117),"")</f>
        <v>46133</v>
      </c>
      <c r="M117" s="26">
        <f>IFERROR(_xlfn.MAXIFS(Lecturas!$C:$C,Lecturas!$B:$B,$A117,Lecturas!$C:$C,"&gt;0"),"")</f>
        <v>0</v>
      </c>
      <c r="N117" s="78">
        <f>IFERROR(_xlfn.MAXIFS(tblLecturas[Kilometraje],tblLecturas[Codigo],$A117,tblLecturas[Kilometraje],"&gt;0"),"")</f>
        <v>22731</v>
      </c>
      <c r="O117" s="78" cm="1">
        <f t="array" ref="O117">IFERROR(IF($I117="KM",LOOKUP(2,1/(Lecturas!$B:$B=$A117)/(Lecturas!$D:$D&gt;0),Lecturas!$D:$D),LOOKUP(2,1/(Lecturas!$B:$B=$A117)/(Lecturas!$C:$C&gt;0),Lecturas!$C:$C)),"")</f>
        <v>22731</v>
      </c>
      <c r="P117" s="20">
        <f>IFERROR(_xlfn.MAXIFS(tblMantenciones[Fecha],tblMantenciones[Codigo],tblMaestroEquipos[[#This Row],[Codigo]],tblMantenciones[EsPM],"Sí"),"")</f>
        <v>46121</v>
      </c>
      <c r="Q117" s="78">
        <f>IF(_xlfn.MAXIFS(Mantenciones!$D:$D,Mantenciones!$B:$B,A117)=0,"Sin datos de mantención registrado",_xlfn.MAXIFS(Mantenciones!$D:$D,Mantenciones!$B:$B,A117))</f>
        <v>21224</v>
      </c>
      <c r="R117" s="18">
        <f>IFERROR(IF(_xlfn.MAXIFS(Mantenciones!$D:$D,Mantenciones!$B:$B,$A117,Mantenciones!$E:$E,"Sí",Mantenciones!$D:$D,"&gt;0")=0,"Sin datos de mantención registrado",_xlfn.MAXIFS(Mantenciones!$D:$D,Mantenciones!$B:$B,$A117,Mantenciones!$E:$E,"Sí",Mantenciones!$D:$D,"&gt;0")),"Sin datos de mantención registrado")</f>
        <v>21224</v>
      </c>
      <c r="S117" s="21">
        <f>IFERROR(SUMIFS(tblMantenciones[Costo Mantencion CLP],tblMantenciones[Codigo],A117),0)</f>
        <v>499644</v>
      </c>
      <c r="T117" s="21">
        <f>IFERROR(SUMIFS(tblComprasPM[Costo PM CLP],tblComprasPM[Codigo],tblMaestroEquipos[[#This Row],[Codigo]]),0)</f>
        <v>0</v>
      </c>
      <c r="U117" s="21">
        <f>IFERROR(tblMaestroEquipos[[#This Row],[Costo Mantenciones CLP]]+tblMaestroEquipos[[#This Row],[Costo Compras PM CLP]],0)</f>
        <v>499644</v>
      </c>
      <c r="V117" s="18" t="str">
        <f>IFERROR(_xlfn.XLOOKUP(tblMaestroEquipos[[#This Row],[Codigo]],tblEquipos[Codigo],tblEquipos[Estado Base]),"")</f>
        <v>Operativo</v>
      </c>
      <c r="W117" s="18" t="str">
        <f t="shared" si="10"/>
        <v>AL DÍA</v>
      </c>
      <c r="X117" s="18">
        <f t="shared" si="11"/>
        <v>13493</v>
      </c>
      <c r="Y117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59626</v>
      </c>
      <c r="Z11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17" s="25" t="str">
        <f>IFERROR(IF(_xlfn.MAXIFS(tblBodega[Fecha],tblBodega[Codigo],tblMaestroEquipos[[#This Row],[Codigo]])=0,"",_xlfn.MAXIFS(tblBodega[Fecha],tblBodega[Codigo],tblMaestroEquipos[[#This Row],[Codigo]])),"")</f>
        <v/>
      </c>
      <c r="AB11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1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1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17" s="51" t="str">
        <f t="shared" si="9"/>
        <v>OPERATIVO</v>
      </c>
      <c r="AF117" s="18" t="str">
        <f t="shared" si="12"/>
        <v>BAJA</v>
      </c>
      <c r="AG117" s="18" t="str">
        <f t="shared" si="13"/>
        <v>Monitorear próximo vencimiento</v>
      </c>
      <c r="AH117">
        <f t="shared" si="14"/>
        <v>0</v>
      </c>
      <c r="AI117" t="str">
        <f t="shared" si="15"/>
        <v/>
      </c>
      <c r="AJ117" s="24">
        <f t="shared" si="16"/>
        <v>99</v>
      </c>
    </row>
    <row r="118" spans="1:36">
      <c r="A118" s="18" t="s">
        <v>620</v>
      </c>
      <c r="B118" s="18" t="s">
        <v>459</v>
      </c>
      <c r="C118" s="18" t="s">
        <v>1074</v>
      </c>
      <c r="D118" s="18" t="s">
        <v>99</v>
      </c>
      <c r="E118" s="19" t="s">
        <v>566</v>
      </c>
      <c r="F118" s="18">
        <v>2023</v>
      </c>
      <c r="G118" s="18" t="str" cm="1">
        <f t="array" ref="G118">IFERROR(INDEX(Lecturas!$E$4:$E$3549,MATCH(1,(Lecturas!$B$4:$B$3549=$A118)*(Lecturas!$E$4:$E$3549&lt;&gt;"")*(Lecturas!$A$4:$A$3549=_xlfn.MAXIFS(Lecturas!$A$4:$A$3549,Lecturas!$B$4:$B$3549,$A118,Lecturas!$E$4:$E$3549,"&lt;&gt;")),0)),"")</f>
        <v>Quirihue</v>
      </c>
      <c r="H118" s="18" t="s">
        <v>621</v>
      </c>
      <c r="I118" s="18" t="s">
        <v>462</v>
      </c>
      <c r="J118" s="18">
        <v>15000</v>
      </c>
      <c r="K118" s="18">
        <f>IFERROR(IF($I118="KM",ROUND((_xlfn.MAXIFS(tblLecturas[Kilometraje],tblLecturas[Codigo],$A118)-_xlfn.MINIFS(tblLecturas[Kilometraje],tblLecturas[Codigo],$A118))/(MAX(1,_xlfn.MAXIFS(tblLecturas[Fecha],tblLecturas[Codigo],$A118)-_xlfn.MINIFS(tblLecturas[Fecha],tblLecturas[Codigo],$A118))),1),ROUND((_xlfn.MAXIFS(tblLecturas[Horometro],tblLecturas[Codigo],$A118)-_xlfn.MINIFS(tblLecturas[Horometro],tblLecturas[Codigo],$A118))/(MAX(1,_xlfn.MAXIFS(tblLecturas[Fecha],tblLecturas[Codigo],$A118)-_xlfn.MINIFS(tblLecturas[Fecha],tblLecturas[Codigo],$A118))),1)),"")</f>
        <v>151</v>
      </c>
      <c r="L118" s="20">
        <f>IFERROR(_xlfn.MAXIFS(tblLecturas[Fecha],tblLecturas[Codigo],$A118),"")</f>
        <v>46136</v>
      </c>
      <c r="M118" s="26">
        <f>IFERROR(_xlfn.MAXIFS(Lecturas!$C:$C,Lecturas!$B:$B,$A118,Lecturas!$C:$C,"&gt;0"),"")</f>
        <v>0</v>
      </c>
      <c r="N118" s="78">
        <f>IFERROR(_xlfn.MAXIFS(tblLecturas[Kilometraje],tblLecturas[Codigo],$A118,tblLecturas[Kilometraje],"&gt;0"),"")</f>
        <v>134800</v>
      </c>
      <c r="O118" s="78" cm="1">
        <f t="array" ref="O118">IFERROR(IF($I118="KM",LOOKUP(2,1/(Lecturas!$B:$B=$A118)/(Lecturas!$D:$D&gt;0),Lecturas!$D:$D),LOOKUP(2,1/(Lecturas!$B:$B=$A118)/(Lecturas!$C:$C&gt;0),Lecturas!$C:$C)),"")</f>
        <v>134800</v>
      </c>
      <c r="P118" s="20">
        <f>IFERROR(_xlfn.MAXIFS(tblMantenciones[Fecha],tblMantenciones[Codigo],tblMaestroEquipos[[#This Row],[Codigo]],tblMantenciones[EsPM],"Sí"),"")</f>
        <v>46125</v>
      </c>
      <c r="Q118" s="78">
        <f>IF(_xlfn.MAXIFS(Mantenciones!$D:$D,Mantenciones!$B:$B,A118)=0,"Sin datos de mantención registrado",_xlfn.MAXIFS(Mantenciones!$D:$D,Mantenciones!$B:$B,A118))</f>
        <v>133477</v>
      </c>
      <c r="R118" s="18">
        <f>IFERROR(IF(_xlfn.MAXIFS(Mantenciones!$D:$D,Mantenciones!$B:$B,$A118,Mantenciones!$E:$E,"Sí",Mantenciones!$D:$D,"&gt;0")=0,"Sin datos de mantención registrado",_xlfn.MAXIFS(Mantenciones!$D:$D,Mantenciones!$B:$B,$A118,Mantenciones!$E:$E,"Sí",Mantenciones!$D:$D,"&gt;0")),"Sin datos de mantención registrado")</f>
        <v>133477</v>
      </c>
      <c r="S118" s="21">
        <f>IFERROR(SUMIFS(tblMantenciones[Costo Mantencion CLP],tblMantenciones[Codigo],tblMaestroEquipos[[#This Row],[Codigo]]),0)</f>
        <v>0</v>
      </c>
      <c r="T118" s="21">
        <f>IFERROR(SUMIFS(tblComprasPM[Costo PM CLP],tblComprasPM[Codigo],tblMaestroEquipos[[#This Row],[Codigo]]),0)</f>
        <v>24499.97</v>
      </c>
      <c r="U118" s="21">
        <f>IFERROR(tblMaestroEquipos[[#This Row],[Costo Mantenciones CLP]]+tblMaestroEquipos[[#This Row],[Costo Compras PM CLP]],0)</f>
        <v>24499.97</v>
      </c>
      <c r="V118" s="18" t="str">
        <f>IFERROR(_xlfn.XLOOKUP(tblMaestroEquipos[[#This Row],[Codigo]],tblEquipos[Codigo],tblEquipos[Estado Base]),"")</f>
        <v>Operativo</v>
      </c>
      <c r="W118" s="18" t="str">
        <f t="shared" si="10"/>
        <v>AL DÍA</v>
      </c>
      <c r="X118" s="18">
        <f t="shared" si="11"/>
        <v>13677</v>
      </c>
      <c r="Y118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59813</v>
      </c>
      <c r="Z118" s="25">
        <f>IFERROR(IF(_xlfn.MINIFS(tblComprasPM[Fecha],tblComprasPM[Codigo],tblMaestroEquipos[[#This Row],[Codigo]])=0,"",_xlfn.MINIFS(tblComprasPM[Fecha],tblComprasPM[Codigo],tblMaestroEquipos[[#This Row],[Codigo]])),"")</f>
        <v>46127</v>
      </c>
      <c r="AA118" s="25">
        <f>IFERROR(IF(_xlfn.MAXIFS(tblBodega[Fecha],tblBodega[Codigo],tblMaestroEquipos[[#This Row],[Codigo]])=0,"",_xlfn.MAXIFS(tblBodega[Fecha],tblBodega[Codigo],tblMaestroEquipos[[#This Row],[Codigo]])),"")</f>
        <v>46125</v>
      </c>
      <c r="AB11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18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1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18" s="51" t="str">
        <f t="shared" si="9"/>
        <v>OPERATIVO</v>
      </c>
      <c r="AF118" s="18" t="str">
        <f t="shared" si="12"/>
        <v>BAJA</v>
      </c>
      <c r="AG118" s="18" t="str">
        <f t="shared" si="13"/>
        <v>Monitorear próximo vencimiento</v>
      </c>
      <c r="AH118">
        <f t="shared" si="14"/>
        <v>0</v>
      </c>
      <c r="AI118" t="str">
        <f t="shared" si="15"/>
        <v/>
      </c>
      <c r="AJ118" s="24">
        <f t="shared" si="16"/>
        <v>99</v>
      </c>
    </row>
    <row r="119" spans="1:36">
      <c r="A119" s="18" t="s">
        <v>630</v>
      </c>
      <c r="B119" s="18" t="s">
        <v>459</v>
      </c>
      <c r="C119" s="18" t="s">
        <v>1074</v>
      </c>
      <c r="D119" s="18" t="s">
        <v>99</v>
      </c>
      <c r="E119" s="19" t="s">
        <v>566</v>
      </c>
      <c r="F119" s="18">
        <v>2023</v>
      </c>
      <c r="G119" s="18" t="str" cm="1">
        <f t="array" ref="G119">IFERROR(INDEX(Lecturas!$E$4:$E$3549,MATCH(1,(Lecturas!$B$4:$B$3549=$A119)*(Lecturas!$E$4:$E$3549&lt;&gt;"")*(Lecturas!$A$4:$A$3549=_xlfn.MAXIFS(Lecturas!$A$4:$A$3549,Lecturas!$B$4:$B$3549,$A119,Lecturas!$E$4:$E$3549,"&lt;&gt;")),0)),"")</f>
        <v>Quirihue</v>
      </c>
      <c r="H119" s="18" t="s">
        <v>631</v>
      </c>
      <c r="I119" s="18" t="s">
        <v>462</v>
      </c>
      <c r="J119" s="18">
        <v>15000</v>
      </c>
      <c r="K119" s="18">
        <f>IFERROR(IF($I119="KM",ROUND((_xlfn.MAXIFS(tblLecturas[Kilometraje],tblLecturas[Codigo],$A119)-_xlfn.MINIFS(tblLecturas[Kilometraje],tblLecturas[Codigo],$A119))/(MAX(1,_xlfn.MAXIFS(tblLecturas[Fecha],tblLecturas[Codigo],$A119)-_xlfn.MINIFS(tblLecturas[Fecha],tblLecturas[Codigo],$A119))),1),ROUND((_xlfn.MAXIFS(tblLecturas[Horometro],tblLecturas[Codigo],$A119)-_xlfn.MINIFS(tblLecturas[Horometro],tblLecturas[Codigo],$A119))/(MAX(1,_xlfn.MAXIFS(tblLecturas[Fecha],tblLecturas[Codigo],$A119)-_xlfn.MINIFS(tblLecturas[Fecha],tblLecturas[Codigo],$A119))),1)),"")</f>
        <v>155.80000000000001</v>
      </c>
      <c r="L119" s="20">
        <f>IFERROR(_xlfn.MAXIFS(tblLecturas[Fecha],tblLecturas[Codigo],$A119),"")</f>
        <v>46136</v>
      </c>
      <c r="M119" s="26">
        <f>IFERROR(_xlfn.MAXIFS(Lecturas!$C:$C,Lecturas!$B:$B,$A119,Lecturas!$C:$C,"&gt;0"),"")</f>
        <v>0</v>
      </c>
      <c r="N119" s="78">
        <f>IFERROR(_xlfn.MAXIFS(tblLecturas[Kilometraje],tblLecturas[Codigo],$A119,tblLecturas[Kilometraje],"&gt;0"),"")</f>
        <v>151721</v>
      </c>
      <c r="O119" s="78" cm="1">
        <f t="array" ref="O119">IFERROR(IF($I119="KM",LOOKUP(2,1/(Lecturas!$B:$B=$A119)/(Lecturas!$D:$D&gt;0),Lecturas!$D:$D),LOOKUP(2,1/(Lecturas!$B:$B=$A119)/(Lecturas!$C:$C&gt;0),Lecturas!$C:$C)),"")</f>
        <v>151721</v>
      </c>
      <c r="P119" s="20">
        <f>IFERROR(_xlfn.MAXIFS(tblMantenciones[Fecha],tblMantenciones[Codigo],tblMaestroEquipos[[#This Row],[Codigo]],tblMantenciones[EsPM],"Sí"),"")</f>
        <v>46118</v>
      </c>
      <c r="Q119" s="78">
        <f>IF(_xlfn.MAXIFS(Mantenciones!$D:$D,Mantenciones!$B:$B,A119)=0,"Sin datos de mantención registrado",_xlfn.MAXIFS(Mantenciones!$D:$D,Mantenciones!$B:$B,A119))</f>
        <v>148168</v>
      </c>
      <c r="R119" s="18">
        <f>IFERROR(IF(_xlfn.MAXIFS(Mantenciones!$D:$D,Mantenciones!$B:$B,$A119,Mantenciones!$E:$E,"Sí",Mantenciones!$D:$D,"&gt;0")=0,"Sin datos de mantención registrado",_xlfn.MAXIFS(Mantenciones!$D:$D,Mantenciones!$B:$B,$A119,Mantenciones!$E:$E,"Sí",Mantenciones!$D:$D,"&gt;0")),"Sin datos de mantención registrado")</f>
        <v>148168</v>
      </c>
      <c r="S119" s="21">
        <f>IFERROR(SUMIFS(tblMantenciones[Costo Mantencion CLP],tblMantenciones[Codigo],tblMaestroEquipos[[#This Row],[Codigo]]),0)</f>
        <v>0</v>
      </c>
      <c r="T119" s="21">
        <f>IFERROR(SUMIFS(tblComprasPM[Costo PM CLP],tblComprasPM[Codigo],tblMaestroEquipos[[#This Row],[Codigo]]),0)</f>
        <v>24499.97</v>
      </c>
      <c r="U119" s="21">
        <f>IFERROR(tblMaestroEquipos[[#This Row],[Costo Mantenciones CLP]]+tblMaestroEquipos[[#This Row],[Costo Compras PM CLP]],0)</f>
        <v>24499.97</v>
      </c>
      <c r="V119" s="18" t="str">
        <f>IFERROR(_xlfn.XLOOKUP(tblMaestroEquipos[[#This Row],[Codigo]],tblEquipos[Codigo],tblEquipos[Estado Base]),"")</f>
        <v>Operativo</v>
      </c>
      <c r="W119" s="18" t="str">
        <f t="shared" si="10"/>
        <v>AL DÍA</v>
      </c>
      <c r="X119" s="18">
        <f t="shared" si="11"/>
        <v>11447</v>
      </c>
      <c r="Y119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57583</v>
      </c>
      <c r="Z119" s="25">
        <f>IFERROR(IF(_xlfn.MINIFS(tblComprasPM[Fecha],tblComprasPM[Codigo],tblMaestroEquipos[[#This Row],[Codigo]])=0,"",_xlfn.MINIFS(tblComprasPM[Fecha],tblComprasPM[Codigo],tblMaestroEquipos[[#This Row],[Codigo]])),"")</f>
        <v>46127</v>
      </c>
      <c r="AA119" s="25">
        <f>IFERROR(IF(_xlfn.MAXIFS(tblBodega[Fecha],tblBodega[Codigo],tblMaestroEquipos[[#This Row],[Codigo]])=0,"",_xlfn.MAXIFS(tblBodega[Fecha],tblBodega[Codigo],tblMaestroEquipos[[#This Row],[Codigo]])),"")</f>
        <v>46118</v>
      </c>
      <c r="AB11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19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1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19" s="51" t="str">
        <f t="shared" si="9"/>
        <v>OPERATIVO</v>
      </c>
      <c r="AF119" s="18" t="str">
        <f t="shared" si="12"/>
        <v>BAJA</v>
      </c>
      <c r="AG119" s="18" t="str">
        <f t="shared" si="13"/>
        <v>Monitorear próximo vencimiento</v>
      </c>
      <c r="AH119">
        <f t="shared" si="14"/>
        <v>0</v>
      </c>
      <c r="AI119" t="str">
        <f t="shared" si="15"/>
        <v/>
      </c>
      <c r="AJ119" s="24">
        <f t="shared" si="16"/>
        <v>99</v>
      </c>
    </row>
    <row r="120" spans="1:36">
      <c r="A120" s="18" t="s">
        <v>495</v>
      </c>
      <c r="B120" s="18" t="s">
        <v>459</v>
      </c>
      <c r="C120" s="18" t="s">
        <v>1074</v>
      </c>
      <c r="D120" s="18" t="s">
        <v>466</v>
      </c>
      <c r="E120" s="19" t="s">
        <v>491</v>
      </c>
      <c r="F120" s="18">
        <v>2024</v>
      </c>
      <c r="G120" s="18" t="str" cm="1">
        <f t="array" ref="G120">IFERROR(INDEX(Lecturas!$E$4:$E$3549,MATCH(1,(Lecturas!$B$4:$B$3549=$A120)*(Lecturas!$E$4:$E$3549&lt;&gt;"")*(Lecturas!$A$4:$A$3549=_xlfn.MAXIFS(Lecturas!$A$4:$A$3549,Lecturas!$B$4:$B$3549,$A120,Lecturas!$E$4:$E$3549,"&lt;&gt;")),0)),"")</f>
        <v/>
      </c>
      <c r="H120" s="18" t="s">
        <v>468</v>
      </c>
      <c r="I120" s="18" t="s">
        <v>462</v>
      </c>
      <c r="J120" s="18">
        <v>15000</v>
      </c>
      <c r="K120" s="18">
        <f>IFERROR(IF($I120="KM",ROUND((_xlfn.MAXIFS(tblLecturas[Kilometraje],tblLecturas[Codigo],$A120)-_xlfn.MINIFS(tblLecturas[Kilometraje],tblLecturas[Codigo],$A120))/(MAX(1,_xlfn.MAXIFS(tblLecturas[Fecha],tblLecturas[Codigo],$A120)-_xlfn.MINIFS(tblLecturas[Fecha],tblLecturas[Codigo],$A120))),1),ROUND((_xlfn.MAXIFS(tblLecturas[Horometro],tblLecturas[Codigo],$A120)-_xlfn.MINIFS(tblLecturas[Horometro],tblLecturas[Codigo],$A120))/(MAX(1,_xlfn.MAXIFS(tblLecturas[Fecha],tblLecturas[Codigo],$A120)-_xlfn.MINIFS(tblLecturas[Fecha],tblLecturas[Codigo],$A120))),1)),"")</f>
        <v>230.8</v>
      </c>
      <c r="L120" s="20">
        <f>IFERROR(_xlfn.MAXIFS(tblLecturas[Fecha],tblLecturas[Codigo],$A120),"")</f>
        <v>46072</v>
      </c>
      <c r="M120" s="26">
        <f>IFERROR(_xlfn.MAXIFS(Lecturas!$C:$C,Lecturas!$B:$B,$A120,Lecturas!$C:$C,"&gt;0"),"")</f>
        <v>0</v>
      </c>
      <c r="N120" s="78">
        <f>IFERROR(_xlfn.MAXIFS(tblLecturas[Kilometraje],tblLecturas[Codigo],$A120,tblLecturas[Kilometraje],"&gt;0"),"")</f>
        <v>107331</v>
      </c>
      <c r="O120" s="78" cm="1">
        <f t="array" ref="O120">IFERROR(IF($I120="KM",LOOKUP(2,1/(Lecturas!$B:$B=$A120)/(Lecturas!$D:$D&gt;0),Lecturas!$D:$D),LOOKUP(2,1/(Lecturas!$B:$B=$A120)/(Lecturas!$C:$C&gt;0),Lecturas!$C:$C)),"")</f>
        <v>107331</v>
      </c>
      <c r="P120" s="20">
        <f>IFERROR(_xlfn.MAXIFS(tblMantenciones[Fecha],tblMantenciones[Codigo],tblMaestroEquipos[[#This Row],[Codigo]],tblMantenciones[EsPM],"Sí"),"")</f>
        <v>46126</v>
      </c>
      <c r="Q120" s="78">
        <f>IF(_xlfn.MAXIFS(Mantenciones!$D:$D,Mantenciones!$B:$B,A120)=0,"Sin datos de mantención registrado",_xlfn.MAXIFS(Mantenciones!$D:$D,Mantenciones!$B:$B,A120))</f>
        <v>117843</v>
      </c>
      <c r="R120" s="18">
        <f>IFERROR(IF(_xlfn.MAXIFS(Mantenciones!$D:$D,Mantenciones!$B:$B,$A120,Mantenciones!$E:$E,"Sí",Mantenciones!$D:$D,"&gt;0")=0,"Sin datos de mantención registrado",_xlfn.MAXIFS(Mantenciones!$D:$D,Mantenciones!$B:$B,$A120,Mantenciones!$E:$E,"Sí",Mantenciones!$D:$D,"&gt;0")),"Sin datos de mantención registrado")</f>
        <v>117843</v>
      </c>
      <c r="S120" s="21">
        <f>IFERROR(SUMIFS(tblMantenciones[Costo Mantencion CLP],tblMantenciones[Codigo],A120),0)</f>
        <v>0</v>
      </c>
      <c r="T120" s="21">
        <f>IFERROR(SUMIFS(tblComprasPM[Costo PM CLP],tblComprasPM[Codigo],tblMaestroEquipos[[#This Row],[Codigo]]),0)</f>
        <v>0</v>
      </c>
      <c r="U120" s="21">
        <f>IFERROR(tblMaestroEquipos[[#This Row],[Costo Mantenciones CLP]]+tblMaestroEquipos[[#This Row],[Costo Compras PM CLP]],0)</f>
        <v>0</v>
      </c>
      <c r="V120" s="18" t="str">
        <f>IFERROR(_xlfn.XLOOKUP(tblMaestroEquipos[[#This Row],[Codigo]],tblEquipos[Codigo],tblEquipos[Estado Base]),"")</f>
        <v>Operativo</v>
      </c>
      <c r="W120" s="18" t="str">
        <f t="shared" si="10"/>
        <v>AL DÍA</v>
      </c>
      <c r="X120" s="18">
        <f t="shared" si="11"/>
        <v>25512</v>
      </c>
      <c r="Y120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71584</v>
      </c>
      <c r="Z12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20" s="25">
        <f>IFERROR(IF(_xlfn.MAXIFS(tblBodega[Fecha],tblBodega[Codigo],tblMaestroEquipos[[#This Row],[Codigo]])=0,"",_xlfn.MAXIFS(tblBodega[Fecha],tblBodega[Codigo],tblMaestroEquipos[[#This Row],[Codigo]])),"")</f>
        <v>46126</v>
      </c>
      <c r="AB12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20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2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20" s="51" t="str">
        <f t="shared" ref="AE120:AE183" si="17">IF(TRIM(V120)="Fuera de servicio","FUERA DE SERVICIO",
IF(OR(TRIM(V120)="Taller",TRIM(V120)="En taller"),"EN TALLER",
IF(W120="ATRASADO","ATRASADO",
IF(W120="EN PROCESO","EN PROCESO",
IF(W120="PRÓXIMO","PRÓXIMO",
"OPERATIVO")))))</f>
        <v>OPERATIVO</v>
      </c>
      <c r="AF120" s="18" t="str">
        <f t="shared" si="12"/>
        <v>BAJA</v>
      </c>
      <c r="AG120" s="18" t="str">
        <f t="shared" si="13"/>
        <v>Monitorear próximo vencimiento</v>
      </c>
      <c r="AH120">
        <f t="shared" si="14"/>
        <v>0</v>
      </c>
      <c r="AI120" t="str">
        <f t="shared" si="15"/>
        <v/>
      </c>
      <c r="AJ120" s="24">
        <f t="shared" si="16"/>
        <v>99</v>
      </c>
    </row>
    <row r="121" spans="1:36">
      <c r="A121" s="18" t="s">
        <v>207</v>
      </c>
      <c r="B121" s="18" t="s">
        <v>199</v>
      </c>
      <c r="C121" s="18" t="s">
        <v>1070</v>
      </c>
      <c r="D121" s="18" t="s">
        <v>204</v>
      </c>
      <c r="E121" s="19" t="s">
        <v>208</v>
      </c>
      <c r="F121" s="18">
        <v>2001</v>
      </c>
      <c r="G121" s="18" t="str" cm="1">
        <f t="array" ref="G121">IFERROR(INDEX(Lecturas!$E$4:$E$3549,MATCH(1,(Lecturas!$B$4:$B$3549=$A121)*(Lecturas!$E$4:$E$3549&lt;&gt;"")*(Lecturas!$A$4:$A$3549=_xlfn.MAXIFS(Lecturas!$A$4:$A$3549,Lecturas!$B$4:$B$3549,$A121,Lecturas!$E$4:$E$3549,"&lt;&gt;")),0)),"")</f>
        <v/>
      </c>
      <c r="H121" s="18" t="s">
        <v>209</v>
      </c>
      <c r="I121" s="18" t="s">
        <v>18</v>
      </c>
      <c r="J121" s="18">
        <v>250</v>
      </c>
      <c r="K121" s="18">
        <f>IFERROR(IF($I121="KM",ROUND((_xlfn.MAXIFS(tblLecturas[Kilometraje],tblLecturas[Codigo],$A121)-_xlfn.MINIFS(tblLecturas[Kilometraje],tblLecturas[Codigo],$A121))/(MAX(1,_xlfn.MAXIFS(tblLecturas[Fecha],tblLecturas[Codigo],$A121)-_xlfn.MINIFS(tblLecturas[Fecha],tblLecturas[Codigo],$A121))),1),ROUND((_xlfn.MAXIFS(tblLecturas[Horometro],tblLecturas[Codigo],$A121)-_xlfn.MINIFS(tblLecturas[Horometro],tblLecturas[Codigo],$A121))/(MAX(1,_xlfn.MAXIFS(tblLecturas[Fecha],tblLecturas[Codigo],$A121)-_xlfn.MINIFS(tblLecturas[Fecha],tblLecturas[Codigo],$A121))),1)),"")</f>
        <v>2.2999999999999998</v>
      </c>
      <c r="L121" s="20">
        <f>IFERROR(_xlfn.MAXIFS(tblLecturas[Fecha],tblLecturas[Codigo],$A121),"")</f>
        <v>46106</v>
      </c>
      <c r="M121" s="26">
        <f>IFERROR(_xlfn.MAXIFS(Lecturas!$C:$C,Lecturas!$B:$B,$A121,Lecturas!$C:$C,"&gt;0"),"")</f>
        <v>1537</v>
      </c>
      <c r="N121" s="78">
        <f>IFERROR(_xlfn.MAXIFS(tblLecturas[Kilometraje],tblLecturas[Codigo],$A121,tblLecturas[Kilometraje],"&gt;0"),"")</f>
        <v>58585</v>
      </c>
      <c r="O121" s="78" cm="1">
        <f t="array" ref="O121">IFERROR(IF($I121="KM",LOOKUP(2,1/(Lecturas!$B:$B=$A121)/(Lecturas!$D:$D&gt;0),Lecturas!$D:$D),LOOKUP(2,1/(Lecturas!$B:$B=$A121)/(Lecturas!$C:$C&gt;0),Lecturas!$C:$C)),"")</f>
        <v>1537</v>
      </c>
      <c r="P121" s="20">
        <f>IFERROR(_xlfn.MAXIFS(tblMantenciones[Fecha],tblMantenciones[Codigo],tblMaestroEquipos[[#This Row],[Codigo]],tblMantenciones[EsPM],"Sí"),"")</f>
        <v>46108</v>
      </c>
      <c r="Q121" s="78">
        <f>IF(_xlfn.MAXIFS(Mantenciones!$D:$D,Mantenciones!$B:$B,A121)=0,"Sin datos de mantención registrado",_xlfn.MAXIFS(Mantenciones!$D:$D,Mantenciones!$B:$B,A121))</f>
        <v>1541</v>
      </c>
      <c r="R121" s="18">
        <f>IFERROR(IF(_xlfn.MAXIFS(Mantenciones!$D:$D,Mantenciones!$B:$B,$A121,Mantenciones!$E:$E,"Sí",Mantenciones!$D:$D,"&gt;0")=0,"Sin datos de mantención registrado",_xlfn.MAXIFS(Mantenciones!$D:$D,Mantenciones!$B:$B,$A121,Mantenciones!$E:$E,"Sí",Mantenciones!$D:$D,"&gt;0")),"Sin datos de mantención registrado")</f>
        <v>1541</v>
      </c>
      <c r="S121" s="21">
        <f>IFERROR(SUMIFS(tblMantenciones[Costo Mantencion CLP],tblMantenciones[Codigo],A121),0)</f>
        <v>0</v>
      </c>
      <c r="T121" s="21">
        <f>IFERROR(SUMIFS(tblComprasPM[Costo PM CLP],tblComprasPM[Codigo],tblMaestroEquipos[[#This Row],[Codigo]]),0)</f>
        <v>31799.977299999999</v>
      </c>
      <c r="U121" s="21">
        <f>IFERROR(tblMaestroEquipos[[#This Row],[Costo Mantenciones CLP]]+tblMaestroEquipos[[#This Row],[Costo Compras PM CLP]],0)</f>
        <v>31799.977299999999</v>
      </c>
      <c r="V121" s="18" t="str">
        <f>IFERROR(_xlfn.XLOOKUP(tblMaestroEquipos[[#This Row],[Codigo]],tblEquipos[Codigo],tblEquipos[Estado Base]),"")</f>
        <v>Operativo</v>
      </c>
      <c r="W121" s="18" t="str">
        <f t="shared" si="10"/>
        <v>AL DÍA</v>
      </c>
      <c r="X121" s="18">
        <f t="shared" si="11"/>
        <v>254</v>
      </c>
      <c r="Y121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46360</v>
      </c>
      <c r="Z121" s="25">
        <f>IFERROR(IF(_xlfn.MINIFS(tblComprasPM[Fecha],tblComprasPM[Codigo],tblMaestroEquipos[[#This Row],[Codigo]])=0,"",_xlfn.MINIFS(tblComprasPM[Fecha],tblComprasPM[Codigo],tblMaestroEquipos[[#This Row],[Codigo]])),"")</f>
        <v>46091.475044826402</v>
      </c>
      <c r="AA121" s="25">
        <f>IFERROR(IF(_xlfn.MAXIFS(tblBodega[Fecha],tblBodega[Codigo],tblMaestroEquipos[[#This Row],[Codigo]])=0,"",_xlfn.MAXIFS(tblBodega[Fecha],tblBodega[Codigo],tblMaestroEquipos[[#This Row],[Codigo]])),"")</f>
        <v>46104</v>
      </c>
      <c r="AB12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17</v>
      </c>
      <c r="AC121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4</v>
      </c>
      <c r="AD12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21" s="51" t="str">
        <f t="shared" si="17"/>
        <v>OPERATIVO</v>
      </c>
      <c r="AF121" s="18" t="str">
        <f t="shared" si="12"/>
        <v>BAJA</v>
      </c>
      <c r="AG121" s="18" t="str">
        <f t="shared" si="13"/>
        <v>Monitorear próximo vencimiento</v>
      </c>
      <c r="AH121">
        <f t="shared" si="14"/>
        <v>0</v>
      </c>
      <c r="AI121" t="str">
        <f t="shared" si="15"/>
        <v/>
      </c>
      <c r="AJ121" s="24">
        <f t="shared" si="16"/>
        <v>99</v>
      </c>
    </row>
    <row r="122" spans="1:36">
      <c r="A122" s="18" t="s">
        <v>499</v>
      </c>
      <c r="B122" s="18" t="s">
        <v>459</v>
      </c>
      <c r="C122" s="18" t="s">
        <v>1074</v>
      </c>
      <c r="D122" s="18" t="s">
        <v>466</v>
      </c>
      <c r="E122" s="19" t="s">
        <v>497</v>
      </c>
      <c r="F122" s="18">
        <v>2024</v>
      </c>
      <c r="G122" s="18" t="str" cm="1">
        <f t="array" ref="G122">IFERROR(INDEX(Lecturas!$E$4:$E$3549,MATCH(1,(Lecturas!$B$4:$B$3549=$A122)*(Lecturas!$E$4:$E$3549&lt;&gt;"")*(Lecturas!$A$4:$A$3549=_xlfn.MAXIFS(Lecturas!$A$4:$A$3549,Lecturas!$B$4:$B$3549,$A122,Lecturas!$E$4:$E$3549,"&lt;&gt;")),0)),"")</f>
        <v/>
      </c>
      <c r="H122" s="18" t="s">
        <v>500</v>
      </c>
      <c r="I122" s="18" t="s">
        <v>462</v>
      </c>
      <c r="J122" s="18">
        <v>15000</v>
      </c>
      <c r="K122" s="18">
        <f>IFERROR(IF($I122="KM",ROUND((_xlfn.MAXIFS(tblLecturas[Kilometraje],tblLecturas[Codigo],$A122)-_xlfn.MINIFS(tblLecturas[Kilometraje],tblLecturas[Codigo],$A122))/(MAX(1,_xlfn.MAXIFS(tblLecturas[Fecha],tblLecturas[Codigo],$A122)-_xlfn.MINIFS(tblLecturas[Fecha],tblLecturas[Codigo],$A122))),1),ROUND((_xlfn.MAXIFS(tblLecturas[Horometro],tblLecturas[Codigo],$A122)-_xlfn.MINIFS(tblLecturas[Horometro],tblLecturas[Codigo],$A122))/(MAX(1,_xlfn.MAXIFS(tblLecturas[Fecha],tblLecturas[Codigo],$A122)-_xlfn.MINIFS(tblLecturas[Fecha],tblLecturas[Codigo],$A122))),1)),"")</f>
        <v>156.5</v>
      </c>
      <c r="L122" s="20">
        <f>IFERROR(_xlfn.MAXIFS(tblLecturas[Fecha],tblLecturas[Codigo],$A122),"")</f>
        <v>46105</v>
      </c>
      <c r="M122" s="26">
        <f>IFERROR(_xlfn.MAXIFS(Lecturas!$C:$C,Lecturas!$B:$B,$A122,Lecturas!$C:$C,"&gt;0"),"")</f>
        <v>0</v>
      </c>
      <c r="N122" s="78">
        <f>IFERROR(_xlfn.MAXIFS(tblLecturas[Kilometraje],tblLecturas[Codigo],$A122,tblLecturas[Kilometraje],"&gt;0"),"")</f>
        <v>67095</v>
      </c>
      <c r="O122" s="78" cm="1">
        <f t="array" ref="O122">IFERROR(IF($I122="KM",LOOKUP(2,1/(Lecturas!$B:$B=$A122)/(Lecturas!$D:$D&gt;0),Lecturas!$D:$D),LOOKUP(2,1/(Lecturas!$B:$B=$A122)/(Lecturas!$C:$C&gt;0),Lecturas!$C:$C)),"")</f>
        <v>67095</v>
      </c>
      <c r="P122" s="20">
        <f>IFERROR(_xlfn.MAXIFS(tblMantenciones[Fecha],tblMantenciones[Codigo],tblMaestroEquipos[[#This Row],[Codigo]],tblMantenciones[EsPM],"Sí"),"")</f>
        <v>46113</v>
      </c>
      <c r="Q122" s="78">
        <f>IF(_xlfn.MAXIFS(Mantenciones!$D:$D,Mantenciones!$B:$B,A122)=0,"Sin datos de mantención registrado",_xlfn.MAXIFS(Mantenciones!$D:$D,Mantenciones!$B:$B,A122))</f>
        <v>68137</v>
      </c>
      <c r="R122" s="18">
        <f>IFERROR(IF(_xlfn.MAXIFS(Mantenciones!$D:$D,Mantenciones!$B:$B,$A122,Mantenciones!$E:$E,"Sí",Mantenciones!$D:$D,"&gt;0")=0,"Sin datos de mantención registrado",_xlfn.MAXIFS(Mantenciones!$D:$D,Mantenciones!$B:$B,$A122,Mantenciones!$E:$E,"Sí",Mantenciones!$D:$D,"&gt;0")),"Sin datos de mantención registrado")</f>
        <v>68137</v>
      </c>
      <c r="S122" s="21">
        <f>IFERROR(SUMIFS(tblMantenciones[Costo Mantencion CLP],tblMantenciones[Codigo],A122),0)</f>
        <v>0</v>
      </c>
      <c r="T122" s="21">
        <f>IFERROR(SUMIFS(tblComprasPM[Costo PM CLP],tblComprasPM[Codigo],tblMaestroEquipos[[#This Row],[Codigo]]),0)</f>
        <v>0</v>
      </c>
      <c r="U122" s="21">
        <f>IFERROR(tblMaestroEquipos[[#This Row],[Costo Mantenciones CLP]]+tblMaestroEquipos[[#This Row],[Costo Compras PM CLP]],0)</f>
        <v>0</v>
      </c>
      <c r="V122" s="18" t="str">
        <f>IFERROR(_xlfn.XLOOKUP(tblMaestroEquipos[[#This Row],[Codigo]],tblEquipos[Codigo],tblEquipos[Estado Base]),"")</f>
        <v>Operativo</v>
      </c>
      <c r="W122" s="18" t="str">
        <f t="shared" si="10"/>
        <v>AL DÍA</v>
      </c>
      <c r="X122" s="18">
        <f t="shared" si="11"/>
        <v>16042</v>
      </c>
      <c r="Y122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62147</v>
      </c>
      <c r="Z12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22" s="25">
        <f>IFERROR(IF(_xlfn.MAXIFS(tblBodega[Fecha],tblBodega[Codigo],tblMaestroEquipos[[#This Row],[Codigo]])=0,"",_xlfn.MAXIFS(tblBodega[Fecha],tblBodega[Codigo],tblMaestroEquipos[[#This Row],[Codigo]])),"")</f>
        <v>46087</v>
      </c>
      <c r="AB12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22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26</v>
      </c>
      <c r="AD12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22" s="51" t="str">
        <f t="shared" si="17"/>
        <v>OPERATIVO</v>
      </c>
      <c r="AF122" s="18" t="str">
        <f t="shared" si="12"/>
        <v>BAJA</v>
      </c>
      <c r="AG122" s="18" t="str">
        <f t="shared" si="13"/>
        <v>Monitorear próximo vencimiento</v>
      </c>
      <c r="AH122">
        <f t="shared" si="14"/>
        <v>0</v>
      </c>
      <c r="AI122" t="str">
        <f t="shared" si="15"/>
        <v/>
      </c>
      <c r="AJ122" s="24">
        <f t="shared" si="16"/>
        <v>99</v>
      </c>
    </row>
    <row r="123" spans="1:36" s="27" customFormat="1">
      <c r="A123" s="18" t="s">
        <v>530</v>
      </c>
      <c r="B123" s="18" t="s">
        <v>459</v>
      </c>
      <c r="C123" s="18" t="s">
        <v>1074</v>
      </c>
      <c r="D123" s="18" t="s">
        <v>99</v>
      </c>
      <c r="E123" s="19" t="s">
        <v>524</v>
      </c>
      <c r="F123" s="18">
        <v>2025</v>
      </c>
      <c r="G123" s="18" t="str" cm="1">
        <f t="array" ref="G123">IFERROR(INDEX(Lecturas!$E$4:$E$3549,MATCH(1,(Lecturas!$B$4:$B$3549=$A123)*(Lecturas!$E$4:$E$3549&lt;&gt;"")*(Lecturas!$A$4:$A$3549=_xlfn.MAXIFS(Lecturas!$A$4:$A$3549,Lecturas!$B$4:$B$3549,$A123,Lecturas!$E$4:$E$3549,"&lt;&gt;")),0)),"")</f>
        <v>Colbun</v>
      </c>
      <c r="H123" s="18" t="s">
        <v>1098</v>
      </c>
      <c r="I123" s="18" t="s">
        <v>462</v>
      </c>
      <c r="J123" s="18">
        <v>15000</v>
      </c>
      <c r="K123" s="18">
        <f>IFERROR(IF($I123="KM",ROUND((_xlfn.MAXIFS(tblLecturas[Kilometraje],tblLecturas[Codigo],$A123)-_xlfn.MINIFS(tblLecturas[Kilometraje],tblLecturas[Codigo],$A123))/(MAX(1,_xlfn.MAXIFS(tblLecturas[Fecha],tblLecturas[Codigo],$A123)-_xlfn.MINIFS(tblLecturas[Fecha],tblLecturas[Codigo],$A123))),1),ROUND((_xlfn.MAXIFS(tblLecturas[Horometro],tblLecturas[Codigo],$A123)-_xlfn.MINIFS(tblLecturas[Horometro],tblLecturas[Codigo],$A123))/(MAX(1,_xlfn.MAXIFS(tblLecturas[Fecha],tblLecturas[Codigo],$A123)-_xlfn.MINIFS(tblLecturas[Fecha],tblLecturas[Codigo],$A123))),1)),"")</f>
        <v>145.80000000000001</v>
      </c>
      <c r="L123" s="20">
        <f>IFERROR(_xlfn.MAXIFS(tblLecturas[Fecha],tblLecturas[Codigo],$A123),"")</f>
        <v>46105</v>
      </c>
      <c r="M123" s="26">
        <f>IFERROR(_xlfn.MAXIFS(Lecturas!$C:$C,Lecturas!$B:$B,$A123,Lecturas!$C:$C,"&gt;0"),"")</f>
        <v>0</v>
      </c>
      <c r="N123" s="78">
        <f>IFERROR(_xlfn.MAXIFS(tblLecturas[Kilometraje],tblLecturas[Codigo],$A123,tblLecturas[Kilometraje],"&gt;0"),"")</f>
        <v>86820</v>
      </c>
      <c r="O123" s="78" cm="1">
        <f t="array" ref="O123">IFERROR(IF($I123="KM",LOOKUP(2,1/(Lecturas!$B:$B=$A123)/(Lecturas!$D:$D&gt;0),Lecturas!$D:$D),LOOKUP(2,1/(Lecturas!$B:$B=$A123)/(Lecturas!$C:$C&gt;0),Lecturas!$C:$C)),"")</f>
        <v>86820</v>
      </c>
      <c r="P123" s="20">
        <f>IFERROR(_xlfn.MAXIFS(tblMantenciones[Fecha],tblMantenciones[Codigo],tblMaestroEquipos[[#This Row],[Codigo]],tblMantenciones[EsPM],"Sí"),"")</f>
        <v>46105</v>
      </c>
      <c r="Q123" s="78">
        <f>IF(_xlfn.MAXIFS(Mantenciones!$D:$D,Mantenciones!$B:$B,A123)=0,"Sin datos de mantención registrado",_xlfn.MAXIFS(Mantenciones!$D:$D,Mantenciones!$B:$B,A123))</f>
        <v>86820</v>
      </c>
      <c r="R123" s="18">
        <f>IFERROR(IF(_xlfn.MAXIFS(Mantenciones!$D:$D,Mantenciones!$B:$B,$A123,Mantenciones!$E:$E,"Sí",Mantenciones!$D:$D,"&gt;0")=0,"Sin datos de mantención registrado",_xlfn.MAXIFS(Mantenciones!$D:$D,Mantenciones!$B:$B,$A123,Mantenciones!$E:$E,"Sí",Mantenciones!$D:$D,"&gt;0")),"Sin datos de mantención registrado")</f>
        <v>86820</v>
      </c>
      <c r="S123" s="21">
        <f>IFERROR(SUMIFS(tblMantenciones[Costo Mantencion CLP],tblMantenciones[Codigo],A123),0)</f>
        <v>698466</v>
      </c>
      <c r="T123" s="21">
        <f>IFERROR(SUMIFS(tblComprasPM[Costo PM CLP],tblComprasPM[Codigo],tblMaestroEquipos[[#This Row],[Codigo]]),0)</f>
        <v>831174.54</v>
      </c>
      <c r="U123" s="21">
        <f>IFERROR(tblMaestroEquipos[[#This Row],[Costo Mantenciones CLP]]+tblMaestroEquipos[[#This Row],[Costo Compras PM CLP]],0)</f>
        <v>1529640.54</v>
      </c>
      <c r="V123" s="18" t="str">
        <f>IFERROR(_xlfn.XLOOKUP(tblMaestroEquipos[[#This Row],[Codigo]],tblEquipos[Codigo],tblEquipos[Estado Base]),"")</f>
        <v>Operativo</v>
      </c>
      <c r="W123" s="18" t="str">
        <f t="shared" si="10"/>
        <v>EN PROCESO</v>
      </c>
      <c r="X123" s="18">
        <f t="shared" si="11"/>
        <v>15000</v>
      </c>
      <c r="Y12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61105</v>
      </c>
      <c r="Z123" s="25">
        <f>IFERROR(IF(_xlfn.MINIFS(tblComprasPM[Fecha],tblComprasPM[Codigo],tblMaestroEquipos[[#This Row],[Codigo]])=0,"",_xlfn.MINIFS(tblComprasPM[Fecha],tblComprasPM[Codigo],tblMaestroEquipos[[#This Row],[Codigo]])),"")</f>
        <v>46105</v>
      </c>
      <c r="AA123" s="25" t="str">
        <f>IFERROR(IF(_xlfn.MAXIFS(tblBodega[Fecha],tblBodega[Codigo],tblMaestroEquipos[[#This Row],[Codigo]])=0,"",_xlfn.MAXIFS(tblBodega[Fecha],tblBodega[Codigo],tblMaestroEquipos[[#This Row],[Codigo]])),"")</f>
        <v/>
      </c>
      <c r="AB12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2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2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23" s="51" t="str">
        <f t="shared" si="17"/>
        <v>EN PROCESO</v>
      </c>
      <c r="AF123" s="18" t="str">
        <f t="shared" si="12"/>
        <v>SEGUIMIENTO</v>
      </c>
      <c r="AG123" s="18" t="str">
        <f t="shared" si="13"/>
        <v>Hacer seguimiento al taller y cerrar report</v>
      </c>
      <c r="AH123" s="27">
        <f t="shared" si="14"/>
        <v>0</v>
      </c>
      <c r="AI123" s="27" t="str">
        <f t="shared" si="15"/>
        <v/>
      </c>
      <c r="AJ123" s="24">
        <f t="shared" si="16"/>
        <v>2</v>
      </c>
    </row>
    <row r="124" spans="1:36">
      <c r="A124" s="18" t="s">
        <v>488</v>
      </c>
      <c r="B124" s="18" t="s">
        <v>459</v>
      </c>
      <c r="C124" s="18" t="s">
        <v>1074</v>
      </c>
      <c r="D124" s="18" t="s">
        <v>482</v>
      </c>
      <c r="E124" s="19" t="s">
        <v>483</v>
      </c>
      <c r="F124" s="18">
        <v>2024</v>
      </c>
      <c r="G124" s="18" t="str" cm="1">
        <f t="array" ref="G124">IFERROR(INDEX(Lecturas!$E$4:$E$3549,MATCH(1,(Lecturas!$B$4:$B$3549=$A124)*(Lecturas!$E$4:$E$3549&lt;&gt;"")*(Lecturas!$A$4:$A$3549=_xlfn.MAXIFS(Lecturas!$A$4:$A$3549,Lecturas!$B$4:$B$3549,$A124,Lecturas!$E$4:$E$3549,"&lt;&gt;")),0)),"")</f>
        <v/>
      </c>
      <c r="H124" s="18" t="s">
        <v>489</v>
      </c>
      <c r="I124" s="18" t="s">
        <v>462</v>
      </c>
      <c r="J124" s="18">
        <v>15000</v>
      </c>
      <c r="K124" s="18">
        <f>IFERROR(IF($I124="KM",ROUND((_xlfn.MAXIFS(tblLecturas[Kilometraje],tblLecturas[Codigo],$A124)-_xlfn.MINIFS(tblLecturas[Kilometraje],tblLecturas[Codigo],$A124))/(MAX(1,_xlfn.MAXIFS(tblLecturas[Fecha],tblLecturas[Codigo],$A124)-_xlfn.MINIFS(tblLecturas[Fecha],tblLecturas[Codigo],$A124))),1),ROUND((_xlfn.MAXIFS(tblLecturas[Horometro],tblLecturas[Codigo],$A124)-_xlfn.MINIFS(tblLecturas[Horometro],tblLecturas[Codigo],$A124))/(MAX(1,_xlfn.MAXIFS(tblLecturas[Fecha],tblLecturas[Codigo],$A124)-_xlfn.MINIFS(tblLecturas[Fecha],tblLecturas[Codigo],$A124))),1)),"")</f>
        <v>155.19999999999999</v>
      </c>
      <c r="L124" s="20">
        <f>IFERROR(_xlfn.MAXIFS(tblLecturas[Fecha],tblLecturas[Codigo],$A124),"")</f>
        <v>46133</v>
      </c>
      <c r="M124" s="26">
        <f>IFERROR(_xlfn.MAXIFS(Lecturas!$C:$C,Lecturas!$B:$B,$A124,Lecturas!$C:$C,"&gt;0"),"")</f>
        <v>0</v>
      </c>
      <c r="N124" s="78">
        <f>IFERROR(_xlfn.MAXIFS(tblLecturas[Kilometraje],tblLecturas[Codigo],$A124,tblLecturas[Kilometraje],"&gt;0"),"")</f>
        <v>110641</v>
      </c>
      <c r="O124" s="78" cm="1">
        <f t="array" ref="O124">IFERROR(IF($I124="KM",LOOKUP(2,1/(Lecturas!$B:$B=$A124)/(Lecturas!$D:$D&gt;0),Lecturas!$D:$D),LOOKUP(2,1/(Lecturas!$B:$B=$A124)/(Lecturas!$C:$C&gt;0),Lecturas!$C:$C)),"")</f>
        <v>110641</v>
      </c>
      <c r="P124" s="20">
        <f>IFERROR(_xlfn.MAXIFS(tblMantenciones[Fecha],tblMantenciones[Codigo],tblMaestroEquipos[[#This Row],[Codigo]],tblMantenciones[EsPM],"Sí"),"")</f>
        <v>46094</v>
      </c>
      <c r="Q124" s="78">
        <f>IF(_xlfn.MAXIFS(Mantenciones!$D:$D,Mantenciones!$B:$B,A124)=0,"Sin datos de mantención registrado",_xlfn.MAXIFS(Mantenciones!$D:$D,Mantenciones!$B:$B,A124))</f>
        <v>107210</v>
      </c>
      <c r="R124" s="18">
        <f>IFERROR(IF(_xlfn.MAXIFS(Mantenciones!$D:$D,Mantenciones!$B:$B,$A124,Mantenciones!$E:$E,"Sí",Mantenciones!$D:$D,"&gt;0")=0,"Sin datos de mantención registrado",_xlfn.MAXIFS(Mantenciones!$D:$D,Mantenciones!$B:$B,$A124,Mantenciones!$E:$E,"Sí",Mantenciones!$D:$D,"&gt;0")),"Sin datos de mantención registrado")</f>
        <v>107210</v>
      </c>
      <c r="S124" s="21">
        <f>IFERROR(SUMIFS(tblMantenciones[Costo Mantencion CLP],tblMantenciones[Codigo],A124),0)</f>
        <v>405817</v>
      </c>
      <c r="T124" s="21">
        <f>IFERROR(SUMIFS(tblComprasPM[Costo PM CLP],tblComprasPM[Codigo],tblMaestroEquipos[[#This Row],[Codigo]]),0)</f>
        <v>0</v>
      </c>
      <c r="U124" s="21">
        <f>IFERROR(tblMaestroEquipos[[#This Row],[Costo Mantenciones CLP]]+tblMaestroEquipos[[#This Row],[Costo Compras PM CLP]],0)</f>
        <v>405817</v>
      </c>
      <c r="V124" s="18" t="str">
        <f>IFERROR(_xlfn.XLOOKUP(tblMaestroEquipos[[#This Row],[Codigo]],tblEquipos[Codigo],tblEquipos[Estado Base]),"")</f>
        <v>Operativo</v>
      </c>
      <c r="W124" s="18" t="str">
        <f t="shared" si="10"/>
        <v>AL DÍA</v>
      </c>
      <c r="X124" s="18">
        <f t="shared" si="11"/>
        <v>11569</v>
      </c>
      <c r="Y124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57702</v>
      </c>
      <c r="Z12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24" s="25" t="str">
        <f>IFERROR(IF(_xlfn.MAXIFS(tblBodega[Fecha],tblBodega[Codigo],tblMaestroEquipos[[#This Row],[Codigo]])=0,"",_xlfn.MAXIFS(tblBodega[Fecha],tblBodega[Codigo],tblMaestroEquipos[[#This Row],[Codigo]])),"")</f>
        <v/>
      </c>
      <c r="AB12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2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2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24" s="51" t="str">
        <f t="shared" si="17"/>
        <v>OPERATIVO</v>
      </c>
      <c r="AF124" s="18" t="str">
        <f t="shared" si="12"/>
        <v>BAJA</v>
      </c>
      <c r="AG124" s="18" t="str">
        <f t="shared" si="13"/>
        <v>Monitorear próximo vencimiento</v>
      </c>
      <c r="AH124">
        <f t="shared" si="14"/>
        <v>0</v>
      </c>
      <c r="AI124" t="str">
        <f t="shared" si="15"/>
        <v/>
      </c>
      <c r="AJ124" s="24">
        <f t="shared" si="16"/>
        <v>99</v>
      </c>
    </row>
    <row r="125" spans="1:36">
      <c r="A125" s="18" t="s">
        <v>35</v>
      </c>
      <c r="B125" s="18" t="s">
        <v>20</v>
      </c>
      <c r="C125" s="18" t="s">
        <v>1069</v>
      </c>
      <c r="D125" s="18" t="s">
        <v>21</v>
      </c>
      <c r="E125" s="19" t="s">
        <v>22</v>
      </c>
      <c r="F125" s="18">
        <v>2019</v>
      </c>
      <c r="G125" s="18" t="str" cm="1">
        <f t="array" ref="G125">IFERROR(INDEX(Lecturas!$E$4:$E$3549,MATCH(1,(Lecturas!$B$4:$B$3549=$A125)*(Lecturas!$E$4:$E$3549&lt;&gt;"")*(Lecturas!$A$4:$A$3549=_xlfn.MAXIFS(Lecturas!$A$4:$A$3549,Lecturas!$B$4:$B$3549,$A125,Lecturas!$E$4:$E$3549,"&lt;&gt;")),0)),"")</f>
        <v>Taller</v>
      </c>
      <c r="H125" s="18" t="s">
        <v>37</v>
      </c>
      <c r="I125" s="18" t="s">
        <v>18</v>
      </c>
      <c r="J125" s="18">
        <v>250</v>
      </c>
      <c r="K125" s="18">
        <f>IFERROR(IF($I125="KM",ROUND((_xlfn.MAXIFS(tblLecturas[Kilometraje],tblLecturas[Codigo],$A125)-_xlfn.MINIFS(tblLecturas[Kilometraje],tblLecturas[Codigo],$A125))/(MAX(1,_xlfn.MAXIFS(tblLecturas[Fecha],tblLecturas[Codigo],$A125)-_xlfn.MINIFS(tblLecturas[Fecha],tblLecturas[Codigo],$A125))),1),ROUND((_xlfn.MAXIFS(tblLecturas[Horometro],tblLecturas[Codigo],$A125)-_xlfn.MINIFS(tblLecturas[Horometro],tblLecturas[Codigo],$A125))/(MAX(1,_xlfn.MAXIFS(tblLecturas[Fecha],tblLecturas[Codigo],$A125)-_xlfn.MINIFS(tblLecturas[Fecha],tblLecturas[Codigo],$A125))),1)),"")</f>
        <v>0.2</v>
      </c>
      <c r="L125" s="20">
        <f>IFERROR(_xlfn.MAXIFS(tblLecturas[Fecha],tblLecturas[Codigo],$A125),"")</f>
        <v>46105</v>
      </c>
      <c r="M125" s="26">
        <f>IFERROR(_xlfn.MAXIFS(Lecturas!$C:$C,Lecturas!$B:$B,$A125,Lecturas!$C:$C,"&gt;0"),"")</f>
        <v>8345</v>
      </c>
      <c r="N125" s="78">
        <f>IFERROR(_xlfn.MAXIFS(tblLecturas[Kilometraje],tblLecturas[Codigo],$A125,tblLecturas[Kilometraje],"&gt;0"),"")</f>
        <v>250115</v>
      </c>
      <c r="O125" s="78" cm="1">
        <f t="array" ref="O125">IFERROR(IF($I125="KM",LOOKUP(2,1/(Lecturas!$B:$B=$A125)/(Lecturas!$D:$D&gt;0),Lecturas!$D:$D),LOOKUP(2,1/(Lecturas!$B:$B=$A125)/(Lecturas!$C:$C&gt;0),Lecturas!$C:$C)),"")</f>
        <v>8345</v>
      </c>
      <c r="P125" s="20">
        <f>IFERROR(_xlfn.MAXIFS(tblMantenciones[Fecha],tblMantenciones[Codigo],tblMaestroEquipos[[#This Row],[Codigo]],tblMantenciones[EsPM],"Sí"),"")</f>
        <v>46044</v>
      </c>
      <c r="Q125" s="78">
        <f>IF(_xlfn.MAXIFS(Mantenciones!$D:$D,Mantenciones!$B:$B,A125)=0,"Sin datos de mantención registrado",_xlfn.MAXIFS(Mantenciones!$D:$D,Mantenciones!$B:$B,A125))</f>
        <v>8319</v>
      </c>
      <c r="R125" s="18">
        <f>IFERROR(IF(_xlfn.MAXIFS(Mantenciones!$D:$D,Mantenciones!$B:$B,$A125,Mantenciones!$E:$E,"Sí",Mantenciones!$D:$D,"&gt;0")=0,"Sin datos de mantención registrado",_xlfn.MAXIFS(Mantenciones!$D:$D,Mantenciones!$B:$B,$A125,Mantenciones!$E:$E,"Sí",Mantenciones!$D:$D,"&gt;0")),"Sin datos de mantención registrado")</f>
        <v>8319</v>
      </c>
      <c r="S125" s="21">
        <f>IFERROR(SUMIFS(tblMantenciones[Costo Mantencion CLP],tblMantenciones[Codigo],A125),0)</f>
        <v>0</v>
      </c>
      <c r="T125" s="21">
        <f>IFERROR(SUMIFS(tblComprasPM[Costo PM CLP],tblComprasPM[Codigo],tblMaestroEquipos[[#This Row],[Codigo]]),0)</f>
        <v>0</v>
      </c>
      <c r="U125" s="21">
        <f>IFERROR(tblMaestroEquipos[[#This Row],[Costo Mantenciones CLP]]+tblMaestroEquipos[[#This Row],[Costo Compras PM CLP]],0)</f>
        <v>0</v>
      </c>
      <c r="V125" s="18" t="str">
        <f>IFERROR(_xlfn.XLOOKUP(tblMaestroEquipos[[#This Row],[Codigo]],tblEquipos[Codigo],tblEquipos[Estado Base]),"")</f>
        <v>Operativo</v>
      </c>
      <c r="W125" s="18" t="str">
        <f t="shared" si="10"/>
        <v>AL DÍA</v>
      </c>
      <c r="X125" s="18">
        <f t="shared" si="11"/>
        <v>224</v>
      </c>
      <c r="Y12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46329</v>
      </c>
      <c r="Z12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25" s="25" t="str">
        <f>IFERROR(IF(_xlfn.MAXIFS(tblBodega[Fecha],tblBodega[Codigo],tblMaestroEquipos[[#This Row],[Codigo]])=0,"",_xlfn.MAXIFS(tblBodega[Fecha],tblBodega[Codigo],tblMaestroEquipos[[#This Row],[Codigo]])),"")</f>
        <v/>
      </c>
      <c r="AB12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2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2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25" s="51" t="str">
        <f t="shared" si="17"/>
        <v>OPERATIVO</v>
      </c>
      <c r="AF125" s="18" t="str">
        <f t="shared" si="12"/>
        <v>BAJA</v>
      </c>
      <c r="AG125" s="18" t="str">
        <f t="shared" si="13"/>
        <v>Monitorear próximo vencimiento</v>
      </c>
      <c r="AH125">
        <f t="shared" si="14"/>
        <v>0</v>
      </c>
      <c r="AI125" t="str">
        <f t="shared" si="15"/>
        <v/>
      </c>
      <c r="AJ125" s="24">
        <f t="shared" si="16"/>
        <v>99</v>
      </c>
    </row>
    <row r="126" spans="1:36">
      <c r="A126" s="18" t="s">
        <v>458</v>
      </c>
      <c r="B126" s="18" t="s">
        <v>459</v>
      </c>
      <c r="C126" s="18" t="s">
        <v>1074</v>
      </c>
      <c r="D126" s="18" t="s">
        <v>99</v>
      </c>
      <c r="E126" s="19" t="s">
        <v>460</v>
      </c>
      <c r="F126" s="18">
        <v>2023</v>
      </c>
      <c r="G126" s="18" t="str" cm="1">
        <f t="array" ref="G126">IFERROR(INDEX(Lecturas!$E$4:$E$3549,MATCH(1,(Lecturas!$B$4:$B$3549=$A126)*(Lecturas!$E$4:$E$3549&lt;&gt;"")*(Lecturas!$A$4:$A$3549=_xlfn.MAXIFS(Lecturas!$A$4:$A$3549,Lecturas!$B$4:$B$3549,$A126,Lecturas!$E$4:$E$3549,"&lt;&gt;")),0)),"")</f>
        <v>Villaseca</v>
      </c>
      <c r="H126" s="18" t="s">
        <v>262</v>
      </c>
      <c r="I126" s="18" t="s">
        <v>462</v>
      </c>
      <c r="J126" s="18">
        <v>15000</v>
      </c>
      <c r="K126" s="18">
        <f>IFERROR(IF($I126="KM",ROUND((_xlfn.MAXIFS(tblLecturas[Kilometraje],tblLecturas[Codigo],$A126)-_xlfn.MINIFS(tblLecturas[Kilometraje],tblLecturas[Codigo],$A126))/(MAX(1,_xlfn.MAXIFS(tblLecturas[Fecha],tblLecturas[Codigo],$A126)-_xlfn.MINIFS(tblLecturas[Fecha],tblLecturas[Codigo],$A126))),1),ROUND((_xlfn.MAXIFS(tblLecturas[Horometro],tblLecturas[Codigo],$A126)-_xlfn.MINIFS(tblLecturas[Horometro],tblLecturas[Codigo],$A126))/(MAX(1,_xlfn.MAXIFS(tblLecturas[Fecha],tblLecturas[Codigo],$A126)-_xlfn.MINIFS(tblLecturas[Fecha],tblLecturas[Codigo],$A126))),1)),"")</f>
        <v>72.599999999999994</v>
      </c>
      <c r="L126" s="20">
        <f>IFERROR(_xlfn.MAXIFS(tblLecturas[Fecha],tblLecturas[Codigo],$A126),"")</f>
        <v>46139</v>
      </c>
      <c r="M126" s="26">
        <f>IFERROR(_xlfn.MAXIFS(Lecturas!$C:$C,Lecturas!$B:$B,$A126,Lecturas!$C:$C,"&gt;0"),"")</f>
        <v>0</v>
      </c>
      <c r="N126" s="78">
        <f>IFERROR(_xlfn.MAXIFS(tblLecturas[Kilometraje],tblLecturas[Codigo],$A126,tblLecturas[Kilometraje],"&gt;0"),"")</f>
        <v>99450</v>
      </c>
      <c r="O126" s="78" cm="1">
        <f t="array" ref="O126">IFERROR(IF($I126="KM",LOOKUP(2,1/(Lecturas!$B:$B=$A126)/(Lecturas!$D:$D&gt;0),Lecturas!$D:$D),LOOKUP(2,1/(Lecturas!$B:$B=$A126)/(Lecturas!$C:$C&gt;0),Lecturas!$C:$C)),"")</f>
        <v>99450</v>
      </c>
      <c r="P126" s="20">
        <f>IFERROR(_xlfn.MAXIFS(tblMantenciones[Fecha],tblMantenciones[Codigo],tblMaestroEquipos[[#This Row],[Codigo]],tblMantenciones[EsPM],"Sí"),"")</f>
        <v>0</v>
      </c>
      <c r="Q126" s="78">
        <f>IF(_xlfn.MAXIFS(Mantenciones!$D:$D,Mantenciones!$B:$B,A126)=0,"Sin datos de mantención registrado",_xlfn.MAXIFS(Mantenciones!$D:$D,Mantenciones!$B:$B,A126))</f>
        <v>89665</v>
      </c>
      <c r="R126" s="18">
        <f>IFERROR(IF(_xlfn.MAXIFS(Mantenciones!$D:$D,Mantenciones!$B:$B,$A126,Mantenciones!$E:$E,"Sí",Mantenciones!$D:$D,"&gt;0")=0,"Sin datos de mantención registrado",_xlfn.MAXIFS(Mantenciones!$D:$D,Mantenciones!$B:$B,$A126,Mantenciones!$E:$E,"Sí",Mantenciones!$D:$D,"&gt;0")),"Sin datos de mantención registrado")</f>
        <v>89665</v>
      </c>
      <c r="S126" s="21">
        <f>IFERROR(SUMIFS(tblMantenciones[Costo Mantencion CLP],tblMantenciones[Codigo],A126),0)</f>
        <v>0</v>
      </c>
      <c r="T126" s="21">
        <f>IFERROR(SUMIFS(tblComprasPM[Costo PM CLP],tblComprasPM[Codigo],tblMaestroEquipos[[#This Row],[Codigo]]),0)</f>
        <v>0</v>
      </c>
      <c r="U126" s="21">
        <f>IFERROR(tblMaestroEquipos[[#This Row],[Costo Mantenciones CLP]]+tblMaestroEquipos[[#This Row],[Costo Compras PM CLP]],0)</f>
        <v>0</v>
      </c>
      <c r="V126" s="18" t="str">
        <f>IFERROR(_xlfn.XLOOKUP(tblMaestroEquipos[[#This Row],[Codigo]],tblEquipos[Codigo],tblEquipos[Estado Base]),"")</f>
        <v>Operativo</v>
      </c>
      <c r="W126" s="18" t="str">
        <f t="shared" si="10"/>
        <v>AL DÍA</v>
      </c>
      <c r="X126" s="18">
        <f t="shared" si="11"/>
        <v>5215</v>
      </c>
      <c r="Y126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51354</v>
      </c>
      <c r="Z12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26" s="25" t="str">
        <f>IFERROR(IF(_xlfn.MAXIFS(tblBodega[Fecha],tblBodega[Codigo],tblMaestroEquipos[[#This Row],[Codigo]])=0,"",_xlfn.MAXIFS(tblBodega[Fecha],tblBodega[Codigo],tblMaestroEquipos[[#This Row],[Codigo]])),"")</f>
        <v/>
      </c>
      <c r="AB12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2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2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26" s="51" t="str">
        <f t="shared" si="17"/>
        <v>OPERATIVO</v>
      </c>
      <c r="AF126" s="18" t="str">
        <f t="shared" si="12"/>
        <v>BAJA</v>
      </c>
      <c r="AG126" s="18" t="str">
        <f t="shared" si="13"/>
        <v>Monitorear próximo vencimiento</v>
      </c>
      <c r="AH126">
        <f t="shared" si="14"/>
        <v>0</v>
      </c>
      <c r="AI126" t="str">
        <f t="shared" si="15"/>
        <v/>
      </c>
      <c r="AJ126" s="24">
        <f t="shared" si="16"/>
        <v>99</v>
      </c>
    </row>
    <row r="127" spans="1:36">
      <c r="A127" s="18" t="s">
        <v>510</v>
      </c>
      <c r="B127" s="18" t="s">
        <v>502</v>
      </c>
      <c r="C127" s="18" t="s">
        <v>1074</v>
      </c>
      <c r="D127" s="18" t="s">
        <v>503</v>
      </c>
      <c r="E127" s="19" t="s">
        <v>504</v>
      </c>
      <c r="F127" s="18">
        <v>2025</v>
      </c>
      <c r="G127" s="18" t="str" cm="1">
        <f t="array" ref="G127">IFERROR(INDEX(Lecturas!$E$4:$E$3549,MATCH(1,(Lecturas!$B$4:$B$3549=$A127)*(Lecturas!$E$4:$E$3549&lt;&gt;"")*(Lecturas!$A$4:$A$3549=_xlfn.MAXIFS(Lecturas!$A$4:$A$3549,Lecturas!$B$4:$B$3549,$A127,Lecturas!$E$4:$E$3549,"&lt;&gt;")),0)),"")</f>
        <v>Pelluhue</v>
      </c>
      <c r="H127" s="18" t="s">
        <v>36</v>
      </c>
      <c r="I127" s="18" t="s">
        <v>462</v>
      </c>
      <c r="J127" s="18">
        <v>10000</v>
      </c>
      <c r="K127" s="18">
        <f>IFERROR(IF($I127="KM",ROUND((_xlfn.MAXIFS(tblLecturas[Kilometraje],tblLecturas[Codigo],$A127)-_xlfn.MINIFS(tblLecturas[Kilometraje],tblLecturas[Codigo],$A127))/(MAX(1,_xlfn.MAXIFS(tblLecturas[Fecha],tblLecturas[Codigo],$A127)-_xlfn.MINIFS(tblLecturas[Fecha],tblLecturas[Codigo],$A127))),1),ROUND((_xlfn.MAXIFS(tblLecturas[Horometro],tblLecturas[Codigo],$A127)-_xlfn.MINIFS(tblLecturas[Horometro],tblLecturas[Codigo],$A127))/(MAX(1,_xlfn.MAXIFS(tblLecturas[Fecha],tblLecturas[Codigo],$A127)-_xlfn.MINIFS(tblLecturas[Fecha],tblLecturas[Codigo],$A127))),1)),"")</f>
        <v>102.6</v>
      </c>
      <c r="L127" s="20">
        <f>IFERROR(_xlfn.MAXIFS(tblLecturas[Fecha],tblLecturas[Codigo],$A127),"")</f>
        <v>46120</v>
      </c>
      <c r="M127" s="26">
        <f>IFERROR(_xlfn.MAXIFS(Lecturas!$C:$C,Lecturas!$B:$B,$A127,Lecturas!$C:$C,"&gt;0"),"")</f>
        <v>0</v>
      </c>
      <c r="N127" s="78">
        <f>IFERROR(_xlfn.MAXIFS(tblLecturas[Kilometraje],tblLecturas[Codigo],$A127,tblLecturas[Kilometraje],"&gt;0"),"")</f>
        <v>47499</v>
      </c>
      <c r="O127" s="78" cm="1">
        <f t="array" ref="O127">IFERROR(IF($I127="KM",LOOKUP(2,1/(Lecturas!$B:$B=$A127)/(Lecturas!$D:$D&gt;0),Lecturas!$D:$D),LOOKUP(2,1/(Lecturas!$B:$B=$A127)/(Lecturas!$C:$C&gt;0),Lecturas!$C:$C)),"")</f>
        <v>47499</v>
      </c>
      <c r="P127" s="20">
        <f>IFERROR(_xlfn.MAXIFS(tblMantenciones[Fecha],tblMantenciones[Codigo],tblMaestroEquipos[[#This Row],[Codigo]],tblMantenciones[EsPM],"Sí"),"")</f>
        <v>46105</v>
      </c>
      <c r="Q127" s="78">
        <f>IF(_xlfn.MAXIFS(Mantenciones!$D:$D,Mantenciones!$B:$B,A127)=0,"Sin datos de mantención registrado",_xlfn.MAXIFS(Mantenciones!$D:$D,Mantenciones!$B:$B,A127))</f>
        <v>46246</v>
      </c>
      <c r="R127" s="18">
        <f>IFERROR(IF(_xlfn.MAXIFS(Mantenciones!$D:$D,Mantenciones!$B:$B,$A127,Mantenciones!$E:$E,"Sí",Mantenciones!$D:$D,"&gt;0")=0,"Sin datos de mantención registrado",_xlfn.MAXIFS(Mantenciones!$D:$D,Mantenciones!$B:$B,$A127,Mantenciones!$E:$E,"Sí",Mantenciones!$D:$D,"&gt;0")),"Sin datos de mantención registrado")</f>
        <v>46246</v>
      </c>
      <c r="S127" s="21">
        <f>IFERROR(SUMIFS(tblMantenciones[Costo Mantencion CLP],tblMantenciones[Codigo],A127),0)</f>
        <v>0</v>
      </c>
      <c r="T127" s="21">
        <f>IFERROR(SUMIFS(tblComprasPM[Costo PM CLP],tblComprasPM[Codigo],tblMaestroEquipos[[#This Row],[Codigo]]),0)</f>
        <v>24399.973999999998</v>
      </c>
      <c r="U127" s="21">
        <f>IFERROR(tblMaestroEquipos[[#This Row],[Costo Mantenciones CLP]]+tblMaestroEquipos[[#This Row],[Costo Compras PM CLP]],0)</f>
        <v>24399.973999999998</v>
      </c>
      <c r="V127" s="18" t="str">
        <f>IFERROR(_xlfn.XLOOKUP(tblMaestroEquipos[[#This Row],[Codigo]],tblEquipos[Codigo],tblEquipos[Estado Base]),"")</f>
        <v>Operativo</v>
      </c>
      <c r="W127" s="18" t="str">
        <f t="shared" si="10"/>
        <v>AL DÍA</v>
      </c>
      <c r="X127" s="18">
        <f t="shared" si="11"/>
        <v>8747</v>
      </c>
      <c r="Y127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54867</v>
      </c>
      <c r="Z127" s="25">
        <f>IFERROR(IF(_xlfn.MINIFS(tblComprasPM[Fecha],tblComprasPM[Codigo],tblMaestroEquipos[[#This Row],[Codigo]])=0,"",_xlfn.MINIFS(tblComprasPM[Fecha],tblComprasPM[Codigo],tblMaestroEquipos[[#This Row],[Codigo]])),"")</f>
        <v>46118</v>
      </c>
      <c r="AA127" s="25">
        <f>IFERROR(IF(_xlfn.MAXIFS(tblBodega[Fecha],tblBodega[Codigo],tblMaestroEquipos[[#This Row],[Codigo]])=0,"",_xlfn.MAXIFS(tblBodega[Fecha],tblBodega[Codigo],tblMaestroEquipos[[#This Row],[Codigo]])),"")</f>
        <v>46078</v>
      </c>
      <c r="AB12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27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27</v>
      </c>
      <c r="AD12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27" s="51" t="str">
        <f t="shared" si="17"/>
        <v>OPERATIVO</v>
      </c>
      <c r="AF127" s="18" t="str">
        <f t="shared" si="12"/>
        <v>BAJA</v>
      </c>
      <c r="AG127" s="18" t="str">
        <f t="shared" si="13"/>
        <v>Monitorear próximo vencimiento</v>
      </c>
      <c r="AH127">
        <f t="shared" si="14"/>
        <v>0</v>
      </c>
      <c r="AI127" t="str">
        <f t="shared" si="15"/>
        <v/>
      </c>
      <c r="AJ127" s="24">
        <f t="shared" si="16"/>
        <v>99</v>
      </c>
    </row>
    <row r="128" spans="1:36">
      <c r="A128" s="18" t="s">
        <v>447</v>
      </c>
      <c r="B128" s="18" t="s">
        <v>340</v>
      </c>
      <c r="C128" s="18" t="s">
        <v>1070</v>
      </c>
      <c r="D128" s="18" t="s">
        <v>280</v>
      </c>
      <c r="E128" s="19" t="s">
        <v>444</v>
      </c>
      <c r="F128" s="18">
        <v>2023</v>
      </c>
      <c r="G128" s="18" t="str" cm="1">
        <f t="array" ref="G128">IFERROR(INDEX(Lecturas!$E$4:$E$3549,MATCH(1,(Lecturas!$B$4:$B$3549=$A128)*(Lecturas!$E$4:$E$3549&lt;&gt;"")*(Lecturas!$A$4:$A$3549=_xlfn.MAXIFS(Lecturas!$A$4:$A$3549,Lecturas!$B$4:$B$3549,$A128,Lecturas!$E$4:$E$3549,"&lt;&gt;")),0)),"")</f>
        <v>Quirihue</v>
      </c>
      <c r="H128" s="18" t="s">
        <v>448</v>
      </c>
      <c r="I128" s="18" t="s">
        <v>18</v>
      </c>
      <c r="J128" s="18">
        <v>250</v>
      </c>
      <c r="K128" s="18">
        <f>IFERROR(IF($I128="KM",ROUND((_xlfn.MAXIFS(tblLecturas[Kilometraje],tblLecturas[Codigo],$A128)-_xlfn.MINIFS(tblLecturas[Kilometraje],tblLecturas[Codigo],$A128))/(MAX(1,_xlfn.MAXIFS(tblLecturas[Fecha],tblLecturas[Codigo],$A128)-_xlfn.MINIFS(tblLecturas[Fecha],tblLecturas[Codigo],$A128))),1),ROUND((_xlfn.MAXIFS(tblLecturas[Horometro],tblLecturas[Codigo],$A128)-_xlfn.MINIFS(tblLecturas[Horometro],tblLecturas[Codigo],$A128))/(MAX(1,_xlfn.MAXIFS(tblLecturas[Fecha],tblLecturas[Codigo],$A128)-_xlfn.MINIFS(tblLecturas[Fecha],tblLecturas[Codigo],$A128))),1)),"")</f>
        <v>3.9</v>
      </c>
      <c r="L128" s="20">
        <f>IFERROR(_xlfn.MAXIFS(tblLecturas[Fecha],tblLecturas[Codigo],$A128),"")</f>
        <v>46101</v>
      </c>
      <c r="M128" s="26">
        <f>IFERROR(_xlfn.MAXIFS(Lecturas!$C:$C,Lecturas!$B:$B,$A128,Lecturas!$C:$C,"&gt;0"),"")</f>
        <v>1872</v>
      </c>
      <c r="N128" s="78">
        <f>IFERROR(_xlfn.MAXIFS(tblLecturas[Kilometraje],tblLecturas[Codigo],$A128,tblLecturas[Kilometraje],"&gt;0"),"")</f>
        <v>0</v>
      </c>
      <c r="O128" s="78" cm="1">
        <f t="array" ref="O128">IFERROR(IF($I128="KM",LOOKUP(2,1/(Lecturas!$B:$B=$A128)/(Lecturas!$D:$D&gt;0),Lecturas!$D:$D),LOOKUP(2,1/(Lecturas!$B:$B=$A128)/(Lecturas!$C:$C&gt;0),Lecturas!$C:$C)),"")</f>
        <v>1872</v>
      </c>
      <c r="P128" s="20">
        <f>IFERROR(_xlfn.MAXIFS(tblMantenciones[Fecha],tblMantenciones[Codigo],tblMaestroEquipos[[#This Row],[Codigo]],tblMantenciones[EsPM],"Sí"),"")</f>
        <v>46093</v>
      </c>
      <c r="Q128" s="78">
        <f>IF(_xlfn.MAXIFS(Mantenciones!$D:$D,Mantenciones!$B:$B,A128)=0,"Sin datos de mantención registrado",_xlfn.MAXIFS(Mantenciones!$D:$D,Mantenciones!$B:$B,A128))</f>
        <v>1713</v>
      </c>
      <c r="R128" s="18">
        <f>IFERROR(IF(_xlfn.MAXIFS(Mantenciones!$D:$D,Mantenciones!$B:$B,$A128,Mantenciones!$E:$E,"Sí",Mantenciones!$D:$D,"&gt;0")=0,"Sin datos de mantención registrado",_xlfn.MAXIFS(Mantenciones!$D:$D,Mantenciones!$B:$B,$A128,Mantenciones!$E:$E,"Sí",Mantenciones!$D:$D,"&gt;0")),"Sin datos de mantención registrado")</f>
        <v>1713</v>
      </c>
      <c r="S128" s="21">
        <f>IFERROR(SUMIFS(tblMantenciones[Costo Mantencion CLP],tblMantenciones[Codigo],A128),0)</f>
        <v>133882.14000000001</v>
      </c>
      <c r="T128" s="21">
        <f>IFERROR(SUMIFS(tblComprasPM[Costo PM CLP],tblComprasPM[Codigo],tblMaestroEquipos[[#This Row],[Codigo]]),0)</f>
        <v>133882.14000000001</v>
      </c>
      <c r="U128" s="21">
        <f>IFERROR(tblMaestroEquipos[[#This Row],[Costo Mantenciones CLP]]+tblMaestroEquipos[[#This Row],[Costo Compras PM CLP]],0)</f>
        <v>267764.28000000003</v>
      </c>
      <c r="V128" s="18" t="str">
        <f>IFERROR(_xlfn.XLOOKUP(tblMaestroEquipos[[#This Row],[Codigo]],tblEquipos[Codigo],tblEquipos[Estado Base]),"")</f>
        <v>Operativo</v>
      </c>
      <c r="W128" s="18" t="str">
        <f t="shared" si="10"/>
        <v>AL DÍA</v>
      </c>
      <c r="X128" s="18">
        <f t="shared" si="11"/>
        <v>91</v>
      </c>
      <c r="Y128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46192</v>
      </c>
      <c r="Z128" s="25">
        <f>IFERROR(IF(_xlfn.MINIFS(tblComprasPM[Fecha],tblComprasPM[Codigo],tblMaestroEquipos[[#This Row],[Codigo]])=0,"",_xlfn.MINIFS(tblComprasPM[Fecha],tblComprasPM[Codigo],tblMaestroEquipos[[#This Row],[Codigo]])),"")</f>
        <v>46086.710126585698</v>
      </c>
      <c r="AA128" s="25">
        <f>IFERROR(IF(_xlfn.MAXIFS(tblBodega[Fecha],tblBodega[Codigo],tblMaestroEquipos[[#This Row],[Codigo]])=0,"",_xlfn.MAXIFS(tblBodega[Fecha],tblBodega[Codigo],tblMaestroEquipos[[#This Row],[Codigo]])),"")</f>
        <v>46080</v>
      </c>
      <c r="AB12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7</v>
      </c>
      <c r="AC128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13</v>
      </c>
      <c r="AD12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28" s="51" t="str">
        <f t="shared" si="17"/>
        <v>OPERATIVO</v>
      </c>
      <c r="AF128" s="18" t="str">
        <f t="shared" si="12"/>
        <v>BAJA</v>
      </c>
      <c r="AG128" s="18" t="str">
        <f t="shared" si="13"/>
        <v>Monitorear próximo vencimiento</v>
      </c>
      <c r="AH128">
        <f t="shared" si="14"/>
        <v>0</v>
      </c>
      <c r="AI128" t="str">
        <f t="shared" si="15"/>
        <v/>
      </c>
      <c r="AJ128" s="24">
        <f t="shared" si="16"/>
        <v>99</v>
      </c>
    </row>
    <row r="129" spans="1:36">
      <c r="A129" s="18" t="s">
        <v>549</v>
      </c>
      <c r="B129" s="18" t="s">
        <v>459</v>
      </c>
      <c r="C129" s="18" t="s">
        <v>1074</v>
      </c>
      <c r="D129" s="18" t="s">
        <v>99</v>
      </c>
      <c r="E129" s="19" t="s">
        <v>460</v>
      </c>
      <c r="F129" s="18">
        <v>2026</v>
      </c>
      <c r="G129" s="18" t="str" cm="1">
        <f t="array" ref="G129">IFERROR(INDEX(Lecturas!$E$4:$E$3549,MATCH(1,(Lecturas!$B$4:$B$3549=$A129)*(Lecturas!$E$4:$E$3549&lt;&gt;"")*(Lecturas!$A$4:$A$3549=_xlfn.MAXIFS(Lecturas!$A$4:$A$3549,Lecturas!$B$4:$B$3549,$A129,Lecturas!$E$4:$E$3549,"&lt;&gt;")),0)),"")</f>
        <v>Palmucho</v>
      </c>
      <c r="H129" s="18"/>
      <c r="I129" s="18" t="s">
        <v>462</v>
      </c>
      <c r="J129" s="18">
        <v>15000</v>
      </c>
      <c r="K129" s="18">
        <f>IFERROR(IF($I129="KM",ROUND((_xlfn.MAXIFS(tblLecturas[Kilometraje],tblLecturas[Codigo],$A129)-_xlfn.MINIFS(tblLecturas[Kilometraje],tblLecturas[Codigo],$A129))/(MAX(1,_xlfn.MAXIFS(tblLecturas[Fecha],tblLecturas[Codigo],$A129)-_xlfn.MINIFS(tblLecturas[Fecha],tblLecturas[Codigo],$A129))),1),ROUND((_xlfn.MAXIFS(tblLecturas[Horometro],tblLecturas[Codigo],$A129)-_xlfn.MINIFS(tblLecturas[Horometro],tblLecturas[Codigo],$A129))/(MAX(1,_xlfn.MAXIFS(tblLecturas[Fecha],tblLecturas[Codigo],$A129)-_xlfn.MINIFS(tblLecturas[Fecha],tblLecturas[Codigo],$A129))),1)),"")</f>
        <v>145.19999999999999</v>
      </c>
      <c r="L129" s="20">
        <f>IFERROR(_xlfn.MAXIFS(tblLecturas[Fecha],tblLecturas[Codigo],$A129),"")</f>
        <v>46107</v>
      </c>
      <c r="M129" s="26">
        <f>IFERROR(_xlfn.MAXIFS(Lecturas!$C:$C,Lecturas!$B:$B,$A129,Lecturas!$C:$C,"&gt;0"),"")</f>
        <v>0</v>
      </c>
      <c r="N129" s="78">
        <f>IFERROR(_xlfn.MAXIFS(tblLecturas[Kilometraje],tblLecturas[Codigo],$A129,tblLecturas[Kilometraje],"&gt;0"),"")</f>
        <v>18053</v>
      </c>
      <c r="O129" s="78" cm="1">
        <f t="array" ref="O129">IFERROR(IF($I129="KM",LOOKUP(2,1/(Lecturas!$B:$B=$A129)/(Lecturas!$D:$D&gt;0),Lecturas!$D:$D),LOOKUP(2,1/(Lecturas!$B:$B=$A129)/(Lecturas!$C:$C&gt;0),Lecturas!$C:$C)),"")</f>
        <v>18053</v>
      </c>
      <c r="P129" s="20">
        <f>IFERROR(_xlfn.MAXIFS(tblMantenciones[Fecha],tblMantenciones[Codigo],tblMaestroEquipos[[#This Row],[Codigo]],tblMantenciones[EsPM],"Sí"),"")</f>
        <v>46086</v>
      </c>
      <c r="Q129" s="78">
        <f>IF(_xlfn.MAXIFS(Mantenciones!$D:$D,Mantenciones!$B:$B,A129)=0,"Sin datos de mantención registrado",_xlfn.MAXIFS(Mantenciones!$D:$D,Mantenciones!$B:$B,A129))</f>
        <v>14872</v>
      </c>
      <c r="R129" s="18">
        <f>IFERROR(IF(_xlfn.MAXIFS(Mantenciones!$D:$D,Mantenciones!$B:$B,$A129,Mantenciones!$E:$E,"Sí",Mantenciones!$D:$D,"&gt;0")=0,"Sin datos de mantención registrado",_xlfn.MAXIFS(Mantenciones!$D:$D,Mantenciones!$B:$B,$A129,Mantenciones!$E:$E,"Sí",Mantenciones!$D:$D,"&gt;0")),"Sin datos de mantención registrado")</f>
        <v>14872</v>
      </c>
      <c r="S129" s="21">
        <f>IFERROR(SUMIFS(tblMantenciones[Costo Mantencion CLP],tblMantenciones[Codigo],A129),0)</f>
        <v>252383</v>
      </c>
      <c r="T129" s="21">
        <f>IFERROR(SUMIFS(tblComprasPM[Costo PM CLP],tblComprasPM[Codigo],tblMaestroEquipos[[#This Row],[Codigo]]),0)</f>
        <v>300335.77</v>
      </c>
      <c r="U129" s="21">
        <f>IFERROR(tblMaestroEquipos[[#This Row],[Costo Mantenciones CLP]]+tblMaestroEquipos[[#This Row],[Costo Compras PM CLP]],0)</f>
        <v>552718.77</v>
      </c>
      <c r="V129" s="18" t="str">
        <f>IFERROR(_xlfn.XLOOKUP(tblMaestroEquipos[[#This Row],[Codigo]],tblEquipos[Codigo],tblEquipos[Estado Base]),"")</f>
        <v>Operativo</v>
      </c>
      <c r="W129" s="18" t="str">
        <f t="shared" si="10"/>
        <v>EN PROCESO</v>
      </c>
      <c r="X129" s="18">
        <f t="shared" si="11"/>
        <v>11819</v>
      </c>
      <c r="Y129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57926</v>
      </c>
      <c r="Z129" s="25">
        <f>IFERROR(IF(_xlfn.MINIFS(tblComprasPM[Fecha],tblComprasPM[Codigo],tblMaestroEquipos[[#This Row],[Codigo]])=0,"",_xlfn.MINIFS(tblComprasPM[Fecha],tblComprasPM[Codigo],tblMaestroEquipos[[#This Row],[Codigo]])),"")</f>
        <v>46086.516942939801</v>
      </c>
      <c r="AA129" s="25" t="str">
        <f>IFERROR(IF(_xlfn.MAXIFS(tblBodega[Fecha],tblBodega[Codigo],tblMaestroEquipos[[#This Row],[Codigo]])=0,"",_xlfn.MAXIFS(tblBodega[Fecha],tblBodega[Codigo],tblMaestroEquipos[[#This Row],[Codigo]])),"")</f>
        <v/>
      </c>
      <c r="AB12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2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2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29" s="51" t="str">
        <f t="shared" si="17"/>
        <v>EN PROCESO</v>
      </c>
      <c r="AF129" s="18" t="str">
        <f t="shared" si="12"/>
        <v>SEGUIMIENTO</v>
      </c>
      <c r="AG129" s="18" t="str">
        <f t="shared" si="13"/>
        <v>Hacer seguimiento al taller y cerrar report</v>
      </c>
      <c r="AH129">
        <f t="shared" si="14"/>
        <v>0</v>
      </c>
      <c r="AI129" t="str">
        <f t="shared" si="15"/>
        <v/>
      </c>
      <c r="AJ129" s="24">
        <f t="shared" si="16"/>
        <v>2</v>
      </c>
    </row>
    <row r="130" spans="1:36">
      <c r="A130" s="18" t="s">
        <v>616</v>
      </c>
      <c r="B130" s="18" t="s">
        <v>459</v>
      </c>
      <c r="C130" s="18" t="s">
        <v>1074</v>
      </c>
      <c r="D130" s="18" t="s">
        <v>99</v>
      </c>
      <c r="E130" s="19" t="s">
        <v>566</v>
      </c>
      <c r="F130" s="18">
        <v>2023</v>
      </c>
      <c r="G130" s="18" t="str" cm="1">
        <f t="array" ref="G130">IFERROR(INDEX(Lecturas!$E$4:$E$3549,MATCH(1,(Lecturas!$B$4:$B$3549=$A130)*(Lecturas!$E$4:$E$3549&lt;&gt;"")*(Lecturas!$A$4:$A$3549=_xlfn.MAXIFS(Lecturas!$A$4:$A$3549,Lecturas!$B$4:$B$3549,$A130,Lecturas!$E$4:$E$3549,"&lt;&gt;")),0)),"")</f>
        <v/>
      </c>
      <c r="H130" s="18" t="s">
        <v>617</v>
      </c>
      <c r="I130" s="18" t="s">
        <v>462</v>
      </c>
      <c r="J130" s="18">
        <v>15000</v>
      </c>
      <c r="K130" s="18">
        <f>IFERROR(IF($I130="KM",ROUND((_xlfn.MAXIFS(tblLecturas[Kilometraje],tblLecturas[Codigo],$A130)-_xlfn.MINIFS(tblLecturas[Kilometraje],tblLecturas[Codigo],$A130))/(MAX(1,_xlfn.MAXIFS(tblLecturas[Fecha],tblLecturas[Codigo],$A130)-_xlfn.MINIFS(tblLecturas[Fecha],tblLecturas[Codigo],$A130))),1),ROUND((_xlfn.MAXIFS(tblLecturas[Horometro],tblLecturas[Codigo],$A130)-_xlfn.MINIFS(tblLecturas[Horometro],tblLecturas[Codigo],$A130))/(MAX(1,_xlfn.MAXIFS(tblLecturas[Fecha],tblLecturas[Codigo],$A130)-_xlfn.MINIFS(tblLecturas[Fecha],tblLecturas[Codigo],$A130))),1)),"")</f>
        <v>171.2</v>
      </c>
      <c r="L130" s="20">
        <f>IFERROR(_xlfn.MAXIFS(tblLecturas[Fecha],tblLecturas[Codigo],$A130),"")</f>
        <v>46104</v>
      </c>
      <c r="M130" s="26">
        <f>IFERROR(_xlfn.MAXIFS(Lecturas!$C:$C,Lecturas!$B:$B,$A130,Lecturas!$C:$C,"&gt;0"),"")</f>
        <v>0</v>
      </c>
      <c r="N130" s="78">
        <f>IFERROR(_xlfn.MAXIFS(tblLecturas[Kilometraje],tblLecturas[Codigo],$A130,tblLecturas[Kilometraje],"&gt;0"),"")</f>
        <v>125496</v>
      </c>
      <c r="O130" s="78" cm="1">
        <f t="array" ref="O130">IFERROR(IF($I130="KM",LOOKUP(2,1/(Lecturas!$B:$B=$A130)/(Lecturas!$D:$D&gt;0),Lecturas!$D:$D),LOOKUP(2,1/(Lecturas!$B:$B=$A130)/(Lecturas!$C:$C&gt;0),Lecturas!$C:$C)),"")</f>
        <v>125496</v>
      </c>
      <c r="P130" s="20">
        <f>IFERROR(_xlfn.MAXIFS(tblMantenciones[Fecha],tblMantenciones[Codigo],tblMaestroEquipos[[#This Row],[Codigo]],tblMantenciones[EsPM],"Sí"),"")</f>
        <v>46093</v>
      </c>
      <c r="Q130" s="78">
        <f>IF(_xlfn.MAXIFS(Mantenciones!$D:$D,Mantenciones!$B:$B,A130)=0,"Sin datos de mantención registrado",_xlfn.MAXIFS(Mantenciones!$D:$D,Mantenciones!$B:$B,A130))</f>
        <v>123772</v>
      </c>
      <c r="R130" s="18">
        <f>IFERROR(IF(_xlfn.MAXIFS(Mantenciones!$D:$D,Mantenciones!$B:$B,$A130,Mantenciones!$E:$E,"Sí",Mantenciones!$D:$D,"&gt;0")=0,"Sin datos de mantención registrado",_xlfn.MAXIFS(Mantenciones!$D:$D,Mantenciones!$B:$B,$A130,Mantenciones!$E:$E,"Sí",Mantenciones!$D:$D,"&gt;0")),"Sin datos de mantención registrado")</f>
        <v>123772</v>
      </c>
      <c r="S130" s="21">
        <f>IFERROR(SUMIFS(tblMantenciones[Costo Mantencion CLP],tblMantenciones[Codigo],tblMaestroEquipos[[#This Row],[Codigo]]),0)</f>
        <v>0</v>
      </c>
      <c r="T130" s="21">
        <f>IFERROR(SUMIFS(tblComprasPM[Costo PM CLP],tblComprasPM[Codigo],tblMaestroEquipos[[#This Row],[Codigo]]),0)</f>
        <v>24499.97</v>
      </c>
      <c r="U130" s="21">
        <f>IFERROR(tblMaestroEquipos[[#This Row],[Costo Mantenciones CLP]]+tblMaestroEquipos[[#This Row],[Costo Compras PM CLP]],0)</f>
        <v>24499.97</v>
      </c>
      <c r="V130" s="18" t="str">
        <f>IFERROR(_xlfn.XLOOKUP(tblMaestroEquipos[[#This Row],[Codigo]],tblEquipos[Codigo],tblEquipos[Estado Base]),"")</f>
        <v>Operativo</v>
      </c>
      <c r="W130" s="18" t="str">
        <f t="shared" si="10"/>
        <v>AL DÍA</v>
      </c>
      <c r="X130" s="18">
        <f t="shared" si="11"/>
        <v>13276</v>
      </c>
      <c r="Y130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59380</v>
      </c>
      <c r="Z130" s="25">
        <f>IFERROR(IF(_xlfn.MINIFS(tblComprasPM[Fecha],tblComprasPM[Codigo],tblMaestroEquipos[[#This Row],[Codigo]])=0,"",_xlfn.MINIFS(tblComprasPM[Fecha],tblComprasPM[Codigo],tblMaestroEquipos[[#This Row],[Codigo]])),"")</f>
        <v>46127</v>
      </c>
      <c r="AA130" s="25">
        <f>IFERROR(IF(_xlfn.MAXIFS(tblBodega[Fecha],tblBodega[Codigo],tblMaestroEquipos[[#This Row],[Codigo]])=0,"",_xlfn.MAXIFS(tblBodega[Fecha],tblBodega[Codigo],tblMaestroEquipos[[#This Row],[Codigo]])),"")</f>
        <v>46083</v>
      </c>
      <c r="AB130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30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10</v>
      </c>
      <c r="AD13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30" s="51" t="str">
        <f t="shared" si="17"/>
        <v>OPERATIVO</v>
      </c>
      <c r="AF130" s="18" t="str">
        <f t="shared" si="12"/>
        <v>BAJA</v>
      </c>
      <c r="AG130" s="18" t="str">
        <f t="shared" si="13"/>
        <v>Monitorear próximo vencimiento</v>
      </c>
      <c r="AH130">
        <f t="shared" si="14"/>
        <v>0</v>
      </c>
      <c r="AI130" t="str">
        <f t="shared" si="15"/>
        <v/>
      </c>
      <c r="AJ130" s="24">
        <f t="shared" si="16"/>
        <v>99</v>
      </c>
    </row>
    <row r="131" spans="1:36">
      <c r="A131" s="18" t="s">
        <v>38</v>
      </c>
      <c r="B131" s="18" t="s">
        <v>20</v>
      </c>
      <c r="C131" s="18" t="s">
        <v>1069</v>
      </c>
      <c r="D131" s="18" t="s">
        <v>21</v>
      </c>
      <c r="E131" s="19" t="s">
        <v>22</v>
      </c>
      <c r="F131" s="18">
        <v>2019</v>
      </c>
      <c r="G131" s="18" t="str" cm="1">
        <f t="array" ref="G131">IFERROR(INDEX(Lecturas!$E$4:$E$3549,MATCH(1,(Lecturas!$B$4:$B$3549=$A131)*(Lecturas!$E$4:$E$3549&lt;&gt;"")*(Lecturas!$A$4:$A$3549=_xlfn.MAXIFS(Lecturas!$A$4:$A$3549,Lecturas!$B$4:$B$3549,$A131,Lecturas!$E$4:$E$3549,"&lt;&gt;")),0)),"")</f>
        <v>San Nicolas</v>
      </c>
      <c r="H131" s="18" t="s">
        <v>40</v>
      </c>
      <c r="I131" s="18" t="s">
        <v>18</v>
      </c>
      <c r="J131" s="18">
        <v>250</v>
      </c>
      <c r="K131" s="18">
        <f>IFERROR(IF($I131="KM",ROUND((_xlfn.MAXIFS(tblLecturas[Kilometraje],tblLecturas[Codigo],$A131)-_xlfn.MINIFS(tblLecturas[Kilometraje],tblLecturas[Codigo],$A131))/(MAX(1,_xlfn.MAXIFS(tblLecturas[Fecha],tblLecturas[Codigo],$A131)-_xlfn.MINIFS(tblLecturas[Fecha],tblLecturas[Codigo],$A131))),1),ROUND((_xlfn.MAXIFS(tblLecturas[Horometro],tblLecturas[Codigo],$A131)-_xlfn.MINIFS(tblLecturas[Horometro],tblLecturas[Codigo],$A131))/(MAX(1,_xlfn.MAXIFS(tblLecturas[Fecha],tblLecturas[Codigo],$A131)-_xlfn.MINIFS(tblLecturas[Fecha],tblLecturas[Codigo],$A131))),1)),"")</f>
        <v>4</v>
      </c>
      <c r="L131" s="20">
        <f>IFERROR(_xlfn.MAXIFS(tblLecturas[Fecha],tblLecturas[Codigo],$A131),"")</f>
        <v>46092</v>
      </c>
      <c r="M131" s="26">
        <f>IFERROR(_xlfn.MAXIFS(Lecturas!$C:$C,Lecturas!$B:$B,$A131,Lecturas!$C:$C,"&gt;0"),"")</f>
        <v>10923</v>
      </c>
      <c r="N131" s="78">
        <f>IFERROR(_xlfn.MAXIFS(tblLecturas[Kilometraje],tblLecturas[Codigo],$A131,tblLecturas[Kilometraje],"&gt;0"),"")</f>
        <v>126301</v>
      </c>
      <c r="O131" s="78" cm="1">
        <f t="array" ref="O131">IFERROR(IF($I131="KM",LOOKUP(2,1/(Lecturas!$B:$B=$A131)/(Lecturas!$D:$D&gt;0),Lecturas!$D:$D),LOOKUP(2,1/(Lecturas!$B:$B=$A131)/(Lecturas!$C:$C&gt;0),Lecturas!$C:$C)),"")</f>
        <v>6591</v>
      </c>
      <c r="P131" s="20">
        <f>IFERROR(_xlfn.MAXIFS(tblMantenciones[Fecha],tblMantenciones[Codigo],tblMaestroEquipos[[#This Row],[Codigo]],tblMantenciones[EsPM],"Sí"),"")</f>
        <v>46092</v>
      </c>
      <c r="Q131" s="78">
        <f>IF(_xlfn.MAXIFS(Mantenciones!$D:$D,Mantenciones!$B:$B,A131)=0,"Sin datos de mantención registrado",_xlfn.MAXIFS(Mantenciones!$D:$D,Mantenciones!$B:$B,A131))</f>
        <v>10923</v>
      </c>
      <c r="R131" s="18">
        <f>IFERROR(IF(_xlfn.MAXIFS(Mantenciones!$D:$D,Mantenciones!$B:$B,$A131,Mantenciones!$E:$E,"Sí",Mantenciones!$D:$D,"&gt;0")=0,"Sin datos de mantención registrado",_xlfn.MAXIFS(Mantenciones!$D:$D,Mantenciones!$B:$B,$A131,Mantenciones!$E:$E,"Sí",Mantenciones!$D:$D,"&gt;0")),"Sin datos de mantención registrado")</f>
        <v>10923</v>
      </c>
      <c r="S131" s="21">
        <f>IFERROR(SUMIFS(tblMantenciones[Costo Mantencion CLP],tblMantenciones[Codigo],A131),0)</f>
        <v>0</v>
      </c>
      <c r="T131" s="21">
        <f>IFERROR(SUMIFS(tblComprasPM[Costo PM CLP],tblComprasPM[Codigo],tblMaestroEquipos[[#This Row],[Codigo]]),0)</f>
        <v>2514830.8059</v>
      </c>
      <c r="U131" s="21">
        <f>IFERROR(tblMaestroEquipos[[#This Row],[Costo Mantenciones CLP]]+tblMaestroEquipos[[#This Row],[Costo Compras PM CLP]],0)</f>
        <v>2514830.8059</v>
      </c>
      <c r="V131" s="18" t="str">
        <f>IFERROR(_xlfn.XLOOKUP(tblMaestroEquipos[[#This Row],[Codigo]],tblEquipos[Codigo],tblEquipos[Estado Base]),"")</f>
        <v>Operativo</v>
      </c>
      <c r="W131" s="18" t="str">
        <f t="shared" si="10"/>
        <v>AL DÍA</v>
      </c>
      <c r="X131" s="18">
        <f t="shared" si="11"/>
        <v>4582</v>
      </c>
      <c r="Y131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50674</v>
      </c>
      <c r="Z131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131" s="25">
        <f>IFERROR(IF(_xlfn.MAXIFS(tblBodega[Fecha],tblBodega[Codigo],tblMaestroEquipos[[#This Row],[Codigo]])=0,"",_xlfn.MAXIFS(tblBodega[Fecha],tblBodega[Codigo],tblMaestroEquipos[[#This Row],[Codigo]])),"")</f>
        <v>46084</v>
      </c>
      <c r="AB13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23</v>
      </c>
      <c r="AC131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8</v>
      </c>
      <c r="AD13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31" s="51" t="str">
        <f t="shared" si="17"/>
        <v>OPERATIVO</v>
      </c>
      <c r="AF131" s="18" t="str">
        <f t="shared" si="12"/>
        <v>BAJA</v>
      </c>
      <c r="AG131" s="18" t="str">
        <f t="shared" si="13"/>
        <v>Monitorear próximo vencimiento</v>
      </c>
      <c r="AH131">
        <f t="shared" si="14"/>
        <v>0</v>
      </c>
      <c r="AI131" t="str">
        <f t="shared" si="15"/>
        <v/>
      </c>
      <c r="AJ131" s="24">
        <f t="shared" si="16"/>
        <v>99</v>
      </c>
    </row>
    <row r="132" spans="1:36">
      <c r="A132" s="18" t="s">
        <v>540</v>
      </c>
      <c r="B132" s="18" t="s">
        <v>459</v>
      </c>
      <c r="C132" s="18" t="s">
        <v>1074</v>
      </c>
      <c r="D132" s="18" t="s">
        <v>99</v>
      </c>
      <c r="E132" s="19" t="s">
        <v>524</v>
      </c>
      <c r="F132" s="18">
        <v>2025</v>
      </c>
      <c r="G132" s="18" t="str" cm="1">
        <f t="array" ref="G132">IFERROR(INDEX(Lecturas!$E$4:$E$3549,MATCH(1,(Lecturas!$B$4:$B$3549=$A132)*(Lecturas!$E$4:$E$3549&lt;&gt;"")*(Lecturas!$A$4:$A$3549=_xlfn.MAXIFS(Lecturas!$A$4:$A$3549,Lecturas!$B$4:$B$3549,$A132,Lecturas!$E$4:$E$3549,"&lt;&gt;")),0)),"")</f>
        <v/>
      </c>
      <c r="H132" s="18" t="s">
        <v>541</v>
      </c>
      <c r="I132" s="18" t="s">
        <v>462</v>
      </c>
      <c r="J132" s="18">
        <v>15000</v>
      </c>
      <c r="K132" s="18">
        <f>IFERROR(IF($I132="KM",ROUND((_xlfn.MAXIFS(tblLecturas[Kilometraje],tblLecturas[Codigo],$A132)-_xlfn.MINIFS(tblLecturas[Kilometraje],tblLecturas[Codigo],$A132))/(MAX(1,_xlfn.MAXIFS(tblLecturas[Fecha],tblLecturas[Codigo],$A132)-_xlfn.MINIFS(tblLecturas[Fecha],tblLecturas[Codigo],$A132))),1),ROUND((_xlfn.MAXIFS(tblLecturas[Horometro],tblLecturas[Codigo],$A132)-_xlfn.MINIFS(tblLecturas[Horometro],tblLecturas[Codigo],$A132))/(MAX(1,_xlfn.MAXIFS(tblLecturas[Fecha],tblLecturas[Codigo],$A132)-_xlfn.MINIFS(tblLecturas[Fecha],tblLecturas[Codigo],$A132))),1)),"")</f>
        <v>104.1</v>
      </c>
      <c r="L132" s="20">
        <f>IFERROR(_xlfn.MAXIFS(tblLecturas[Fecha],tblLecturas[Codigo],$A132),"")</f>
        <v>46063</v>
      </c>
      <c r="M132" s="26">
        <f>IFERROR(_xlfn.MAXIFS(Lecturas!$C:$C,Lecturas!$B:$B,$A132,Lecturas!$C:$C,"&gt;0"),"")</f>
        <v>0</v>
      </c>
      <c r="N132" s="78">
        <f>IFERROR(_xlfn.MAXIFS(tblLecturas[Kilometraje],tblLecturas[Codigo],$A132,tblLecturas[Kilometraje],"&gt;0"),"")</f>
        <v>60050</v>
      </c>
      <c r="O132" s="78" cm="1">
        <f t="array" ref="O132">IFERROR(IF($I132="KM",LOOKUP(2,1/(Lecturas!$B:$B=$A132)/(Lecturas!$D:$D&gt;0),Lecturas!$D:$D),LOOKUP(2,1/(Lecturas!$B:$B=$A132)/(Lecturas!$C:$C&gt;0),Lecturas!$C:$C)),"")</f>
        <v>60050</v>
      </c>
      <c r="P132" s="20">
        <f>IFERROR(_xlfn.MAXIFS(tblMantenciones[Fecha],tblMantenciones[Codigo],tblMaestroEquipos[[#This Row],[Codigo]],tblMantenciones[EsPM],"Sí"),"")</f>
        <v>45986</v>
      </c>
      <c r="Q132" s="78">
        <f>IF(_xlfn.MAXIFS(Mantenciones!$D:$D,Mantenciones!$B:$B,A132)=0,"Sin datos de mantención registrado",_xlfn.MAXIFS(Mantenciones!$D:$D,Mantenciones!$B:$B,A132))</f>
        <v>52833</v>
      </c>
      <c r="R132" s="18">
        <f>IFERROR(IF(_xlfn.MAXIFS(Mantenciones!$D:$D,Mantenciones!$B:$B,$A132,Mantenciones!$E:$E,"Sí",Mantenciones!$D:$D,"&gt;0")=0,"Sin datos de mantención registrado",_xlfn.MAXIFS(Mantenciones!$D:$D,Mantenciones!$B:$B,$A132,Mantenciones!$E:$E,"Sí",Mantenciones!$D:$D,"&gt;0")),"Sin datos de mantención registrado")</f>
        <v>52833</v>
      </c>
      <c r="S132" s="21">
        <f>IFERROR(SUMIFS(tblMantenciones[Costo Mantencion CLP],tblMantenciones[Codigo],A132),0)</f>
        <v>546131</v>
      </c>
      <c r="T132" s="21">
        <f>IFERROR(SUMIFS(tblComprasPM[Costo PM CLP],tblComprasPM[Codigo],tblMaestroEquipos[[#This Row],[Codigo]]),0)</f>
        <v>0</v>
      </c>
      <c r="U132" s="21">
        <f>IFERROR(tblMaestroEquipos[[#This Row],[Costo Mantenciones CLP]]+tblMaestroEquipos[[#This Row],[Costo Compras PM CLP]],0)</f>
        <v>546131</v>
      </c>
      <c r="V132" s="18" t="str">
        <f>IFERROR(_xlfn.XLOOKUP(tblMaestroEquipos[[#This Row],[Codigo]],tblEquipos[Codigo],tblEquipos[Estado Base]),"")</f>
        <v>Operativo</v>
      </c>
      <c r="W132" s="18" t="str">
        <f t="shared" ref="W132:W195" si="18">IF(OR(TRIM($V132)="Fuera de Servicio",TRIM($V132)="Fuera de servicio"),"FUERA DE SERVICIO",IF(OR(TRIM($V132)="Taller",TRIM($V132)="En taller",TRIM($V132)="EN TALLER"),"EN TALLER",IF($AD132="PENDIENTE","POR RECIBIR",IF(AND($Z132&lt;&gt;"",$AA132=""),"EN PROCESO",IF(AND(ISNUMBER($X132),$X132&lt;0),"ATRASADA",IF(AND(ISNUMBER($X132),$X132&lt;=30),"PRÓXIMA","AL DÍA"))))))</f>
        <v>AL DÍA</v>
      </c>
      <c r="X132" s="18">
        <f t="shared" ref="X132:X195" si="19">IF(OR(NOT(ISNUMBER(R132)),NOT(ISNUMBER(J132)),NOT(ISNUMBER(O132))),"",
(R132+J132)-O132)</f>
        <v>7783</v>
      </c>
      <c r="Y132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53846</v>
      </c>
      <c r="Z13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32" s="25" t="str">
        <f>IFERROR(IF(_xlfn.MAXIFS(tblBodega[Fecha],tblBodega[Codigo],tblMaestroEquipos[[#This Row],[Codigo]])=0,"",_xlfn.MAXIFS(tblBodega[Fecha],tblBodega[Codigo],tblMaestroEquipos[[#This Row],[Codigo]])),"")</f>
        <v/>
      </c>
      <c r="AB13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3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3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32" s="51" t="str">
        <f t="shared" si="17"/>
        <v>OPERATIVO</v>
      </c>
      <c r="AF132" s="18" t="str">
        <f t="shared" ref="AF132:AF195" si="20">IF($AE132="ATRASADA",IF($X132&lt;=-15,"CRÍTICA","ALTA"),IF($AE132="PRÓXIMA","MEDIA",IF(OR($AE132="EN PROCESO",$AE132="POR RECIBIR"),"SEGUIMIENTO",IF($AE132="FUERA DE SERVICIO","NO APLICA","BAJA"))))</f>
        <v>BAJA</v>
      </c>
      <c r="AG132" s="18" t="str">
        <f t="shared" ref="AG132:AG195" si="21">IF($AE132="FUERA DE SERVICIO","No programar compra",IF($AE132="CERRADO","Cerrar ciclo y preparar siguiente PM",IF($AE132="EN PROCESO","Hacer seguimiento al taller y cerrar report",IF($AE132="POR RECIBIR","Acelerar recepción de repuestos",IF($AE132="ATRASADA","Comprar kit PM y coordinar ejecución",IF($AE132="PRÓXIMA","Planificar compra preventiva","Monitorear próximo vencimiento"))))))</f>
        <v>Monitorear próximo vencimiento</v>
      </c>
      <c r="AH132">
        <f t="shared" ref="AH132:AH195" si="22">IF(AND(OR($AE132="ATRASADA",$AE132="PRÓXIMA"),$Z132="",$AA132=""),1,0)</f>
        <v>0</v>
      </c>
      <c r="AI132" t="str">
        <f t="shared" ref="AI132:AI195" si="23">IF(OR($AH132=0,$Y132=""),"",SUMPRODUCT(($AH$4:$AH$247=1)*(($Y$4:$Y$247&lt;$Y132)+(($Y$4:$Y$247=$Y132)*(ROW($Y$4:$Y$247)&lt;=ROW())))))</f>
        <v/>
      </c>
      <c r="AJ132" s="24">
        <f t="shared" ref="AJ132:AJ195" si="24">IF(W132="ATRASADA",1,IF(W132="EN PROCESO",2,IF(W132="POR RECIBIR",3,99)))</f>
        <v>99</v>
      </c>
    </row>
    <row r="133" spans="1:36">
      <c r="A133" s="18" t="s">
        <v>405</v>
      </c>
      <c r="B133" s="18" t="s">
        <v>264</v>
      </c>
      <c r="C133" s="18" t="s">
        <v>1070</v>
      </c>
      <c r="D133" s="18" t="s">
        <v>302</v>
      </c>
      <c r="E133" s="19" t="s">
        <v>406</v>
      </c>
      <c r="F133" s="18">
        <v>2011</v>
      </c>
      <c r="G133" s="18" t="str" cm="1">
        <f t="array" ref="G133">IFERROR(INDEX(Lecturas!$E$4:$E$3549,MATCH(1,(Lecturas!$B$4:$B$3549=$A133)*(Lecturas!$E$4:$E$3549&lt;&gt;"")*(Lecturas!$A$4:$A$3549=_xlfn.MAXIFS(Lecturas!$A$4:$A$3549,Lecturas!$B$4:$B$3549,$A133,Lecturas!$E$4:$E$3549,"&lt;&gt;")),0)),"")</f>
        <v/>
      </c>
      <c r="H133" s="18" t="s">
        <v>407</v>
      </c>
      <c r="I133" s="18" t="s">
        <v>18</v>
      </c>
      <c r="J133" s="18">
        <v>250</v>
      </c>
      <c r="K133" s="18">
        <f>IFERROR(IF($I133="KM",ROUND((_xlfn.MAXIFS(tblLecturas[Kilometraje],tblLecturas[Codigo],$A133)-_xlfn.MINIFS(tblLecturas[Kilometraje],tblLecturas[Codigo],$A133))/(MAX(1,_xlfn.MAXIFS(tblLecturas[Fecha],tblLecturas[Codigo],$A133)-_xlfn.MINIFS(tblLecturas[Fecha],tblLecturas[Codigo],$A133))),1),ROUND((_xlfn.MAXIFS(tblLecturas[Horometro],tblLecturas[Codigo],$A133)-_xlfn.MINIFS(tblLecturas[Horometro],tblLecturas[Codigo],$A133))/(MAX(1,_xlfn.MAXIFS(tblLecturas[Fecha],tblLecturas[Codigo],$A133)-_xlfn.MINIFS(tblLecturas[Fecha],tblLecturas[Codigo],$A133))),1)),"")</f>
        <v>3</v>
      </c>
      <c r="L133" s="20">
        <f>IFERROR(_xlfn.MAXIFS(tblLecturas[Fecha],tblLecturas[Codigo],$A133),"")</f>
        <v>46111</v>
      </c>
      <c r="M133" s="26">
        <f>IFERROR(_xlfn.MAXIFS(Lecturas!$C:$C,Lecturas!$B:$B,$A133,Lecturas!$C:$C,"&gt;0"),"")</f>
        <v>12802</v>
      </c>
      <c r="N133" s="78">
        <f>IFERROR(_xlfn.MAXIFS(tblLecturas[Kilometraje],tblLecturas[Codigo],$A133,tblLecturas[Kilometraje],"&gt;0"),"")</f>
        <v>0</v>
      </c>
      <c r="O133" s="78" cm="1">
        <f t="array" ref="O133">IFERROR(IF($I133="KM",LOOKUP(2,1/(Lecturas!$B:$B=$A133)/(Lecturas!$D:$D&gt;0),Lecturas!$D:$D),LOOKUP(2,1/(Lecturas!$B:$B=$A133)/(Lecturas!$C:$C&gt;0),Lecturas!$C:$C)),"")</f>
        <v>12802</v>
      </c>
      <c r="P133" s="20">
        <f>IFERROR(_xlfn.MAXIFS(tblMantenciones[Fecha],tblMantenciones[Codigo],tblMaestroEquipos[[#This Row],[Codigo]],tblMantenciones[EsPM],"Sí"),"")</f>
        <v>46104</v>
      </c>
      <c r="Q133" s="78">
        <f>IF(_xlfn.MAXIFS(Mantenciones!$D:$D,Mantenciones!$B:$B,A133)=0,"Sin datos de mantención registrado",_xlfn.MAXIFS(Mantenciones!$D:$D,Mantenciones!$B:$B,A133))</f>
        <v>12775</v>
      </c>
      <c r="R133" s="18">
        <f>IFERROR(IF(_xlfn.MAXIFS(Mantenciones!$D:$D,Mantenciones!$B:$B,$A133,Mantenciones!$E:$E,"Sí",Mantenciones!$D:$D,"&gt;0")=0,"Sin datos de mantención registrado",_xlfn.MAXIFS(Mantenciones!$D:$D,Mantenciones!$B:$B,$A133,Mantenciones!$E:$E,"Sí",Mantenciones!$D:$D,"&gt;0")),"Sin datos de mantención registrado")</f>
        <v>12775</v>
      </c>
      <c r="S133" s="21">
        <f>IFERROR(SUMIFS(tblMantenciones[Costo Mantencion CLP],tblMantenciones[Codigo],A133),0)</f>
        <v>0</v>
      </c>
      <c r="T133" s="21">
        <f>IFERROR(SUMIFS(tblComprasPM[Costo PM CLP],tblComprasPM[Codigo],tblMaestroEquipos[[#This Row],[Codigo]]),0)</f>
        <v>337399.95030000003</v>
      </c>
      <c r="U133" s="21">
        <f>IFERROR(tblMaestroEquipos[[#This Row],[Costo Mantenciones CLP]]+tblMaestroEquipos[[#This Row],[Costo Compras PM CLP]],0)</f>
        <v>337399.95030000003</v>
      </c>
      <c r="V133" s="18" t="str">
        <f>IFERROR(_xlfn.XLOOKUP(tblMaestroEquipos[[#This Row],[Codigo]],tblEquipos[Codigo],tblEquipos[Estado Base]),"")</f>
        <v>Operativo</v>
      </c>
      <c r="W133" s="18" t="str">
        <f t="shared" si="18"/>
        <v>AL DÍA</v>
      </c>
      <c r="X133" s="18">
        <f t="shared" si="19"/>
        <v>223</v>
      </c>
      <c r="Y13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46334</v>
      </c>
      <c r="Z133" s="25">
        <f>IFERROR(IF(_xlfn.MINIFS(tblComprasPM[Fecha],tblComprasPM[Codigo],tblMaestroEquipos[[#This Row],[Codigo]])=0,"",_xlfn.MINIFS(tblComprasPM[Fecha],tblComprasPM[Codigo],tblMaestroEquipos[[#This Row],[Codigo]])),"")</f>
        <v>46079.682637534701</v>
      </c>
      <c r="AA133" s="25">
        <f>IFERROR(IF(_xlfn.MAXIFS(tblBodega[Fecha],tblBodega[Codigo],tblMaestroEquipos[[#This Row],[Codigo]])=0,"",_xlfn.MAXIFS(tblBodega[Fecha],tblBodega[Codigo],tblMaestroEquipos[[#This Row],[Codigo]])),"")</f>
        <v>46100</v>
      </c>
      <c r="AB13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25</v>
      </c>
      <c r="AC133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4</v>
      </c>
      <c r="AD13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33" s="51" t="str">
        <f t="shared" si="17"/>
        <v>OPERATIVO</v>
      </c>
      <c r="AF133" s="18" t="str">
        <f t="shared" si="20"/>
        <v>BAJA</v>
      </c>
      <c r="AG133" s="18" t="str">
        <f t="shared" si="21"/>
        <v>Monitorear próximo vencimiento</v>
      </c>
      <c r="AH133">
        <f t="shared" si="22"/>
        <v>0</v>
      </c>
      <c r="AI133" t="str">
        <f t="shared" si="23"/>
        <v/>
      </c>
      <c r="AJ133" s="24">
        <f t="shared" si="24"/>
        <v>99</v>
      </c>
    </row>
    <row r="134" spans="1:36">
      <c r="A134" s="18" t="s">
        <v>517</v>
      </c>
      <c r="B134" s="18" t="s">
        <v>502</v>
      </c>
      <c r="C134" s="18" t="s">
        <v>1074</v>
      </c>
      <c r="D134" s="18" t="s">
        <v>503</v>
      </c>
      <c r="E134" s="19" t="s">
        <v>504</v>
      </c>
      <c r="F134" s="18">
        <v>2025</v>
      </c>
      <c r="G134" s="18" t="str" cm="1">
        <f t="array" ref="G134">IFERROR(INDEX(Lecturas!$E$4:$E$3549,MATCH(1,(Lecturas!$B$4:$B$3549=$A134)*(Lecturas!$E$4:$E$3549&lt;&gt;"")*(Lecturas!$A$4:$A$3549=_xlfn.MAXIFS(Lecturas!$A$4:$A$3549,Lecturas!$B$4:$B$3549,$A134,Lecturas!$E$4:$E$3549,"&lt;&gt;")),0)),"")</f>
        <v>Quirihue</v>
      </c>
      <c r="H134" s="18" t="s">
        <v>36</v>
      </c>
      <c r="I134" s="18" t="s">
        <v>462</v>
      </c>
      <c r="J134" s="18">
        <v>10000</v>
      </c>
      <c r="K134" s="18">
        <f>IFERROR(IF($I134="KM",ROUND((_xlfn.MAXIFS(tblLecturas[Kilometraje],tblLecturas[Codigo],$A134)-_xlfn.MINIFS(tblLecturas[Kilometraje],tblLecturas[Codigo],$A134))/(MAX(1,_xlfn.MAXIFS(tblLecturas[Fecha],tblLecturas[Codigo],$A134)-_xlfn.MINIFS(tblLecturas[Fecha],tblLecturas[Codigo],$A134))),1),ROUND((_xlfn.MAXIFS(tblLecturas[Horometro],tblLecturas[Codigo],$A134)-_xlfn.MINIFS(tblLecturas[Horometro],tblLecturas[Codigo],$A134))/(MAX(1,_xlfn.MAXIFS(tblLecturas[Fecha],tblLecturas[Codigo],$A134)-_xlfn.MINIFS(tblLecturas[Fecha],tblLecturas[Codigo],$A134))),1)),"")</f>
        <v>98.9</v>
      </c>
      <c r="L134" s="20">
        <f>IFERROR(_xlfn.MAXIFS(tblLecturas[Fecha],tblLecturas[Codigo],$A134),"")</f>
        <v>46136</v>
      </c>
      <c r="M134" s="26">
        <f>IFERROR(_xlfn.MAXIFS(Lecturas!$C:$C,Lecturas!$B:$B,$A134,Lecturas!$C:$C,"&gt;0"),"")</f>
        <v>0</v>
      </c>
      <c r="N134" s="78">
        <f>IFERROR(_xlfn.MAXIFS(tblLecturas[Kilometraje],tblLecturas[Codigo],$A134,tblLecturas[Kilometraje],"&gt;0"),"")</f>
        <v>46461</v>
      </c>
      <c r="O134" s="78" cm="1">
        <f t="array" ref="O134">IFERROR(IF($I134="KM",LOOKUP(2,1/(Lecturas!$B:$B=$A134)/(Lecturas!$D:$D&gt;0),Lecturas!$D:$D),LOOKUP(2,1/(Lecturas!$B:$B=$A134)/(Lecturas!$C:$C&gt;0),Lecturas!$C:$C)),"")</f>
        <v>46461</v>
      </c>
      <c r="P134" s="20">
        <f>IFERROR(_xlfn.MAXIFS(tblMantenciones[Fecha],tblMantenciones[Codigo],tblMaestroEquipos[[#This Row],[Codigo]],tblMantenciones[EsPM],"Sí"),"")</f>
        <v>46072</v>
      </c>
      <c r="Q134" s="78">
        <f>IF(_xlfn.MAXIFS(Mantenciones!$D:$D,Mantenciones!$B:$B,A134)=0,"Sin datos de mantención registrado",_xlfn.MAXIFS(Mantenciones!$D:$D,Mantenciones!$B:$B,A134))</f>
        <v>39996</v>
      </c>
      <c r="R134" s="18">
        <f>IFERROR(IF(_xlfn.MAXIFS(Mantenciones!$D:$D,Mantenciones!$B:$B,$A134,Mantenciones!$E:$E,"Sí",Mantenciones!$D:$D,"&gt;0")=0,"Sin datos de mantención registrado",_xlfn.MAXIFS(Mantenciones!$D:$D,Mantenciones!$B:$B,$A134,Mantenciones!$E:$E,"Sí",Mantenciones!$D:$D,"&gt;0")),"Sin datos de mantención registrado")</f>
        <v>39996</v>
      </c>
      <c r="S134" s="21">
        <f>IFERROR(SUMIFS(tblMantenciones[Costo Mantencion CLP],tblMantenciones[Codigo],A134),0)</f>
        <v>0</v>
      </c>
      <c r="T134" s="21">
        <f>IFERROR(SUMIFS(tblComprasPM[Costo PM CLP],tblComprasPM[Codigo],tblMaestroEquipos[[#This Row],[Codigo]]),0)</f>
        <v>24399.973999999998</v>
      </c>
      <c r="U134" s="21">
        <f>IFERROR(tblMaestroEquipos[[#This Row],[Costo Mantenciones CLP]]+tblMaestroEquipos[[#This Row],[Costo Compras PM CLP]],0)</f>
        <v>24399.973999999998</v>
      </c>
      <c r="V134" s="18" t="str">
        <f>IFERROR(_xlfn.XLOOKUP(tblMaestroEquipos[[#This Row],[Codigo]],tblEquipos[Codigo],tblEquipos[Estado Base]),"")</f>
        <v>Operativo</v>
      </c>
      <c r="W134" s="18" t="str">
        <f t="shared" si="18"/>
        <v>AL DÍA</v>
      </c>
      <c r="X134" s="18">
        <f t="shared" si="19"/>
        <v>3535</v>
      </c>
      <c r="Y134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49671</v>
      </c>
      <c r="Z134" s="25">
        <f>IFERROR(IF(_xlfn.MINIFS(tblComprasPM[Fecha],tblComprasPM[Codigo],tblMaestroEquipos[[#This Row],[Codigo]])=0,"",_xlfn.MINIFS(tblComprasPM[Fecha],tblComprasPM[Codigo],tblMaestroEquipos[[#This Row],[Codigo]])),"")</f>
        <v>46118</v>
      </c>
      <c r="AA134" s="25">
        <f>IFERROR(IF(_xlfn.MAXIFS(tblBodega[Fecha],tblBodega[Codigo],tblMaestroEquipos[[#This Row],[Codigo]])=0,"",_xlfn.MAXIFS(tblBodega[Fecha],tblBodega[Codigo],tblMaestroEquipos[[#This Row],[Codigo]])),"")</f>
        <v>46072</v>
      </c>
      <c r="AB134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3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3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34" s="51" t="str">
        <f t="shared" si="17"/>
        <v>OPERATIVO</v>
      </c>
      <c r="AF134" s="18" t="str">
        <f t="shared" si="20"/>
        <v>BAJA</v>
      </c>
      <c r="AG134" s="18" t="str">
        <f t="shared" si="21"/>
        <v>Monitorear próximo vencimiento</v>
      </c>
      <c r="AH134">
        <f t="shared" si="22"/>
        <v>0</v>
      </c>
      <c r="AI134" t="str">
        <f t="shared" si="23"/>
        <v/>
      </c>
      <c r="AJ134" s="24">
        <f t="shared" si="24"/>
        <v>99</v>
      </c>
    </row>
    <row r="135" spans="1:36">
      <c r="A135" s="18" t="s">
        <v>596</v>
      </c>
      <c r="B135" s="18" t="s">
        <v>459</v>
      </c>
      <c r="C135" s="18" t="s">
        <v>1074</v>
      </c>
      <c r="D135" s="18" t="s">
        <v>589</v>
      </c>
      <c r="E135" s="19" t="s">
        <v>590</v>
      </c>
      <c r="F135" s="18">
        <v>2023</v>
      </c>
      <c r="G135" s="18" t="str" cm="1">
        <f t="array" ref="G135">IFERROR(INDEX(Lecturas!$E$4:$E$3549,MATCH(1,(Lecturas!$B$4:$B$3549=$A135)*(Lecturas!$E$4:$E$3549&lt;&gt;"")*(Lecturas!$A$4:$A$3549=_xlfn.MAXIFS(Lecturas!$A$4:$A$3549,Lecturas!$B$4:$B$3549,$A135,Lecturas!$E$4:$E$3549,"&lt;&gt;")),0)),"")</f>
        <v>Curicó</v>
      </c>
      <c r="H135" s="18" t="s">
        <v>1095</v>
      </c>
      <c r="I135" s="18" t="s">
        <v>462</v>
      </c>
      <c r="J135" s="18">
        <v>15000</v>
      </c>
      <c r="K135" s="18">
        <f>IFERROR(IF($I135="KM",ROUND((_xlfn.MAXIFS(tblLecturas[Kilometraje],tblLecturas[Codigo],$A135)-_xlfn.MINIFS(tblLecturas[Kilometraje],tblLecturas[Codigo],$A135))/(MAX(1,_xlfn.MAXIFS(tblLecturas[Fecha],tblLecturas[Codigo],$A135)-_xlfn.MINIFS(tblLecturas[Fecha],tblLecturas[Codigo],$A135))),1),ROUND((_xlfn.MAXIFS(tblLecturas[Horometro],tblLecturas[Codigo],$A135)-_xlfn.MINIFS(tblLecturas[Horometro],tblLecturas[Codigo],$A135))/(MAX(1,_xlfn.MAXIFS(tblLecturas[Fecha],tblLecturas[Codigo],$A135)-_xlfn.MINIFS(tblLecturas[Fecha],tblLecturas[Codigo],$A135))),1)),"")</f>
        <v>187.2</v>
      </c>
      <c r="L135" s="20">
        <f>IFERROR(_xlfn.MAXIFS(tblLecturas[Fecha],tblLecturas[Codigo],$A135),"")</f>
        <v>46133</v>
      </c>
      <c r="M135" s="26">
        <f>IFERROR(_xlfn.MAXIFS(Lecturas!$C:$C,Lecturas!$B:$B,$A135,Lecturas!$C:$C,"&gt;0"),"")</f>
        <v>0</v>
      </c>
      <c r="N135" s="78">
        <f>IFERROR(_xlfn.MAXIFS(tblLecturas[Kilometraje],tblLecturas[Codigo],$A135,tblLecturas[Kilometraje],"&gt;0"),"")</f>
        <v>150214</v>
      </c>
      <c r="O135" s="78" cm="1">
        <f t="array" ref="O135">IFERROR(IF($I135="KM",LOOKUP(2,1/(Lecturas!$B:$B=$A135)/(Lecturas!$D:$D&gt;0),Lecturas!$D:$D),LOOKUP(2,1/(Lecturas!$B:$B=$A135)/(Lecturas!$C:$C&gt;0),Lecturas!$C:$C)),"")</f>
        <v>150214</v>
      </c>
      <c r="P135" s="20">
        <f>IFERROR(_xlfn.MAXIFS(tblMantenciones[Fecha],tblMantenciones[Codigo],tblMaestroEquipos[[#This Row],[Codigo]],tblMantenciones[EsPM],"Sí"),"")</f>
        <v>46118</v>
      </c>
      <c r="Q135" s="78">
        <f>IF(_xlfn.MAXIFS(Mantenciones!$D:$D,Mantenciones!$B:$B,A135)=0,"Sin datos de mantención registrado",_xlfn.MAXIFS(Mantenciones!$D:$D,Mantenciones!$B:$B,A135))</f>
        <v>148444</v>
      </c>
      <c r="R135" s="18">
        <f>IFERROR(IF(_xlfn.MAXIFS(Mantenciones!$D:$D,Mantenciones!$B:$B,$A135,Mantenciones!$E:$E,"Sí",Mantenciones!$D:$D,"&gt;0")=0,"Sin datos de mantención registrado",_xlfn.MAXIFS(Mantenciones!$D:$D,Mantenciones!$B:$B,$A135,Mantenciones!$E:$E,"Sí",Mantenciones!$D:$D,"&gt;0")),"Sin datos de mantención registrado")</f>
        <v>148444</v>
      </c>
      <c r="S135" s="21">
        <f>IFERROR(SUMIFS(tblMantenciones[Costo Mantencion CLP],tblMantenciones[Codigo],tblMaestroEquipos[[#This Row],[Codigo]]),0)</f>
        <v>0</v>
      </c>
      <c r="T135" s="21">
        <f>IFERROR(SUMIFS(tblComprasPM[Costo PM CLP],tblComprasPM[Codigo],tblMaestroEquipos[[#This Row],[Codigo]]),0)</f>
        <v>0</v>
      </c>
      <c r="U135" s="21">
        <f>IFERROR(tblMaestroEquipos[[#This Row],[Costo Mantenciones CLP]]+tblMaestroEquipos[[#This Row],[Costo Compras PM CLP]],0)</f>
        <v>0</v>
      </c>
      <c r="V135" s="18" t="str">
        <f>IFERROR(_xlfn.XLOOKUP(tblMaestroEquipos[[#This Row],[Codigo]],tblEquipos[Codigo],tblEquipos[Estado Base]),"")</f>
        <v>Operativo</v>
      </c>
      <c r="W135" s="18" t="str">
        <f t="shared" si="18"/>
        <v>AL DÍA</v>
      </c>
      <c r="X135" s="18">
        <f t="shared" si="19"/>
        <v>13230</v>
      </c>
      <c r="Y13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59363</v>
      </c>
      <c r="Z13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35" s="25" t="str">
        <f>IFERROR(IF(_xlfn.MAXIFS(tblBodega[Fecha],tblBodega[Codigo],tblMaestroEquipos[[#This Row],[Codigo]])=0,"",_xlfn.MAXIFS(tblBodega[Fecha],tblBodega[Codigo],tblMaestroEquipos[[#This Row],[Codigo]])),"")</f>
        <v/>
      </c>
      <c r="AB13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3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3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35" s="51" t="str">
        <f t="shared" si="17"/>
        <v>OPERATIVO</v>
      </c>
      <c r="AF135" s="18" t="str">
        <f t="shared" si="20"/>
        <v>BAJA</v>
      </c>
      <c r="AG135" s="18" t="str">
        <f t="shared" si="21"/>
        <v>Monitorear próximo vencimiento</v>
      </c>
      <c r="AH135">
        <f t="shared" si="22"/>
        <v>0</v>
      </c>
      <c r="AI135" t="str">
        <f t="shared" si="23"/>
        <v/>
      </c>
      <c r="AJ135" s="24">
        <f t="shared" si="24"/>
        <v>99</v>
      </c>
    </row>
    <row r="136" spans="1:36">
      <c r="A136" s="18" t="s">
        <v>126</v>
      </c>
      <c r="B136" s="18" t="s">
        <v>82</v>
      </c>
      <c r="C136" s="18" t="s">
        <v>1069</v>
      </c>
      <c r="D136" s="18" t="s">
        <v>46</v>
      </c>
      <c r="E136" s="19" t="s">
        <v>127</v>
      </c>
      <c r="F136" s="18">
        <v>2015</v>
      </c>
      <c r="G136" s="18" t="str" cm="1">
        <f t="array" ref="G136">IFERROR(INDEX(Lecturas!$E$4:$E$3549,MATCH(1,(Lecturas!$B$4:$B$3549=$A136)*(Lecturas!$E$4:$E$3549&lt;&gt;"")*(Lecturas!$A$4:$A$3549=_xlfn.MAXIFS(Lecturas!$A$4:$A$3549,Lecturas!$B$4:$B$3549,$A136,Lecturas!$E$4:$E$3549,"&lt;&gt;")),0)),"")</f>
        <v/>
      </c>
      <c r="H136" s="18" t="s">
        <v>57</v>
      </c>
      <c r="I136" s="18" t="s">
        <v>462</v>
      </c>
      <c r="J136" s="18">
        <v>250</v>
      </c>
      <c r="K136" s="18">
        <f>IFERROR(IF($I136="KM",ROUND((_xlfn.MAXIFS(tblLecturas[Kilometraje],tblLecturas[Codigo],$A136)-_xlfn.MINIFS(tblLecturas[Kilometraje],tblLecturas[Codigo],$A136))/(MAX(1,_xlfn.MAXIFS(tblLecturas[Fecha],tblLecturas[Codigo],$A136)-_xlfn.MINIFS(tblLecturas[Fecha],tblLecturas[Codigo],$A136))),1),ROUND((_xlfn.MAXIFS(tblLecturas[Horometro],tblLecturas[Codigo],$A136)-_xlfn.MINIFS(tblLecturas[Horometro],tblLecturas[Codigo],$A136))/(MAX(1,_xlfn.MAXIFS(tblLecturas[Fecha],tblLecturas[Codigo],$A136)-_xlfn.MINIFS(tblLecturas[Fecha],tblLecturas[Codigo],$A136))),1)),"")</f>
        <v>81.7</v>
      </c>
      <c r="L136" s="20">
        <f>IFERROR(_xlfn.MAXIFS(tblLecturas[Fecha],tblLecturas[Codigo],$A136),"")</f>
        <v>46077</v>
      </c>
      <c r="M136" s="26">
        <f>IFERROR(_xlfn.MAXIFS(Lecturas!$C:$C,Lecturas!$B:$B,$A136,Lecturas!$C:$C,"&gt;0"),"")</f>
        <v>0</v>
      </c>
      <c r="N136" s="78">
        <f>IFERROR(_xlfn.MAXIFS(tblLecturas[Kilometraje],tblLecturas[Codigo],$A136,tblLecturas[Kilometraje],"&gt;0"),"")</f>
        <v>62298</v>
      </c>
      <c r="O136" s="78" cm="1">
        <f t="array" ref="O136">IFERROR(IF($I136="KM",LOOKUP(2,1/(Lecturas!$B:$B=$A136)/(Lecturas!$D:$D&gt;0),Lecturas!$D:$D),LOOKUP(2,1/(Lecturas!$B:$B=$A136)/(Lecturas!$C:$C&gt;0),Lecturas!$C:$C)),"")</f>
        <v>62298</v>
      </c>
      <c r="P136" s="20">
        <f>IFERROR(_xlfn.MAXIFS(tblMantenciones[Fecha],tblMantenciones[Codigo],tblMaestroEquipos[[#This Row],[Codigo]],tblMantenciones[EsPM],"Sí"),"")</f>
        <v>46121</v>
      </c>
      <c r="Q136" s="78">
        <f>IF(_xlfn.MAXIFS(Mantenciones!$D:$D,Mantenciones!$B:$B,A136)=0,"Sin datos de mantención registrado",_xlfn.MAXIFS(Mantenciones!$D:$D,Mantenciones!$B:$B,A136))</f>
        <v>67550</v>
      </c>
      <c r="R136" s="18">
        <f>IFERROR(IF(_xlfn.MAXIFS(Mantenciones!$D:$D,Mantenciones!$B:$B,$A136,Mantenciones!$E:$E,"Sí",Mantenciones!$D:$D,"&gt;0")=0,"Sin datos de mantención registrado",_xlfn.MAXIFS(Mantenciones!$D:$D,Mantenciones!$B:$B,$A136,Mantenciones!$E:$E,"Sí",Mantenciones!$D:$D,"&gt;0")),"Sin datos de mantención registrado")</f>
        <v>67550</v>
      </c>
      <c r="S136" s="21">
        <f>IFERROR(SUMIFS(tblMantenciones[Costo Mantencion CLP],tblMantenciones[Codigo],A136),0)</f>
        <v>0</v>
      </c>
      <c r="T136" s="21">
        <f>IFERROR(SUMIFS(tblComprasPM[Costo PM CLP],tblComprasPM[Codigo],tblMaestroEquipos[[#This Row],[Codigo]]),0)</f>
        <v>54299.973700000002</v>
      </c>
      <c r="U136" s="21">
        <f>IFERROR(tblMaestroEquipos[[#This Row],[Costo Mantenciones CLP]]+tblMaestroEquipos[[#This Row],[Costo Compras PM CLP]],0)</f>
        <v>54299.973700000002</v>
      </c>
      <c r="V136" s="18" t="str">
        <f>IFERROR(_xlfn.XLOOKUP(tblMaestroEquipos[[#This Row],[Codigo]],tblEquipos[Codigo],tblEquipos[Estado Base]),"")</f>
        <v>Operativo</v>
      </c>
      <c r="W136" s="18" t="str">
        <f t="shared" si="18"/>
        <v>AL DÍA</v>
      </c>
      <c r="X136" s="18">
        <f t="shared" si="19"/>
        <v>5502</v>
      </c>
      <c r="Y136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51579</v>
      </c>
      <c r="Z136" s="25">
        <f>IFERROR(IF(_xlfn.MINIFS(tblComprasPM[Fecha],tblComprasPM[Codigo],tblMaestroEquipos[[#This Row],[Codigo]])=0,"",_xlfn.MINIFS(tblComprasPM[Fecha],tblComprasPM[Codigo],tblMaestroEquipos[[#This Row],[Codigo]])),"")</f>
        <v>46119.461431099502</v>
      </c>
      <c r="AA136" s="25">
        <f>IFERROR(IF(_xlfn.MAXIFS(tblBodega[Fecha],tblBodega[Codigo],tblMaestroEquipos[[#This Row],[Codigo]])=0,"",_xlfn.MAXIFS(tblBodega[Fecha],tblBodega[Codigo],tblMaestroEquipos[[#This Row],[Codigo]])),"")</f>
        <v>46121</v>
      </c>
      <c r="AB13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</v>
      </c>
      <c r="AC13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3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36" s="51" t="str">
        <f t="shared" si="17"/>
        <v>OPERATIVO</v>
      </c>
      <c r="AF136" s="18" t="str">
        <f t="shared" si="20"/>
        <v>BAJA</v>
      </c>
      <c r="AG136" s="18" t="str">
        <f t="shared" si="21"/>
        <v>Monitorear próximo vencimiento</v>
      </c>
      <c r="AH136">
        <f t="shared" si="22"/>
        <v>0</v>
      </c>
      <c r="AI136" t="str">
        <f t="shared" si="23"/>
        <v/>
      </c>
      <c r="AJ136" s="24">
        <f t="shared" si="24"/>
        <v>99</v>
      </c>
    </row>
    <row r="137" spans="1:36">
      <c r="A137" s="18" t="s">
        <v>86</v>
      </c>
      <c r="B137" s="18" t="s">
        <v>20</v>
      </c>
      <c r="C137" s="18" t="s">
        <v>1069</v>
      </c>
      <c r="D137" s="18" t="s">
        <v>21</v>
      </c>
      <c r="E137" s="19" t="s">
        <v>87</v>
      </c>
      <c r="F137" s="18">
        <v>2024</v>
      </c>
      <c r="G137" s="18" t="str" cm="1">
        <f t="array" ref="G137">IFERROR(INDEX(Lecturas!$E$4:$E$3549,MATCH(1,(Lecturas!$B$4:$B$3549=$A137)*(Lecturas!$E$4:$E$3549&lt;&gt;"")*(Lecturas!$A$4:$A$3549=_xlfn.MAXIFS(Lecturas!$A$4:$A$3549,Lecturas!$B$4:$B$3549,$A137,Lecturas!$E$4:$E$3549,"&lt;&gt;")),0)),"")</f>
        <v>Cobquecura</v>
      </c>
      <c r="H137" s="18" t="s">
        <v>88</v>
      </c>
      <c r="I137" s="18" t="s">
        <v>18</v>
      </c>
      <c r="J137" s="18">
        <v>250</v>
      </c>
      <c r="K137" s="18">
        <f>IFERROR(IF($I137="KM",ROUND((_xlfn.MAXIFS(tblLecturas[Kilometraje],tblLecturas[Codigo],$A137)-_xlfn.MINIFS(tblLecturas[Kilometraje],tblLecturas[Codigo],$A137))/(MAX(1,_xlfn.MAXIFS(tblLecturas[Fecha],tblLecturas[Codigo],$A137)-_xlfn.MINIFS(tblLecturas[Fecha],tblLecturas[Codigo],$A137))),1),ROUND((_xlfn.MAXIFS(tblLecturas[Horometro],tblLecturas[Codigo],$A137)-_xlfn.MINIFS(tblLecturas[Horometro],tblLecturas[Codigo],$A137))/(MAX(1,_xlfn.MAXIFS(tblLecturas[Fecha],tblLecturas[Codigo],$A137)-_xlfn.MINIFS(tblLecturas[Fecha],tblLecturas[Codigo],$A137))),1)),"")</f>
        <v>3.5</v>
      </c>
      <c r="L137" s="20">
        <f>IFERROR(_xlfn.MAXIFS(tblLecturas[Fecha],tblLecturas[Codigo],$A137),"")</f>
        <v>46098</v>
      </c>
      <c r="M137" s="26">
        <f>IFERROR(_xlfn.MAXIFS(Lecturas!$C:$C,Lecturas!$B:$B,$A137,Lecturas!$C:$C,"&gt;0"),"")</f>
        <v>3426</v>
      </c>
      <c r="N137" s="78">
        <f>IFERROR(_xlfn.MAXIFS(tblLecturas[Kilometraje],tblLecturas[Codigo],$A137,tblLecturas[Kilometraje],"&gt;0"),"")</f>
        <v>173890</v>
      </c>
      <c r="O137" s="78" cm="1">
        <f t="array" ref="O137">IFERROR(IF($I137="KM",LOOKUP(2,1/(Lecturas!$B:$B=$A137)/(Lecturas!$D:$D&gt;0),Lecturas!$D:$D),LOOKUP(2,1/(Lecturas!$B:$B=$A137)/(Lecturas!$C:$C&gt;0),Lecturas!$C:$C)),"")</f>
        <v>3426</v>
      </c>
      <c r="P137" s="20">
        <f>IFERROR(_xlfn.MAXIFS(tblMantenciones[Fecha],tblMantenciones[Codigo],tblMaestroEquipos[[#This Row],[Codigo]],tblMantenciones[EsPM],"Sí"),"")</f>
        <v>46086</v>
      </c>
      <c r="Q137" s="78">
        <f>IF(_xlfn.MAXIFS(Mantenciones!$D:$D,Mantenciones!$B:$B,A137)=0,"Sin datos de mantención registrado",_xlfn.MAXIFS(Mantenciones!$D:$D,Mantenciones!$B:$B,A137))</f>
        <v>3406</v>
      </c>
      <c r="R137" s="18">
        <f>IFERROR(IF(_xlfn.MAXIFS(Mantenciones!$D:$D,Mantenciones!$B:$B,$A137,Mantenciones!$E:$E,"Sí",Mantenciones!$D:$D,"&gt;0")=0,"Sin datos de mantención registrado",_xlfn.MAXIFS(Mantenciones!$D:$D,Mantenciones!$B:$B,$A137,Mantenciones!$E:$E,"Sí",Mantenciones!$D:$D,"&gt;0")),"Sin datos de mantención registrado")</f>
        <v>3406</v>
      </c>
      <c r="S137" s="21">
        <f>IFERROR(SUMIFS(tblMantenciones[Costo Mantencion CLP],tblMantenciones[Codigo],A137),0)</f>
        <v>0</v>
      </c>
      <c r="T137" s="21">
        <f>IFERROR(SUMIFS(tblComprasPM[Costo PM CLP],tblComprasPM[Codigo],tblMaestroEquipos[[#This Row],[Codigo]]),0)</f>
        <v>63430.805899999999</v>
      </c>
      <c r="U137" s="21">
        <f>IFERROR(tblMaestroEquipos[[#This Row],[Costo Mantenciones CLP]]+tblMaestroEquipos[[#This Row],[Costo Compras PM CLP]],0)</f>
        <v>63430.805899999999</v>
      </c>
      <c r="V137" s="18" t="str">
        <f>IFERROR(_xlfn.XLOOKUP(tblMaestroEquipos[[#This Row],[Codigo]],tblEquipos[Codigo],tblEquipos[Estado Base]),"")</f>
        <v>Operativo</v>
      </c>
      <c r="W137" s="18" t="str">
        <f t="shared" si="18"/>
        <v>AL DÍA</v>
      </c>
      <c r="X137" s="18">
        <f t="shared" si="19"/>
        <v>230</v>
      </c>
      <c r="Y137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46328</v>
      </c>
      <c r="Z137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137" s="25">
        <f>IFERROR(IF(_xlfn.MAXIFS(tblBodega[Fecha],tblBodega[Codigo],tblMaestroEquipos[[#This Row],[Codigo]])=0,"",_xlfn.MAXIFS(tblBodega[Fecha],tblBodega[Codigo],tblMaestroEquipos[[#This Row],[Codigo]])),"")</f>
        <v>46080</v>
      </c>
      <c r="AB13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17</v>
      </c>
      <c r="AC137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</v>
      </c>
      <c r="AD13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37" s="51" t="str">
        <f t="shared" si="17"/>
        <v>OPERATIVO</v>
      </c>
      <c r="AF137" s="18" t="str">
        <f t="shared" si="20"/>
        <v>BAJA</v>
      </c>
      <c r="AG137" s="18" t="str">
        <f t="shared" si="21"/>
        <v>Monitorear próximo vencimiento</v>
      </c>
      <c r="AH137">
        <f t="shared" si="22"/>
        <v>0</v>
      </c>
      <c r="AI137" t="str">
        <f t="shared" si="23"/>
        <v/>
      </c>
      <c r="AJ137" s="24">
        <f t="shared" si="24"/>
        <v>99</v>
      </c>
    </row>
    <row r="138" spans="1:36">
      <c r="A138" s="18" t="s">
        <v>268</v>
      </c>
      <c r="B138" s="18" t="s">
        <v>269</v>
      </c>
      <c r="C138" s="18" t="s">
        <v>1070</v>
      </c>
      <c r="D138" s="18" t="s">
        <v>270</v>
      </c>
      <c r="E138" s="19" t="s">
        <v>271</v>
      </c>
      <c r="F138" s="18">
        <v>2014</v>
      </c>
      <c r="G138" s="18" t="str" cm="1">
        <f t="array" ref="G138">IFERROR(INDEX(Lecturas!$E$4:$E$3549,MATCH(1,(Lecturas!$B$4:$B$3549=$A138)*(Lecturas!$E$4:$E$3549&lt;&gt;"")*(Lecturas!$A$4:$A$3549=_xlfn.MAXIFS(Lecturas!$A$4:$A$3549,Lecturas!$B$4:$B$3549,$A138,Lecturas!$E$4:$E$3549,"&lt;&gt;")),0)),"")</f>
        <v>Cobquecura</v>
      </c>
      <c r="H138" s="18" t="s">
        <v>53</v>
      </c>
      <c r="I138" s="18" t="s">
        <v>18</v>
      </c>
      <c r="J138" s="18">
        <v>250</v>
      </c>
      <c r="K138" s="18">
        <f>IFERROR(IF($I138="KM",ROUND((_xlfn.MAXIFS(tblLecturas[Kilometraje],tblLecturas[Codigo],$A138)-_xlfn.MINIFS(tblLecturas[Kilometraje],tblLecturas[Codigo],$A138))/(MAX(1,_xlfn.MAXIFS(tblLecturas[Fecha],tblLecturas[Codigo],$A138)-_xlfn.MINIFS(tblLecturas[Fecha],tblLecturas[Codigo],$A138))),1),ROUND((_xlfn.MAXIFS(tblLecturas[Horometro],tblLecturas[Codigo],$A138)-_xlfn.MINIFS(tblLecturas[Horometro],tblLecturas[Codigo],$A138))/(MAX(1,_xlfn.MAXIFS(tblLecturas[Fecha],tblLecturas[Codigo],$A138)-_xlfn.MINIFS(tblLecturas[Fecha],tblLecturas[Codigo],$A138))),1)),"")</f>
        <v>3.2</v>
      </c>
      <c r="L138" s="20">
        <f>IFERROR(_xlfn.MAXIFS(tblLecturas[Fecha],tblLecturas[Codigo],$A138),"")</f>
        <v>46111</v>
      </c>
      <c r="M138" s="26">
        <f>IFERROR(_xlfn.MAXIFS(Lecturas!$C:$C,Lecturas!$B:$B,$A138,Lecturas!$C:$C,"&gt;0"),"")</f>
        <v>5690</v>
      </c>
      <c r="N138" s="78">
        <f>IFERROR(_xlfn.MAXIFS(tblLecturas[Kilometraje],tblLecturas[Codigo],$A138,tblLecturas[Kilometraje],"&gt;0"),"")</f>
        <v>0</v>
      </c>
      <c r="O138" s="78" cm="1">
        <f t="array" ref="O138">IFERROR(IF($I138="KM",LOOKUP(2,1/(Lecturas!$B:$B=$A138)/(Lecturas!$D:$D&gt;0),Lecturas!$D:$D),LOOKUP(2,1/(Lecturas!$B:$B=$A138)/(Lecturas!$C:$C&gt;0),Lecturas!$C:$C)),"")</f>
        <v>5690</v>
      </c>
      <c r="P138" s="20">
        <f>IFERROR(_xlfn.MAXIFS(tblMantenciones[Fecha],tblMantenciones[Codigo],tblMaestroEquipos[[#This Row],[Codigo]],tblMantenciones[EsPM],"Sí"),"")</f>
        <v>46098</v>
      </c>
      <c r="Q138" s="78">
        <f>IF(_xlfn.MAXIFS(Mantenciones!$D:$D,Mantenciones!$B:$B,A138)=0,"Sin datos de mantención registrado",_xlfn.MAXIFS(Mantenciones!$D:$D,Mantenciones!$B:$B,A138))</f>
        <v>5648</v>
      </c>
      <c r="R138" s="18">
        <f>IFERROR(IF(_xlfn.MAXIFS(Mantenciones!$D:$D,Mantenciones!$B:$B,$A138,Mantenciones!$E:$E,"Sí",Mantenciones!$D:$D,"&gt;0")=0,"Sin datos de mantención registrado",_xlfn.MAXIFS(Mantenciones!$D:$D,Mantenciones!$B:$B,$A138,Mantenciones!$E:$E,"Sí",Mantenciones!$D:$D,"&gt;0")),"Sin datos de mantención registrado")</f>
        <v>5648</v>
      </c>
      <c r="S138" s="21">
        <f>IFERROR(SUMIFS(tblMantenciones[Costo Mantencion CLP],tblMantenciones[Codigo],A138),0)</f>
        <v>177476</v>
      </c>
      <c r="T138" s="21">
        <f>IFERROR(SUMIFS(tblComprasPM[Costo PM CLP],tblComprasPM[Codigo],tblMaestroEquipos[[#This Row],[Codigo]]),0)</f>
        <v>0</v>
      </c>
      <c r="U138" s="21">
        <f>IFERROR(tblMaestroEquipos[[#This Row],[Costo Mantenciones CLP]]+tblMaestroEquipos[[#This Row],[Costo Compras PM CLP]],0)</f>
        <v>177476</v>
      </c>
      <c r="V138" s="18" t="str">
        <f>IFERROR(_xlfn.XLOOKUP(tblMaestroEquipos[[#This Row],[Codigo]],tblEquipos[Codigo],tblEquipos[Estado Base]),"")</f>
        <v>Operativo</v>
      </c>
      <c r="W138" s="18" t="str">
        <f t="shared" si="18"/>
        <v>AL DÍA</v>
      </c>
      <c r="X138" s="18">
        <f t="shared" si="19"/>
        <v>208</v>
      </c>
      <c r="Y138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46319</v>
      </c>
      <c r="Z138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38" s="25" t="str">
        <f>IFERROR(IF(_xlfn.MAXIFS(tblBodega[Fecha],tblBodega[Codigo],tblMaestroEquipos[[#This Row],[Codigo]])=0,"",_xlfn.MAXIFS(tblBodega[Fecha],tblBodega[Codigo],tblMaestroEquipos[[#This Row],[Codigo]])),"")</f>
        <v/>
      </c>
      <c r="AB138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3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3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38" s="51" t="str">
        <f t="shared" si="17"/>
        <v>OPERATIVO</v>
      </c>
      <c r="AF138" s="18" t="str">
        <f t="shared" si="20"/>
        <v>BAJA</v>
      </c>
      <c r="AG138" s="18" t="str">
        <f t="shared" si="21"/>
        <v>Monitorear próximo vencimiento</v>
      </c>
      <c r="AH138">
        <f t="shared" si="22"/>
        <v>0</v>
      </c>
      <c r="AI138" t="str">
        <f t="shared" si="23"/>
        <v/>
      </c>
      <c r="AJ138" s="24">
        <f t="shared" si="24"/>
        <v>99</v>
      </c>
    </row>
    <row r="139" spans="1:36">
      <c r="A139" s="18" t="s">
        <v>493</v>
      </c>
      <c r="B139" s="18" t="s">
        <v>459</v>
      </c>
      <c r="C139" s="18" t="s">
        <v>1074</v>
      </c>
      <c r="D139" s="18" t="s">
        <v>466</v>
      </c>
      <c r="E139" s="19" t="s">
        <v>491</v>
      </c>
      <c r="F139" s="18">
        <v>2024</v>
      </c>
      <c r="G139" s="18" t="str" cm="1">
        <f t="array" ref="G139">IFERROR(INDEX(Lecturas!$E$4:$E$3549,MATCH(1,(Lecturas!$B$4:$B$3549=$A139)*(Lecturas!$E$4:$E$3549&lt;&gt;"")*(Lecturas!$A$4:$A$3549=_xlfn.MAXIFS(Lecturas!$A$4:$A$3549,Lecturas!$B$4:$B$3549,$A139,Lecturas!$E$4:$E$3549,"&lt;&gt;")),0)),"")</f>
        <v/>
      </c>
      <c r="H139" s="18" t="s">
        <v>494</v>
      </c>
      <c r="I139" s="18" t="s">
        <v>462</v>
      </c>
      <c r="J139" s="18">
        <v>15000</v>
      </c>
      <c r="K139" s="18">
        <f>IFERROR(IF($I139="KM",ROUND((_xlfn.MAXIFS(tblLecturas[Kilometraje],tblLecturas[Codigo],$A139)-_xlfn.MINIFS(tblLecturas[Kilometraje],tblLecturas[Codigo],$A139))/(MAX(1,_xlfn.MAXIFS(tblLecturas[Fecha],tblLecturas[Codigo],$A139)-_xlfn.MINIFS(tblLecturas[Fecha],tblLecturas[Codigo],$A139))),1),ROUND((_xlfn.MAXIFS(tblLecturas[Horometro],tblLecturas[Codigo],$A139)-_xlfn.MINIFS(tblLecturas[Horometro],tblLecturas[Codigo],$A139))/(MAX(1,_xlfn.MAXIFS(tblLecturas[Fecha],tblLecturas[Codigo],$A139)-_xlfn.MINIFS(tblLecturas[Fecha],tblLecturas[Codigo],$A139))),1)),"")</f>
        <v>205.9</v>
      </c>
      <c r="L139" s="20">
        <f>IFERROR(_xlfn.MAXIFS(tblLecturas[Fecha],tblLecturas[Codigo],$A139),"")</f>
        <v>46079</v>
      </c>
      <c r="M139" s="26">
        <f>IFERROR(_xlfn.MAXIFS(Lecturas!$C:$C,Lecturas!$B:$B,$A139,Lecturas!$C:$C,"&gt;0"),"")</f>
        <v>0</v>
      </c>
      <c r="N139" s="78">
        <f>IFERROR(_xlfn.MAXIFS(tblLecturas[Kilometraje],tblLecturas[Codigo],$A139,tblLecturas[Kilometraje],"&gt;0"),"")</f>
        <v>56286</v>
      </c>
      <c r="O139" s="78" cm="1">
        <f t="array" ref="O139">IFERROR(IF($I139="KM",LOOKUP(2,1/(Lecturas!$B:$B=$A139)/(Lecturas!$D:$D&gt;0),Lecturas!$D:$D),LOOKUP(2,1/(Lecturas!$B:$B=$A139)/(Lecturas!$C:$C&gt;0),Lecturas!$C:$C)),"")</f>
        <v>38582</v>
      </c>
      <c r="P139" s="20">
        <f>IFERROR(_xlfn.MAXIFS(tblMantenciones[Fecha],tblMantenciones[Codigo],tblMaestroEquipos[[#This Row],[Codigo]],tblMantenciones[EsPM],"Sí"),"")</f>
        <v>46050</v>
      </c>
      <c r="Q139" s="78">
        <f>IF(_xlfn.MAXIFS(Mantenciones!$D:$D,Mantenciones!$B:$B,A139)=0,"Sin datos de mantención registrado",_xlfn.MAXIFS(Mantenciones!$D:$D,Mantenciones!$B:$B,A139))</f>
        <v>54500</v>
      </c>
      <c r="R139" s="18">
        <f>IFERROR(IF(_xlfn.MAXIFS(Mantenciones!$D:$D,Mantenciones!$B:$B,$A139,Mantenciones!$E:$E,"Sí",Mantenciones!$D:$D,"&gt;0")=0,"Sin datos de mantención registrado",_xlfn.MAXIFS(Mantenciones!$D:$D,Mantenciones!$B:$B,$A139,Mantenciones!$E:$E,"Sí",Mantenciones!$D:$D,"&gt;0")),"Sin datos de mantención registrado")</f>
        <v>54500</v>
      </c>
      <c r="S139" s="21">
        <f>IFERROR(SUMIFS(tblMantenciones[Costo Mantencion CLP],tblMantenciones[Codigo],A139),0)</f>
        <v>0</v>
      </c>
      <c r="T139" s="21">
        <f>IFERROR(SUMIFS(tblComprasPM[Costo PM CLP],tblComprasPM[Codigo],tblMaestroEquipos[[#This Row],[Codigo]]),0)</f>
        <v>0</v>
      </c>
      <c r="U139" s="21">
        <f>IFERROR(tblMaestroEquipos[[#This Row],[Costo Mantenciones CLP]]+tblMaestroEquipos[[#This Row],[Costo Compras PM CLP]],0)</f>
        <v>0</v>
      </c>
      <c r="V139" s="18" t="str">
        <f>IFERROR(_xlfn.XLOOKUP(tblMaestroEquipos[[#This Row],[Codigo]],tblEquipos[Codigo],tblEquipos[Estado Base]),"")</f>
        <v>Operativo</v>
      </c>
      <c r="W139" s="18" t="str">
        <f t="shared" si="18"/>
        <v>AL DÍA</v>
      </c>
      <c r="X139" s="18">
        <f t="shared" si="19"/>
        <v>30918</v>
      </c>
      <c r="Y139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76997</v>
      </c>
      <c r="Z13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39" s="25" t="str">
        <f>IFERROR(IF(_xlfn.MAXIFS(tblBodega[Fecha],tblBodega[Codigo],tblMaestroEquipos[[#This Row],[Codigo]])=0,"",_xlfn.MAXIFS(tblBodega[Fecha],tblBodega[Codigo],tblMaestroEquipos[[#This Row],[Codigo]])),"")</f>
        <v/>
      </c>
      <c r="AB13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3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3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39" s="51" t="str">
        <f t="shared" si="17"/>
        <v>OPERATIVO</v>
      </c>
      <c r="AF139" s="18" t="str">
        <f t="shared" si="20"/>
        <v>BAJA</v>
      </c>
      <c r="AG139" s="18" t="str">
        <f t="shared" si="21"/>
        <v>Monitorear próximo vencimiento</v>
      </c>
      <c r="AH139">
        <f t="shared" si="22"/>
        <v>0</v>
      </c>
      <c r="AI139" t="str">
        <f t="shared" si="23"/>
        <v/>
      </c>
      <c r="AJ139" s="24">
        <f t="shared" si="24"/>
        <v>99</v>
      </c>
    </row>
    <row r="140" spans="1:36">
      <c r="A140" s="18" t="s">
        <v>305</v>
      </c>
      <c r="B140" s="18" t="s">
        <v>264</v>
      </c>
      <c r="C140" s="18" t="s">
        <v>1070</v>
      </c>
      <c r="D140" s="18" t="s">
        <v>302</v>
      </c>
      <c r="E140" s="19" t="s">
        <v>303</v>
      </c>
      <c r="F140" s="18">
        <v>2010</v>
      </c>
      <c r="G140" s="18" t="str" cm="1">
        <f t="array" ref="G140">IFERROR(INDEX(Lecturas!$E$4:$E$3549,MATCH(1,(Lecturas!$B$4:$B$3549=$A140)*(Lecturas!$E$4:$E$3549&lt;&gt;"")*(Lecturas!$A$4:$A$3549=_xlfn.MAXIFS(Lecturas!$A$4:$A$3549,Lecturas!$B$4:$B$3549,$A140,Lecturas!$E$4:$E$3549,"&lt;&gt;")),0)),"")</f>
        <v/>
      </c>
      <c r="H140" s="18" t="s">
        <v>53</v>
      </c>
      <c r="I140" s="18" t="s">
        <v>18</v>
      </c>
      <c r="J140" s="18">
        <v>250</v>
      </c>
      <c r="K140" s="18">
        <f>IFERROR(IF($I140="KM",ROUND((_xlfn.MAXIFS(tblLecturas[Kilometraje],tblLecturas[Codigo],$A140)-_xlfn.MINIFS(tblLecturas[Kilometraje],tblLecturas[Codigo],$A140))/(MAX(1,_xlfn.MAXIFS(tblLecturas[Fecha],tblLecturas[Codigo],$A140)-_xlfn.MINIFS(tblLecturas[Fecha],tblLecturas[Codigo],$A140))),1),ROUND((_xlfn.MAXIFS(tblLecturas[Horometro],tblLecturas[Codigo],$A140)-_xlfn.MINIFS(tblLecturas[Horometro],tblLecturas[Codigo],$A140))/(MAX(1,_xlfn.MAXIFS(tblLecturas[Fecha],tblLecturas[Codigo],$A140)-_xlfn.MINIFS(tblLecturas[Fecha],tblLecturas[Codigo],$A140))),1)),"")</f>
        <v>2.9</v>
      </c>
      <c r="L140" s="20">
        <f>IFERROR(_xlfn.MAXIFS(tblLecturas[Fecha],tblLecturas[Codigo],$A140),"")</f>
        <v>46111</v>
      </c>
      <c r="M140" s="26">
        <f>IFERROR(_xlfn.MAXIFS(Lecturas!$C:$C,Lecturas!$B:$B,$A140,Lecturas!$C:$C,"&gt;0"),"")</f>
        <v>17019</v>
      </c>
      <c r="N140" s="78">
        <f>IFERROR(_xlfn.MAXIFS(tblLecturas[Kilometraje],tblLecturas[Codigo],$A140,tblLecturas[Kilometraje],"&gt;0"),"")</f>
        <v>0</v>
      </c>
      <c r="O140" s="78" cm="1">
        <f t="array" ref="O140">IFERROR(IF($I140="KM",LOOKUP(2,1/(Lecturas!$B:$B=$A140)/(Lecturas!$D:$D&gt;0),Lecturas!$D:$D),LOOKUP(2,1/(Lecturas!$B:$B=$A140)/(Lecturas!$C:$C&gt;0),Lecturas!$C:$C)),"")</f>
        <v>17019</v>
      </c>
      <c r="P140" s="20">
        <f>IFERROR(_xlfn.MAXIFS(tblMantenciones[Fecha],tblMantenciones[Codigo],tblMaestroEquipos[[#This Row],[Codigo]],tblMantenciones[EsPM],"Sí"),"")</f>
        <v>46086</v>
      </c>
      <c r="Q140" s="78">
        <f>IF(_xlfn.MAXIFS(Mantenciones!$D:$D,Mantenciones!$B:$B,A140)=0,"Sin datos de mantención registrado",_xlfn.MAXIFS(Mantenciones!$D:$D,Mantenciones!$B:$B,A140))</f>
        <v>16953</v>
      </c>
      <c r="R140" s="18">
        <f>IFERROR(IF(_xlfn.MAXIFS(Mantenciones!$D:$D,Mantenciones!$B:$B,$A140,Mantenciones!$E:$E,"Sí",Mantenciones!$D:$D,"&gt;0")=0,"Sin datos de mantención registrado",_xlfn.MAXIFS(Mantenciones!$D:$D,Mantenciones!$B:$B,$A140,Mantenciones!$E:$E,"Sí",Mantenciones!$D:$D,"&gt;0")),"Sin datos de mantención registrado")</f>
        <v>16953</v>
      </c>
      <c r="S140" s="21">
        <f>IFERROR(SUMIFS(tblMantenciones[Costo Mantencion CLP],tblMantenciones[Codigo],A140),0)</f>
        <v>0</v>
      </c>
      <c r="T140" s="21">
        <f>IFERROR(SUMIFS(tblComprasPM[Costo PM CLP],tblComprasPM[Codigo],tblMaestroEquipos[[#This Row],[Codigo]]),0)</f>
        <v>496871.41</v>
      </c>
      <c r="U140" s="21">
        <f>IFERROR(tblMaestroEquipos[[#This Row],[Costo Mantenciones CLP]]+tblMaestroEquipos[[#This Row],[Costo Compras PM CLP]],0)</f>
        <v>496871.41</v>
      </c>
      <c r="V140" s="18" t="str">
        <f>IFERROR(_xlfn.XLOOKUP(tblMaestroEquipos[[#This Row],[Codigo]],tblEquipos[Codigo],tblEquipos[Estado Base]),"")</f>
        <v>Operativo</v>
      </c>
      <c r="W140" s="18" t="str">
        <f t="shared" si="18"/>
        <v>AL DÍA</v>
      </c>
      <c r="X140" s="18">
        <f t="shared" si="19"/>
        <v>184</v>
      </c>
      <c r="Y140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46295</v>
      </c>
      <c r="Z140" s="25">
        <f>IFERROR(IF(_xlfn.MINIFS(tblComprasPM[Fecha],tblComprasPM[Codigo],tblMaestroEquipos[[#This Row],[Codigo]])=0,"",_xlfn.MINIFS(tblComprasPM[Fecha],tblComprasPM[Codigo],tblMaestroEquipos[[#This Row],[Codigo]])),"")</f>
        <v>46085.547314004602</v>
      </c>
      <c r="AA140" s="25">
        <f>IFERROR(IF(_xlfn.MAXIFS(tblBodega[Fecha],tblBodega[Codigo],tblMaestroEquipos[[#This Row],[Codigo]])=0,"",_xlfn.MAXIFS(tblBodega[Fecha],tblBodega[Codigo],tblMaestroEquipos[[#This Row],[Codigo]])),"")</f>
        <v>46080</v>
      </c>
      <c r="AB140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</v>
      </c>
      <c r="AC140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</v>
      </c>
      <c r="AD14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40" s="51" t="str">
        <f t="shared" si="17"/>
        <v>OPERATIVO</v>
      </c>
      <c r="AF140" s="18" t="str">
        <f t="shared" si="20"/>
        <v>BAJA</v>
      </c>
      <c r="AG140" s="18" t="str">
        <f t="shared" si="21"/>
        <v>Monitorear próximo vencimiento</v>
      </c>
      <c r="AH140">
        <f t="shared" si="22"/>
        <v>0</v>
      </c>
      <c r="AI140" t="str">
        <f t="shared" si="23"/>
        <v/>
      </c>
      <c r="AJ140" s="24">
        <f t="shared" si="24"/>
        <v>99</v>
      </c>
    </row>
    <row r="141" spans="1:36">
      <c r="A141" s="18" t="s">
        <v>465</v>
      </c>
      <c r="B141" s="18" t="s">
        <v>459</v>
      </c>
      <c r="C141" s="18" t="s">
        <v>1074</v>
      </c>
      <c r="D141" s="18" t="s">
        <v>466</v>
      </c>
      <c r="E141" s="19" t="s">
        <v>467</v>
      </c>
      <c r="F141" s="18">
        <v>2024</v>
      </c>
      <c r="G141" s="18" t="str" cm="1">
        <f t="array" ref="G141">IFERROR(INDEX(Lecturas!$E$4:$E$3549,MATCH(1,(Lecturas!$B$4:$B$3549=$A141)*(Lecturas!$E$4:$E$3549&lt;&gt;"")*(Lecturas!$A$4:$A$3549=_xlfn.MAXIFS(Lecturas!$A$4:$A$3549,Lecturas!$B$4:$B$3549,$A141,Lecturas!$E$4:$E$3549,"&lt;&gt;")),0)),"")</f>
        <v>Taller</v>
      </c>
      <c r="H141" s="18" t="s">
        <v>468</v>
      </c>
      <c r="I141" s="18" t="s">
        <v>462</v>
      </c>
      <c r="J141" s="18">
        <v>15000</v>
      </c>
      <c r="K141" s="18">
        <f>IFERROR(IF($I141="KM",ROUND((_xlfn.MAXIFS(tblLecturas[Kilometraje],tblLecturas[Codigo],$A141)-_xlfn.MINIFS(tblLecturas[Kilometraje],tblLecturas[Codigo],$A141))/(MAX(1,_xlfn.MAXIFS(tblLecturas[Fecha],tblLecturas[Codigo],$A141)-_xlfn.MINIFS(tblLecturas[Fecha],tblLecturas[Codigo],$A141))),1),ROUND((_xlfn.MAXIFS(tblLecturas[Horometro],tblLecturas[Codigo],$A141)-_xlfn.MINIFS(tblLecturas[Horometro],tblLecturas[Codigo],$A141))/(MAX(1,_xlfn.MAXIFS(tblLecturas[Fecha],tblLecturas[Codigo],$A141)-_xlfn.MINIFS(tblLecturas[Fecha],tblLecturas[Codigo],$A141))),1)),"")</f>
        <v>209.8</v>
      </c>
      <c r="L141" s="20">
        <f>IFERROR(_xlfn.MAXIFS(tblLecturas[Fecha],tblLecturas[Codigo],$A141),"")</f>
        <v>46105</v>
      </c>
      <c r="M141" s="26">
        <f>IFERROR(_xlfn.MAXIFS(Lecturas!$C:$C,Lecturas!$B:$B,$A141,Lecturas!$C:$C,"&gt;0"),"")</f>
        <v>0</v>
      </c>
      <c r="N141" s="78">
        <f>IFERROR(_xlfn.MAXIFS(tblLecturas[Kilometraje],tblLecturas[Codigo],$A141,tblLecturas[Kilometraje],"&gt;0"),"")</f>
        <v>108622</v>
      </c>
      <c r="O141" s="78" cm="1">
        <f t="array" ref="O141">IFERROR(IF($I141="KM",LOOKUP(2,1/(Lecturas!$B:$B=$A141)/(Lecturas!$D:$D&gt;0),Lecturas!$D:$D),LOOKUP(2,1/(Lecturas!$B:$B=$A141)/(Lecturas!$C:$C&gt;0),Lecturas!$C:$C)),"")</f>
        <v>108622</v>
      </c>
      <c r="P141" s="20">
        <f>IFERROR(_xlfn.MAXIFS(tblMantenciones[Fecha],tblMantenciones[Codigo],tblMaestroEquipos[[#This Row],[Codigo]],tblMantenciones[EsPM],"Sí"),"")</f>
        <v>46087</v>
      </c>
      <c r="Q141" s="78">
        <f>IF(_xlfn.MAXIFS(Mantenciones!$D:$D,Mantenciones!$B:$B,A141)=0,"Sin datos de mantención registrado",_xlfn.MAXIFS(Mantenciones!$D:$D,Mantenciones!$B:$B,A141))</f>
        <v>105962</v>
      </c>
      <c r="R141" s="18">
        <f>IFERROR(IF(_xlfn.MAXIFS(Mantenciones!$D:$D,Mantenciones!$B:$B,$A141,Mantenciones!$E:$E,"Sí",Mantenciones!$D:$D,"&gt;0")=0,"Sin datos de mantención registrado",_xlfn.MAXIFS(Mantenciones!$D:$D,Mantenciones!$B:$B,$A141,Mantenciones!$E:$E,"Sí",Mantenciones!$D:$D,"&gt;0")),"Sin datos de mantención registrado")</f>
        <v>105962</v>
      </c>
      <c r="S141" s="21">
        <f>IFERROR(SUMIFS(tblMantenciones[Costo Mantencion CLP],tblMantenciones[Codigo],A141),0)</f>
        <v>0</v>
      </c>
      <c r="T141" s="21">
        <f>IFERROR(SUMIFS(tblComprasPM[Costo PM CLP],tblComprasPM[Codigo],tblMaestroEquipos[[#This Row],[Codigo]]),0)</f>
        <v>0</v>
      </c>
      <c r="U141" s="21">
        <f>IFERROR(tblMaestroEquipos[[#This Row],[Costo Mantenciones CLP]]+tblMaestroEquipos[[#This Row],[Costo Compras PM CLP]],0)</f>
        <v>0</v>
      </c>
      <c r="V141" s="18" t="str">
        <f>IFERROR(_xlfn.XLOOKUP(tblMaestroEquipos[[#This Row],[Codigo]],tblEquipos[Codigo],tblEquipos[Estado Base]),"")</f>
        <v>Operativo</v>
      </c>
      <c r="W141" s="18" t="str">
        <f t="shared" si="18"/>
        <v>AL DÍA</v>
      </c>
      <c r="X141" s="18">
        <f t="shared" si="19"/>
        <v>12340</v>
      </c>
      <c r="Y141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58445</v>
      </c>
      <c r="Z141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41" s="25">
        <f>IFERROR(IF(_xlfn.MAXIFS(tblBodega[Fecha],tblBodega[Codigo],tblMaestroEquipos[[#This Row],[Codigo]])=0,"",_xlfn.MAXIFS(tblBodega[Fecha],tblBodega[Codigo],tblMaestroEquipos[[#This Row],[Codigo]])),"")</f>
        <v>46087</v>
      </c>
      <c r="AB141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41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4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41" s="51" t="str">
        <f t="shared" si="17"/>
        <v>OPERATIVO</v>
      </c>
      <c r="AF141" s="18" t="str">
        <f t="shared" si="20"/>
        <v>BAJA</v>
      </c>
      <c r="AG141" s="18" t="str">
        <f t="shared" si="21"/>
        <v>Monitorear próximo vencimiento</v>
      </c>
      <c r="AH141">
        <f t="shared" si="22"/>
        <v>0</v>
      </c>
      <c r="AI141" t="str">
        <f t="shared" si="23"/>
        <v/>
      </c>
      <c r="AJ141" s="24">
        <f t="shared" si="24"/>
        <v>99</v>
      </c>
    </row>
    <row r="142" spans="1:36">
      <c r="A142" s="18" t="s">
        <v>552</v>
      </c>
      <c r="B142" s="18" t="s">
        <v>459</v>
      </c>
      <c r="C142" s="18" t="s">
        <v>1074</v>
      </c>
      <c r="D142" s="18" t="s">
        <v>99</v>
      </c>
      <c r="E142" s="19" t="s">
        <v>460</v>
      </c>
      <c r="F142" s="18">
        <v>2026</v>
      </c>
      <c r="G142" s="18" t="str" cm="1">
        <f t="array" ref="G142">IFERROR(INDEX(Lecturas!$E$4:$E$3549,MATCH(1,(Lecturas!$B$4:$B$3549=$A142)*(Lecturas!$E$4:$E$3549&lt;&gt;"")*(Lecturas!$A$4:$A$3549=_xlfn.MAXIFS(Lecturas!$A$4:$A$3549,Lecturas!$B$4:$B$3549,$A142,Lecturas!$E$4:$E$3549,"&lt;&gt;")),0)),"")</f>
        <v>Curicó</v>
      </c>
      <c r="H142" s="18"/>
      <c r="I142" s="18" t="s">
        <v>462</v>
      </c>
      <c r="J142" s="18">
        <v>15000</v>
      </c>
      <c r="K142" s="18">
        <f>IFERROR(IF($I142="KM",ROUND((_xlfn.MAXIFS(tblLecturas[Kilometraje],tblLecturas[Codigo],$A142)-_xlfn.MINIFS(tblLecturas[Kilometraje],tblLecturas[Codigo],$A142))/(MAX(1,_xlfn.MAXIFS(tblLecturas[Fecha],tblLecturas[Codigo],$A142)-_xlfn.MINIFS(tblLecturas[Fecha],tblLecturas[Codigo],$A142))),1),ROUND((_xlfn.MAXIFS(tblLecturas[Horometro],tblLecturas[Codigo],$A142)-_xlfn.MINIFS(tblLecturas[Horometro],tblLecturas[Codigo],$A142))/(MAX(1,_xlfn.MAXIFS(tblLecturas[Fecha],tblLecturas[Codigo],$A142)-_xlfn.MINIFS(tblLecturas[Fecha],tblLecturas[Codigo],$A142))),1)),"")</f>
        <v>204.7</v>
      </c>
      <c r="L142" s="20">
        <f>IFERROR(_xlfn.MAXIFS(tblLecturas[Fecha],tblLecturas[Codigo],$A142),"")</f>
        <v>46133</v>
      </c>
      <c r="M142" s="26">
        <f>IFERROR(_xlfn.MAXIFS(Lecturas!$C:$C,Lecturas!$B:$B,$A142,Lecturas!$C:$C,"&gt;0"),"")</f>
        <v>0</v>
      </c>
      <c r="N142" s="78">
        <f>IFERROR(_xlfn.MAXIFS(tblLecturas[Kilometraje],tblLecturas[Codigo],$A142,tblLecturas[Kilometraje],"&gt;0"),"")</f>
        <v>28123</v>
      </c>
      <c r="O142" s="78" cm="1">
        <f t="array" ref="O142">IFERROR(IF($I142="KM",LOOKUP(2,1/(Lecturas!$B:$B=$A142)/(Lecturas!$D:$D&gt;0),Lecturas!$D:$D),LOOKUP(2,1/(Lecturas!$B:$B=$A142)/(Lecturas!$C:$C&gt;0),Lecturas!$C:$C)),"")</f>
        <v>28123</v>
      </c>
      <c r="P142" s="20">
        <f>IFERROR(_xlfn.MAXIFS(tblMantenciones[Fecha],tblMantenciones[Codigo],tblMaestroEquipos[[#This Row],[Codigo]],tblMantenciones[EsPM],"Sí"),"")</f>
        <v>46099</v>
      </c>
      <c r="Q142" s="78">
        <f>IF(_xlfn.MAXIFS(Mantenciones!$D:$D,Mantenciones!$B:$B,A142)=0,"Sin datos de mantención registrado",_xlfn.MAXIFS(Mantenciones!$D:$D,Mantenciones!$B:$B,A142))</f>
        <v>22254</v>
      </c>
      <c r="R142" s="18">
        <f>IFERROR(IF(_xlfn.MAXIFS(Mantenciones!$D:$D,Mantenciones!$B:$B,$A142,Mantenciones!$E:$E,"Sí",Mantenciones!$D:$D,"&gt;0")=0,"Sin datos de mantención registrado",_xlfn.MAXIFS(Mantenciones!$D:$D,Mantenciones!$B:$B,$A142,Mantenciones!$E:$E,"Sí",Mantenciones!$D:$D,"&gt;0")),"Sin datos de mantención registrado")</f>
        <v>22254</v>
      </c>
      <c r="S142" s="21">
        <f>IFERROR(SUMIFS(tblMantenciones[Costo Mantencion CLP],tblMantenciones[Codigo],A142),0)</f>
        <v>310988</v>
      </c>
      <c r="T142" s="21">
        <f>IFERROR(SUMIFS(tblComprasPM[Costo PM CLP],tblComprasPM[Codigo],tblMaestroEquipos[[#This Row],[Codigo]]),0)</f>
        <v>440390.44</v>
      </c>
      <c r="U142" s="21">
        <f>IFERROR(tblMaestroEquipos[[#This Row],[Costo Mantenciones CLP]]+tblMaestroEquipos[[#This Row],[Costo Compras PM CLP]],0)</f>
        <v>751378.44</v>
      </c>
      <c r="V142" s="18" t="str">
        <f>IFERROR(_xlfn.XLOOKUP(tblMaestroEquipos[[#This Row],[Codigo]],tblEquipos[Codigo],tblEquipos[Estado Base]),"")</f>
        <v>Operativo</v>
      </c>
      <c r="W142" s="18" t="str">
        <f t="shared" si="18"/>
        <v>EN PROCESO</v>
      </c>
      <c r="X142" s="18">
        <f t="shared" si="19"/>
        <v>9131</v>
      </c>
      <c r="Y142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55264</v>
      </c>
      <c r="Z142" s="25">
        <f>IFERROR(IF(_xlfn.MINIFS(tblComprasPM[Fecha],tblComprasPM[Codigo],tblMaestroEquipos[[#This Row],[Codigo]])=0,"",_xlfn.MINIFS(tblComprasPM[Fecha],tblComprasPM[Codigo],tblMaestroEquipos[[#This Row],[Codigo]])),"")</f>
        <v>46100</v>
      </c>
      <c r="AA142" s="25" t="str">
        <f>IFERROR(IF(_xlfn.MAXIFS(tblBodega[Fecha],tblBodega[Codigo],tblMaestroEquipos[[#This Row],[Codigo]])=0,"",_xlfn.MAXIFS(tblBodega[Fecha],tblBodega[Codigo],tblMaestroEquipos[[#This Row],[Codigo]])),"")</f>
        <v/>
      </c>
      <c r="AB142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4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4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42" s="51" t="str">
        <f t="shared" si="17"/>
        <v>EN PROCESO</v>
      </c>
      <c r="AF142" s="18" t="str">
        <f t="shared" si="20"/>
        <v>SEGUIMIENTO</v>
      </c>
      <c r="AG142" s="18" t="str">
        <f t="shared" si="21"/>
        <v>Hacer seguimiento al taller y cerrar report</v>
      </c>
      <c r="AH142">
        <f t="shared" si="22"/>
        <v>0</v>
      </c>
      <c r="AI142" t="str">
        <f t="shared" si="23"/>
        <v/>
      </c>
      <c r="AJ142" s="24">
        <f t="shared" si="24"/>
        <v>2</v>
      </c>
    </row>
    <row r="143" spans="1:36">
      <c r="A143" s="18" t="s">
        <v>258</v>
      </c>
      <c r="B143" s="18" t="s">
        <v>259</v>
      </c>
      <c r="C143" s="18" t="s">
        <v>1070</v>
      </c>
      <c r="D143" s="18" t="s">
        <v>260</v>
      </c>
      <c r="E143" s="19" t="s">
        <v>261</v>
      </c>
      <c r="F143" s="18">
        <v>2024</v>
      </c>
      <c r="G143" s="18" t="str" cm="1">
        <f t="array" ref="G143">IFERROR(INDEX(Lecturas!$E$4:$E$3549,MATCH(1,(Lecturas!$B$4:$B$3549=$A143)*(Lecturas!$E$4:$E$3549&lt;&gt;"")*(Lecturas!$A$4:$A$3549=_xlfn.MAXIFS(Lecturas!$A$4:$A$3549,Lecturas!$B$4:$B$3549,$A143,Lecturas!$E$4:$E$3549,"&lt;&gt;")),0)),"")</f>
        <v>San Nicolas</v>
      </c>
      <c r="H143" s="18" t="s">
        <v>262</v>
      </c>
      <c r="I143" s="18" t="s">
        <v>18</v>
      </c>
      <c r="J143" s="18">
        <v>250</v>
      </c>
      <c r="K143" s="18">
        <f>IFERROR(IF($I143="KM",ROUND((_xlfn.MAXIFS(tblLecturas[Kilometraje],tblLecturas[Codigo],$A143)-_xlfn.MINIFS(tblLecturas[Kilometraje],tblLecturas[Codigo],$A143))/(MAX(1,_xlfn.MAXIFS(tblLecturas[Fecha],tblLecturas[Codigo],$A143)-_xlfn.MINIFS(tblLecturas[Fecha],tblLecturas[Codigo],$A143))),1),ROUND((_xlfn.MAXIFS(tblLecturas[Horometro],tblLecturas[Codigo],$A143)-_xlfn.MINIFS(tblLecturas[Horometro],tblLecturas[Codigo],$A143))/(MAX(1,_xlfn.MAXIFS(tblLecturas[Fecha],tblLecturas[Codigo],$A143)-_xlfn.MINIFS(tblLecturas[Fecha],tblLecturas[Codigo],$A143))),1)),"")</f>
        <v>5.9</v>
      </c>
      <c r="L143" s="20">
        <f>IFERROR(_xlfn.MAXIFS(tblLecturas[Fecha],tblLecturas[Codigo],$A143),"")</f>
        <v>46135</v>
      </c>
      <c r="M143" s="26">
        <f>IFERROR(_xlfn.MAXIFS(Lecturas!$C:$C,Lecturas!$B:$B,$A143,Lecturas!$C:$C,"&gt;0"),"")</f>
        <v>3006</v>
      </c>
      <c r="N143" s="78">
        <f>IFERROR(_xlfn.MAXIFS(tblLecturas[Kilometraje],tblLecturas[Codigo],$A143,tblLecturas[Kilometraje],"&gt;0"),"")</f>
        <v>0</v>
      </c>
      <c r="O143" s="78" cm="1">
        <f t="array" ref="O143">IFERROR(IF($I143="KM",LOOKUP(2,1/(Lecturas!$B:$B=$A143)/(Lecturas!$D:$D&gt;0),Lecturas!$D:$D),LOOKUP(2,1/(Lecturas!$B:$B=$A143)/(Lecturas!$C:$C&gt;0),Lecturas!$C:$C)),"")</f>
        <v>3006</v>
      </c>
      <c r="P143" s="20">
        <f>IFERROR(_xlfn.MAXIFS(tblMantenciones[Fecha],tblMantenciones[Codigo],tblMaestroEquipos[[#This Row],[Codigo]],tblMantenciones[EsPM],"Sí"),"")</f>
        <v>46111</v>
      </c>
      <c r="Q143" s="78">
        <f>IF(_xlfn.MAXIFS(Mantenciones!$D:$D,Mantenciones!$B:$B,A143)=0,"Sin datos de mantención registrado",_xlfn.MAXIFS(Mantenciones!$D:$D,Mantenciones!$B:$B,A143))</f>
        <v>2885</v>
      </c>
      <c r="R143" s="18">
        <f>IFERROR(IF(_xlfn.MAXIFS(Mantenciones!$D:$D,Mantenciones!$B:$B,$A143,Mantenciones!$E:$E,"Sí",Mantenciones!$D:$D,"&gt;0")=0,"Sin datos de mantención registrado",_xlfn.MAXIFS(Mantenciones!$D:$D,Mantenciones!$B:$B,$A143,Mantenciones!$E:$E,"Sí",Mantenciones!$D:$D,"&gt;0")),"Sin datos de mantención registrado")</f>
        <v>2885</v>
      </c>
      <c r="S143" s="21">
        <f>IFERROR(SUMIFS(tblMantenciones[Costo Mantencion CLP],tblMantenciones[Codigo],A143),0)</f>
        <v>0</v>
      </c>
      <c r="T143" s="21">
        <f>IFERROR(SUMIFS(tblComprasPM[Costo PM CLP],tblComprasPM[Codigo],tblMaestroEquipos[[#This Row],[Codigo]]),0)</f>
        <v>721915.88</v>
      </c>
      <c r="U143" s="21">
        <f>IFERROR(tblMaestroEquipos[[#This Row],[Costo Mantenciones CLP]]+tblMaestroEquipos[[#This Row],[Costo Compras PM CLP]],0)</f>
        <v>721915.88</v>
      </c>
      <c r="V143" s="18" t="str">
        <f>IFERROR(_xlfn.XLOOKUP(tblMaestroEquipos[[#This Row],[Codigo]],tblEquipos[Codigo],tblEquipos[Estado Base]),"")</f>
        <v>Operativo</v>
      </c>
      <c r="W143" s="18" t="str">
        <f t="shared" si="18"/>
        <v>AL DÍA</v>
      </c>
      <c r="X143" s="18">
        <f t="shared" si="19"/>
        <v>129</v>
      </c>
      <c r="Y14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46264</v>
      </c>
      <c r="Z143" s="25">
        <f>IFERROR(IF(_xlfn.MINIFS(tblComprasPM[Fecha],tblComprasPM[Codigo],tblMaestroEquipos[[#This Row],[Codigo]])=0,"",_xlfn.MINIFS(tblComprasPM[Fecha],tblComprasPM[Codigo],tblMaestroEquipos[[#This Row],[Codigo]])),"")</f>
        <v>46085.664697835702</v>
      </c>
      <c r="AA143" s="25">
        <f>IFERROR(IF(_xlfn.MAXIFS(tblBodega[Fecha],tblBodega[Codigo],tblMaestroEquipos[[#This Row],[Codigo]])=0,"",_xlfn.MAXIFS(tblBodega[Fecha],tblBodega[Codigo],tblMaestroEquipos[[#This Row],[Codigo]])),"")</f>
        <v>46111</v>
      </c>
      <c r="AB14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26</v>
      </c>
      <c r="AC143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4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43" s="51" t="str">
        <f t="shared" si="17"/>
        <v>OPERATIVO</v>
      </c>
      <c r="AF143" s="18" t="str">
        <f t="shared" si="20"/>
        <v>BAJA</v>
      </c>
      <c r="AG143" s="18" t="str">
        <f t="shared" si="21"/>
        <v>Monitorear próximo vencimiento</v>
      </c>
      <c r="AH143">
        <f t="shared" si="22"/>
        <v>0</v>
      </c>
      <c r="AI143" t="str">
        <f t="shared" si="23"/>
        <v/>
      </c>
      <c r="AJ143" s="24">
        <f t="shared" si="24"/>
        <v>99</v>
      </c>
    </row>
    <row r="144" spans="1:36" s="27" customFormat="1">
      <c r="A144" s="18" t="s">
        <v>19</v>
      </c>
      <c r="B144" s="18" t="s">
        <v>20</v>
      </c>
      <c r="C144" s="18" t="s">
        <v>1069</v>
      </c>
      <c r="D144" s="18" t="s">
        <v>21</v>
      </c>
      <c r="E144" s="19" t="s">
        <v>22</v>
      </c>
      <c r="F144" s="18">
        <v>2018</v>
      </c>
      <c r="G144" s="18" t="str" cm="1">
        <f t="array" ref="G144">IFERROR(INDEX(Lecturas!$E$4:$E$3549,MATCH(1,(Lecturas!$B$4:$B$3549=$A144)*(Lecturas!$E$4:$E$3549&lt;&gt;"")*(Lecturas!$A$4:$A$3549=_xlfn.MAXIFS(Lecturas!$A$4:$A$3549,Lecturas!$B$4:$B$3549,$A144,Lecturas!$E$4:$E$3549,"&lt;&gt;")),0)),"")</f>
        <v>Quirihue</v>
      </c>
      <c r="H144" s="18" t="s">
        <v>24</v>
      </c>
      <c r="I144" s="18" t="s">
        <v>18</v>
      </c>
      <c r="J144" s="18">
        <v>250</v>
      </c>
      <c r="K144" s="18">
        <f>IFERROR(IF($I144="KM",ROUND((_xlfn.MAXIFS(tblLecturas[Kilometraje],tblLecturas[Codigo],$A144)-_xlfn.MINIFS(tblLecturas[Kilometraje],tblLecturas[Codigo],$A144))/(MAX(1,_xlfn.MAXIFS(tblLecturas[Fecha],tblLecturas[Codigo],$A144)-_xlfn.MINIFS(tblLecturas[Fecha],tblLecturas[Codigo],$A144))),1),ROUND((_xlfn.MAXIFS(tblLecturas[Horometro],tblLecturas[Codigo],$A144)-_xlfn.MINIFS(tblLecturas[Horometro],tblLecturas[Codigo],$A144))/(MAX(1,_xlfn.MAXIFS(tblLecturas[Fecha],tblLecturas[Codigo],$A144)-_xlfn.MINIFS(tblLecturas[Fecha],tblLecturas[Codigo],$A144))),1)),"")</f>
        <v>3.6</v>
      </c>
      <c r="L144" s="20">
        <f>IFERROR(_xlfn.MAXIFS(tblLecturas[Fecha],tblLecturas[Codigo],$A144),"")</f>
        <v>46132</v>
      </c>
      <c r="M144" s="26">
        <f>IFERROR(_xlfn.MAXIFS(Lecturas!$C:$C,Lecturas!$B:$B,$A144,Lecturas!$C:$C,"&gt;0"),"")</f>
        <v>10496</v>
      </c>
      <c r="N144" s="78">
        <f>IFERROR(_xlfn.MAXIFS(tblLecturas[Kilometraje],tblLecturas[Codigo],$A144,tblLecturas[Kilometraje],"&gt;0"),"")</f>
        <v>262575</v>
      </c>
      <c r="O144" s="78" cm="1">
        <f t="array" ref="O144">IFERROR(IF($I144="KM",LOOKUP(2,1/(Lecturas!$B:$B=$A144)/(Lecturas!$D:$D&gt;0),Lecturas!$D:$D),LOOKUP(2,1/(Lecturas!$B:$B=$A144)/(Lecturas!$C:$C&gt;0),Lecturas!$C:$C)),"")</f>
        <v>10496</v>
      </c>
      <c r="P144" s="20">
        <f>IFERROR(_xlfn.MAXIFS(tblMantenciones[Fecha],tblMantenciones[Codigo],tblMaestroEquipos[[#This Row],[Codigo]],tblMantenciones[EsPM],"Sí"),"")</f>
        <v>46125</v>
      </c>
      <c r="Q144" s="78">
        <f>IF(_xlfn.MAXIFS(Mantenciones!$D:$D,Mantenciones!$B:$B,A144)=0,"Sin datos de mantención registrado",_xlfn.MAXIFS(Mantenciones!$D:$D,Mantenciones!$B:$B,A144))</f>
        <v>10400</v>
      </c>
      <c r="R144" s="18">
        <f>IFERROR(IF(_xlfn.MAXIFS(Mantenciones!$D:$D,Mantenciones!$B:$B,$A144,Mantenciones!$E:$E,"Sí",Mantenciones!$D:$D,"&gt;0")=0,"Sin datos de mantención registrado",_xlfn.MAXIFS(Mantenciones!$D:$D,Mantenciones!$B:$B,$A144,Mantenciones!$E:$E,"Sí",Mantenciones!$D:$D,"&gt;0")),"Sin datos de mantención registrado")</f>
        <v>10400</v>
      </c>
      <c r="S144" s="21">
        <f>IFERROR(SUMIFS(tblMantenciones[Costo Mantencion CLP],tblMantenciones[Codigo],A144),0)</f>
        <v>0</v>
      </c>
      <c r="T144" s="21">
        <f>IFERROR(SUMIFS(tblComprasPM[Costo PM CLP],tblComprasPM[Codigo],tblMaestroEquipos[[#This Row],[Codigo]]),0)</f>
        <v>0</v>
      </c>
      <c r="U144" s="21">
        <f>IFERROR(tblMaestroEquipos[[#This Row],[Costo Mantenciones CLP]]+tblMaestroEquipos[[#This Row],[Costo Compras PM CLP]],0)</f>
        <v>0</v>
      </c>
      <c r="V144" s="18" t="str">
        <f>IFERROR(_xlfn.XLOOKUP(tblMaestroEquipos[[#This Row],[Codigo]],tblEquipos[Codigo],tblEquipos[Estado Base]),"")</f>
        <v>Operativo</v>
      </c>
      <c r="W144" s="18" t="str">
        <f t="shared" si="18"/>
        <v>AL DÍA</v>
      </c>
      <c r="X144" s="18">
        <f t="shared" si="19"/>
        <v>154</v>
      </c>
      <c r="Y144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46286</v>
      </c>
      <c r="Z14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44" s="25" t="str">
        <f>IFERROR(IF(_xlfn.MAXIFS(tblBodega[Fecha],tblBodega[Codigo],tblMaestroEquipos[[#This Row],[Codigo]])=0,"",_xlfn.MAXIFS(tblBodega[Fecha],tblBodega[Codigo],tblMaestroEquipos[[#This Row],[Codigo]])),"")</f>
        <v/>
      </c>
      <c r="AB14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4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4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44" s="51" t="str">
        <f t="shared" si="17"/>
        <v>OPERATIVO</v>
      </c>
      <c r="AF144" s="18" t="str">
        <f t="shared" si="20"/>
        <v>BAJA</v>
      </c>
      <c r="AG144" s="18" t="str">
        <f t="shared" si="21"/>
        <v>Monitorear próximo vencimiento</v>
      </c>
      <c r="AH144">
        <f t="shared" si="22"/>
        <v>0</v>
      </c>
      <c r="AI144" t="str">
        <f t="shared" si="23"/>
        <v/>
      </c>
      <c r="AJ144" s="24">
        <f t="shared" si="24"/>
        <v>99</v>
      </c>
    </row>
    <row r="145" spans="1:36">
      <c r="A145" s="18" t="s">
        <v>356</v>
      </c>
      <c r="B145" s="18" t="s">
        <v>264</v>
      </c>
      <c r="C145" s="18" t="s">
        <v>1070</v>
      </c>
      <c r="D145" s="18" t="s">
        <v>302</v>
      </c>
      <c r="E145" s="19" t="s">
        <v>357</v>
      </c>
      <c r="F145" s="18">
        <v>2011</v>
      </c>
      <c r="G145" s="18" t="str" cm="1">
        <f t="array" ref="G145">IFERROR(INDEX(Lecturas!$E$4:$E$3549,MATCH(1,(Lecturas!$B$4:$B$3549=$A145)*(Lecturas!$E$4:$E$3549&lt;&gt;"")*(Lecturas!$A$4:$A$3549=_xlfn.MAXIFS(Lecturas!$A$4:$A$3549,Lecturas!$B$4:$B$3549,$A145,Lecturas!$E$4:$E$3549,"&lt;&gt;")),0)),"")</f>
        <v/>
      </c>
      <c r="H145" s="18" t="s">
        <v>358</v>
      </c>
      <c r="I145" s="18" t="s">
        <v>18</v>
      </c>
      <c r="J145" s="18">
        <v>250</v>
      </c>
      <c r="K145" s="18">
        <f>IFERROR(IF($I145="KM",ROUND((_xlfn.MAXIFS(tblLecturas[Kilometraje],tblLecturas[Codigo],$A145)-_xlfn.MINIFS(tblLecturas[Kilometraje],tblLecturas[Codigo],$A145))/(MAX(1,_xlfn.MAXIFS(tblLecturas[Fecha],tblLecturas[Codigo],$A145)-_xlfn.MINIFS(tblLecturas[Fecha],tblLecturas[Codigo],$A145))),1),ROUND((_xlfn.MAXIFS(tblLecturas[Horometro],tblLecturas[Codigo],$A145)-_xlfn.MINIFS(tblLecturas[Horometro],tblLecturas[Codigo],$A145))/(MAX(1,_xlfn.MAXIFS(tblLecturas[Fecha],tblLecturas[Codigo],$A145)-_xlfn.MINIFS(tblLecturas[Fecha],tblLecturas[Codigo],$A145))),1)),"")</f>
        <v>2.9</v>
      </c>
      <c r="L145" s="20">
        <f>IFERROR(_xlfn.MAXIFS(tblLecturas[Fecha],tblLecturas[Codigo],$A145),"")</f>
        <v>46107</v>
      </c>
      <c r="M145" s="26">
        <f>IFERROR(_xlfn.MAXIFS(Lecturas!$C:$C,Lecturas!$B:$B,$A145,Lecturas!$C:$C,"&gt;0"),"")</f>
        <v>15666</v>
      </c>
      <c r="N145" s="78">
        <f>IFERROR(_xlfn.MAXIFS(tblLecturas[Kilometraje],tblLecturas[Codigo],$A145,tblLecturas[Kilometraje],"&gt;0"),"")</f>
        <v>12478</v>
      </c>
      <c r="O145" s="78" cm="1">
        <f t="array" ref="O145">IFERROR(IF($I145="KM",LOOKUP(2,1/(Lecturas!$B:$B=$A145)/(Lecturas!$D:$D&gt;0),Lecturas!$D:$D),LOOKUP(2,1/(Lecturas!$B:$B=$A145)/(Lecturas!$C:$C&gt;0),Lecturas!$C:$C)),"")</f>
        <v>12478</v>
      </c>
      <c r="P145" s="20">
        <f>IFERROR(_xlfn.MAXIFS(tblMantenciones[Fecha],tblMantenciones[Codigo],tblMaestroEquipos[[#This Row],[Codigo]],tblMantenciones[EsPM],"Sí"),"")</f>
        <v>46057</v>
      </c>
      <c r="Q145" s="78">
        <f>IF(_xlfn.MAXIFS(Mantenciones!$D:$D,Mantenciones!$B:$B,A145)=0,"Sin datos de mantención registrado",_xlfn.MAXIFS(Mantenciones!$D:$D,Mantenciones!$B:$B,A145))</f>
        <v>15554</v>
      </c>
      <c r="R145" s="18">
        <f>IFERROR(IF(_xlfn.MAXIFS(Mantenciones!$D:$D,Mantenciones!$B:$B,$A145,Mantenciones!$E:$E,"Sí",Mantenciones!$D:$D,"&gt;0")=0,"Sin datos de mantención registrado",_xlfn.MAXIFS(Mantenciones!$D:$D,Mantenciones!$B:$B,$A145,Mantenciones!$E:$E,"Sí",Mantenciones!$D:$D,"&gt;0")),"Sin datos de mantención registrado")</f>
        <v>15554</v>
      </c>
      <c r="S145" s="21">
        <f>IFERROR(SUMIFS(tblMantenciones[Costo Mantencion CLP],tblMantenciones[Codigo],A145),0)</f>
        <v>0</v>
      </c>
      <c r="T145" s="21">
        <f>IFERROR(SUMIFS(tblComprasPM[Costo PM CLP],tblComprasPM[Codigo],tblMaestroEquipos[[#This Row],[Codigo]]),0)</f>
        <v>669327.4</v>
      </c>
      <c r="U145" s="21">
        <f>IFERROR(tblMaestroEquipos[[#This Row],[Costo Mantenciones CLP]]+tblMaestroEquipos[[#This Row],[Costo Compras PM CLP]],0)</f>
        <v>669327.4</v>
      </c>
      <c r="V145" s="18" t="str">
        <f>IFERROR(_xlfn.XLOOKUP(tblMaestroEquipos[[#This Row],[Codigo]],tblEquipos[Codigo],tblEquipos[Estado Base]),"")</f>
        <v>Operativo</v>
      </c>
      <c r="W145" s="18" t="str">
        <f t="shared" si="18"/>
        <v>AL DÍA</v>
      </c>
      <c r="X145" s="18">
        <f t="shared" si="19"/>
        <v>3326</v>
      </c>
      <c r="Y14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49433</v>
      </c>
      <c r="Z145" s="25">
        <f>IFERROR(IF(_xlfn.MINIFS(tblComprasPM[Fecha],tblComprasPM[Codigo],tblMaestroEquipos[[#This Row],[Codigo]])=0,"",_xlfn.MINIFS(tblComprasPM[Fecha],tblComprasPM[Codigo],tblMaestroEquipos[[#This Row],[Codigo]])),"")</f>
        <v>46083.486454513899</v>
      </c>
      <c r="AA145" s="25">
        <f>IFERROR(IF(_xlfn.MAXIFS(tblBodega[Fecha],tblBodega[Codigo],tblMaestroEquipos[[#This Row],[Codigo]])=0,"",_xlfn.MAXIFS(tblBodega[Fecha],tblBodega[Codigo],tblMaestroEquipos[[#This Row],[Codigo]])),"")</f>
        <v>46057</v>
      </c>
      <c r="AB145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4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4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45" s="51" t="str">
        <f t="shared" si="17"/>
        <v>OPERATIVO</v>
      </c>
      <c r="AF145" s="18" t="str">
        <f t="shared" si="20"/>
        <v>BAJA</v>
      </c>
      <c r="AG145" s="18" t="str">
        <f t="shared" si="21"/>
        <v>Monitorear próximo vencimiento</v>
      </c>
      <c r="AH145" s="27">
        <f t="shared" si="22"/>
        <v>0</v>
      </c>
      <c r="AI145" s="27" t="str">
        <f t="shared" si="23"/>
        <v/>
      </c>
      <c r="AJ145" s="24">
        <f t="shared" si="24"/>
        <v>99</v>
      </c>
    </row>
    <row r="146" spans="1:36">
      <c r="A146" s="18" t="s">
        <v>93</v>
      </c>
      <c r="B146" s="18" t="s">
        <v>20</v>
      </c>
      <c r="C146" s="18" t="s">
        <v>1069</v>
      </c>
      <c r="D146" s="18" t="s">
        <v>21</v>
      </c>
      <c r="E146" s="19" t="s">
        <v>87</v>
      </c>
      <c r="F146" s="18">
        <v>2024</v>
      </c>
      <c r="G146" s="18" t="str" cm="1">
        <f t="array" ref="G146">IFERROR(INDEX(Lecturas!$E$4:$E$3549,MATCH(1,(Lecturas!$B$4:$B$3549=$A146)*(Lecturas!$E$4:$E$3549&lt;&gt;"")*(Lecturas!$A$4:$A$3549=_xlfn.MAXIFS(Lecturas!$A$4:$A$3549,Lecturas!$B$4:$B$3549,$A146,Lecturas!$E$4:$E$3549,"&lt;&gt;")),0)),"")</f>
        <v>Ninhue</v>
      </c>
      <c r="H146" s="18" t="s">
        <v>95</v>
      </c>
      <c r="I146" s="18" t="s">
        <v>18</v>
      </c>
      <c r="J146" s="18">
        <v>250</v>
      </c>
      <c r="K146" s="18">
        <f>IFERROR(IF($I146="KM",ROUND((_xlfn.MAXIFS(tblLecturas[Kilometraje],tblLecturas[Codigo],$A146)-_xlfn.MINIFS(tblLecturas[Kilometraje],tblLecturas[Codigo],$A146))/(MAX(1,_xlfn.MAXIFS(tblLecturas[Fecha],tblLecturas[Codigo],$A146)-_xlfn.MINIFS(tblLecturas[Fecha],tblLecturas[Codigo],$A146))),1),ROUND((_xlfn.MAXIFS(tblLecturas[Horometro],tblLecturas[Codigo],$A146)-_xlfn.MINIFS(tblLecturas[Horometro],tblLecturas[Codigo],$A146))/(MAX(1,_xlfn.MAXIFS(tblLecturas[Fecha],tblLecturas[Codigo],$A146)-_xlfn.MINIFS(tblLecturas[Fecha],tblLecturas[Codigo],$A146))),1)),"")</f>
        <v>4.3</v>
      </c>
      <c r="L146" s="20">
        <f>IFERROR(_xlfn.MAXIFS(tblLecturas[Fecha],tblLecturas[Codigo],$A146),"")</f>
        <v>46101</v>
      </c>
      <c r="M146" s="26">
        <f>IFERROR(_xlfn.MAXIFS(Lecturas!$C:$C,Lecturas!$B:$B,$A146,Lecturas!$C:$C,"&gt;0"),"")</f>
        <v>3720</v>
      </c>
      <c r="N146" s="78">
        <f>IFERROR(_xlfn.MAXIFS(tblLecturas[Kilometraje],tblLecturas[Codigo],$A146,tblLecturas[Kilometraje],"&gt;0"),"")</f>
        <v>99818</v>
      </c>
      <c r="O146" s="78" cm="1">
        <f t="array" ref="O146">IFERROR(IF($I146="KM",LOOKUP(2,1/(Lecturas!$B:$B=$A146)/(Lecturas!$D:$D&gt;0),Lecturas!$D:$D),LOOKUP(2,1/(Lecturas!$B:$B=$A146)/(Lecturas!$C:$C&gt;0),Lecturas!$C:$C)),"")</f>
        <v>3720</v>
      </c>
      <c r="P146" s="20">
        <f>IFERROR(_xlfn.MAXIFS(tblMantenciones[Fecha],tblMantenciones[Codigo],tblMaestroEquipos[[#This Row],[Codigo]],tblMantenciones[EsPM],"Sí"),"")</f>
        <v>46093</v>
      </c>
      <c r="Q146" s="78">
        <f>IF(_xlfn.MAXIFS(Mantenciones!$D:$D,Mantenciones!$B:$B,A146)=0,"Sin datos de mantención registrado",_xlfn.MAXIFS(Mantenciones!$D:$D,Mantenciones!$B:$B,A146))</f>
        <v>3693</v>
      </c>
      <c r="R146" s="18">
        <f>IFERROR(IF(_xlfn.MAXIFS(Mantenciones!$D:$D,Mantenciones!$B:$B,$A146,Mantenciones!$E:$E,"Sí",Mantenciones!$D:$D,"&gt;0")=0,"Sin datos de mantención registrado",_xlfn.MAXIFS(Mantenciones!$D:$D,Mantenciones!$B:$B,$A146,Mantenciones!$E:$E,"Sí",Mantenciones!$D:$D,"&gt;0")),"Sin datos de mantención registrado")</f>
        <v>3693</v>
      </c>
      <c r="S146" s="21">
        <f>IFERROR(SUMIFS(tblMantenciones[Costo Mantencion CLP],tblMantenciones[Codigo],A146),0)</f>
        <v>0</v>
      </c>
      <c r="T146" s="21">
        <f>IFERROR(SUMIFS(tblComprasPM[Costo PM CLP],tblComprasPM[Codigo],tblMaestroEquipos[[#This Row],[Codigo]]),0)</f>
        <v>2179820.8158999998</v>
      </c>
      <c r="U146" s="21">
        <f>IFERROR(tblMaestroEquipos[[#This Row],[Costo Mantenciones CLP]]+tblMaestroEquipos[[#This Row],[Costo Compras PM CLP]],0)</f>
        <v>2179820.8158999998</v>
      </c>
      <c r="V146" s="18" t="str">
        <f>IFERROR(_xlfn.XLOOKUP(tblMaestroEquipos[[#This Row],[Codigo]],tblEquipos[Codigo],tblEquipos[Estado Base]),"")</f>
        <v>Operativo</v>
      </c>
      <c r="W146" s="18" t="str">
        <f t="shared" si="18"/>
        <v>AL DÍA</v>
      </c>
      <c r="X146" s="18">
        <f t="shared" si="19"/>
        <v>223</v>
      </c>
      <c r="Y146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46324</v>
      </c>
      <c r="Z146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146" s="25">
        <f>IFERROR(IF(_xlfn.MAXIFS(tblBodega[Fecha],tblBodega[Codigo],tblMaestroEquipos[[#This Row],[Codigo]])=0,"",_xlfn.MAXIFS(tblBodega[Fecha],tblBodega[Codigo],tblMaestroEquipos[[#This Row],[Codigo]])),"")</f>
        <v>46080</v>
      </c>
      <c r="AB14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24</v>
      </c>
      <c r="AC14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13</v>
      </c>
      <c r="AD14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46" s="51" t="str">
        <f t="shared" si="17"/>
        <v>OPERATIVO</v>
      </c>
      <c r="AF146" s="18" t="str">
        <f t="shared" si="20"/>
        <v>BAJA</v>
      </c>
      <c r="AG146" s="18" t="str">
        <f t="shared" si="21"/>
        <v>Monitorear próximo vencimiento</v>
      </c>
      <c r="AH146">
        <f t="shared" si="22"/>
        <v>0</v>
      </c>
      <c r="AI146" t="str">
        <f t="shared" si="23"/>
        <v/>
      </c>
      <c r="AJ146" s="24">
        <f t="shared" si="24"/>
        <v>99</v>
      </c>
    </row>
    <row r="147" spans="1:36">
      <c r="A147" s="18" t="s">
        <v>227</v>
      </c>
      <c r="B147" s="18" t="s">
        <v>199</v>
      </c>
      <c r="C147" s="18" t="s">
        <v>1070</v>
      </c>
      <c r="D147" s="18" t="s">
        <v>204</v>
      </c>
      <c r="E147" s="19" t="s">
        <v>228</v>
      </c>
      <c r="F147" s="18">
        <v>2007</v>
      </c>
      <c r="G147" s="18" t="str" cm="1">
        <f t="array" ref="G147">IFERROR(INDEX(Lecturas!$E$4:$E$3549,MATCH(1,(Lecturas!$B$4:$B$3549=$A147)*(Lecturas!$E$4:$E$3549&lt;&gt;"")*(Lecturas!$A$4:$A$3549=_xlfn.MAXIFS(Lecturas!$A$4:$A$3549,Lecturas!$B$4:$B$3549,$A147,Lecturas!$E$4:$E$3549,"&lt;&gt;")),0)),"")</f>
        <v>San Carlos</v>
      </c>
      <c r="H147" s="18"/>
      <c r="I147" s="18" t="s">
        <v>18</v>
      </c>
      <c r="J147" s="18">
        <v>250</v>
      </c>
      <c r="K147" s="18">
        <f>IFERROR(IF($I147="KM",ROUND((_xlfn.MAXIFS(tblLecturas[Kilometraje],tblLecturas[Codigo],$A147)-_xlfn.MINIFS(tblLecturas[Kilometraje],tblLecturas[Codigo],$A147))/(MAX(1,_xlfn.MAXIFS(tblLecturas[Fecha],tblLecturas[Codigo],$A147)-_xlfn.MINIFS(tblLecturas[Fecha],tblLecturas[Codigo],$A147))),1),ROUND((_xlfn.MAXIFS(tblLecturas[Horometro],tblLecturas[Codigo],$A147)-_xlfn.MINIFS(tblLecturas[Horometro],tblLecturas[Codigo],$A147))/(MAX(1,_xlfn.MAXIFS(tblLecturas[Fecha],tblLecturas[Codigo],$A147)-_xlfn.MINIFS(tblLecturas[Fecha],tblLecturas[Codigo],$A147))),1)),"")</f>
        <v>2.9</v>
      </c>
      <c r="L147" s="20">
        <f>IFERROR(_xlfn.MAXIFS(tblLecturas[Fecha],tblLecturas[Codigo],$A147),"")</f>
        <v>46079</v>
      </c>
      <c r="M147" s="26">
        <f>IFERROR(_xlfn.MAXIFS(Lecturas!$C:$C,Lecturas!$B:$B,$A147,Lecturas!$C:$C,"&gt;0"),"")</f>
        <v>785</v>
      </c>
      <c r="N147" s="78">
        <f>IFERROR(_xlfn.MAXIFS(tblLecturas[Kilometraje],tblLecturas[Codigo],$A147,tblLecturas[Kilometraje],"&gt;0"),"")</f>
        <v>0</v>
      </c>
      <c r="O147" s="78" cm="1">
        <f t="array" ref="O147">IFERROR(IF($I147="KM",LOOKUP(2,1/(Lecturas!$B:$B=$A147)/(Lecturas!$D:$D&gt;0),Lecturas!$D:$D),LOOKUP(2,1/(Lecturas!$B:$B=$A147)/(Lecturas!$C:$C&gt;0),Lecturas!$C:$C)),"")</f>
        <v>785</v>
      </c>
      <c r="P147" s="20">
        <f>IFERROR(_xlfn.MAXIFS(tblMantenciones[Fecha],tblMantenciones[Codigo],tblMaestroEquipos[[#This Row],[Codigo]],tblMantenciones[EsPM],"Sí"),"")</f>
        <v>46127</v>
      </c>
      <c r="Q147" s="78">
        <f>IF(_xlfn.MAXIFS(Mantenciones!$D:$D,Mantenciones!$B:$B,A147)=0,"Sin datos de mantención registrado",_xlfn.MAXIFS(Mantenciones!$D:$D,Mantenciones!$B:$B,A147))</f>
        <v>867</v>
      </c>
      <c r="R147" s="18">
        <f>IFERROR(IF(_xlfn.MAXIFS(Mantenciones!$D:$D,Mantenciones!$B:$B,$A147,Mantenciones!$E:$E,"Sí",Mantenciones!$D:$D,"&gt;0")=0,"Sin datos de mantención registrado",_xlfn.MAXIFS(Mantenciones!$D:$D,Mantenciones!$B:$B,$A147,Mantenciones!$E:$E,"Sí",Mantenciones!$D:$D,"&gt;0")),"Sin datos de mantención registrado")</f>
        <v>867</v>
      </c>
      <c r="S147" s="21">
        <f>IFERROR(SUMIFS(tblMantenciones[Costo Mantencion CLP],tblMantenciones[Codigo],A147),0)</f>
        <v>0</v>
      </c>
      <c r="T147" s="21">
        <f>IFERROR(SUMIFS(tblComprasPM[Costo PM CLP],tblComprasPM[Codigo],tblMaestroEquipos[[#This Row],[Codigo]]),0)</f>
        <v>39400.9</v>
      </c>
      <c r="U147" s="21">
        <f>IFERROR(tblMaestroEquipos[[#This Row],[Costo Mantenciones CLP]]+tblMaestroEquipos[[#This Row],[Costo Compras PM CLP]],0)</f>
        <v>39400.9</v>
      </c>
      <c r="V147" s="18">
        <f>IFERROR(_xlfn.XLOOKUP(tblMaestroEquipos[[#This Row],[Codigo]],tblEquipos[Codigo],tblEquipos[Estado Base]),"")</f>
        <v>0</v>
      </c>
      <c r="W147" s="18" t="str">
        <f t="shared" si="18"/>
        <v>AL DÍA</v>
      </c>
      <c r="X147" s="18">
        <f t="shared" si="19"/>
        <v>332</v>
      </c>
      <c r="Y147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46411</v>
      </c>
      <c r="Z147" s="25">
        <f>IFERROR(IF(_xlfn.MINIFS(tblComprasPM[Fecha],tblComprasPM[Codigo],tblMaestroEquipos[[#This Row],[Codigo]])=0,"",_xlfn.MINIFS(tblComprasPM[Fecha],tblComprasPM[Codigo],tblMaestroEquipos[[#This Row],[Codigo]])),"")</f>
        <v>46121.485532835701</v>
      </c>
      <c r="AA147" s="25">
        <f>IFERROR(IF(_xlfn.MAXIFS(tblBodega[Fecha],tblBodega[Codigo],tblMaestroEquipos[[#This Row],[Codigo]])=0,"",_xlfn.MAXIFS(tblBodega[Fecha],tblBodega[Codigo],tblMaestroEquipos[[#This Row],[Codigo]])),"")</f>
        <v>46093</v>
      </c>
      <c r="AB14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6</v>
      </c>
      <c r="AC147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34</v>
      </c>
      <c r="AD14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47" s="51" t="str">
        <f t="shared" si="17"/>
        <v>OPERATIVO</v>
      </c>
      <c r="AF147" s="18" t="str">
        <f t="shared" si="20"/>
        <v>BAJA</v>
      </c>
      <c r="AG147" s="18" t="str">
        <f t="shared" si="21"/>
        <v>Monitorear próximo vencimiento</v>
      </c>
      <c r="AH147">
        <f t="shared" si="22"/>
        <v>0</v>
      </c>
      <c r="AI147" t="str">
        <f t="shared" si="23"/>
        <v/>
      </c>
      <c r="AJ147" s="24">
        <f t="shared" si="24"/>
        <v>99</v>
      </c>
    </row>
    <row r="148" spans="1:36">
      <c r="A148" s="18" t="s">
        <v>559</v>
      </c>
      <c r="B148" s="18" t="s">
        <v>557</v>
      </c>
      <c r="C148" s="18" t="s">
        <v>1074</v>
      </c>
      <c r="D148" s="18" t="s">
        <v>55</v>
      </c>
      <c r="E148" s="19" t="s">
        <v>560</v>
      </c>
      <c r="F148" s="18">
        <v>2017</v>
      </c>
      <c r="G148" s="18" t="str" cm="1">
        <f t="array" ref="G148">IFERROR(INDEX(Lecturas!$E$4:$E$3549,MATCH(1,(Lecturas!$B$4:$B$3549=$A148)*(Lecturas!$E$4:$E$3549&lt;&gt;"")*(Lecturas!$A$4:$A$3549=_xlfn.MAXIFS(Lecturas!$A$4:$A$3549,Lecturas!$B$4:$B$3549,$A148,Lecturas!$E$4:$E$3549,"&lt;&gt;")),0)),"")</f>
        <v/>
      </c>
      <c r="H148" s="18" t="s">
        <v>561</v>
      </c>
      <c r="I148" s="18" t="s">
        <v>462</v>
      </c>
      <c r="J148" s="18">
        <v>15000</v>
      </c>
      <c r="K148" s="18">
        <f>IFERROR(IF($I148="KM",ROUND((_xlfn.MAXIFS(tblLecturas[Kilometraje],tblLecturas[Codigo],$A148)-_xlfn.MINIFS(tblLecturas[Kilometraje],tblLecturas[Codigo],$A148))/(MAX(1,_xlfn.MAXIFS(tblLecturas[Fecha],tblLecturas[Codigo],$A148)-_xlfn.MINIFS(tblLecturas[Fecha],tblLecturas[Codigo],$A148))),1),ROUND((_xlfn.MAXIFS(tblLecturas[Horometro],tblLecturas[Codigo],$A148)-_xlfn.MINIFS(tblLecturas[Horometro],tblLecturas[Codigo],$A148))/(MAX(1,_xlfn.MAXIFS(tblLecturas[Fecha],tblLecturas[Codigo],$A148)-_xlfn.MINIFS(tblLecturas[Fecha],tblLecturas[Codigo],$A148))),1)),"")</f>
        <v>478.4</v>
      </c>
      <c r="L148" s="20">
        <f>IFERROR(_xlfn.MAXIFS(tblLecturas[Fecha],tblLecturas[Codigo],$A148),"")</f>
        <v>46133</v>
      </c>
      <c r="M148" s="26">
        <f>IFERROR(_xlfn.MAXIFS(Lecturas!$C:$C,Lecturas!$B:$B,$A148,Lecturas!$C:$C,"&gt;0"),"")</f>
        <v>0</v>
      </c>
      <c r="N148" s="78">
        <f>IFERROR(_xlfn.MAXIFS(tblLecturas[Kilometraje],tblLecturas[Codigo],$A148,tblLecturas[Kilometraje],"&gt;0"),"")</f>
        <v>559749</v>
      </c>
      <c r="O148" s="78" cm="1">
        <f t="array" ref="O148">IFERROR(IF($I148="KM",LOOKUP(2,1/(Lecturas!$B:$B=$A148)/(Lecturas!$D:$D&gt;0),Lecturas!$D:$D),LOOKUP(2,1/(Lecturas!$B:$B=$A148)/(Lecturas!$C:$C&gt;0),Lecturas!$C:$C)),"")</f>
        <v>449524</v>
      </c>
      <c r="P148" s="20">
        <f>IFERROR(_xlfn.MAXIFS(tblMantenciones[Fecha],tblMantenciones[Codigo],tblMaestroEquipos[[#This Row],[Codigo]],tblMantenciones[EsPM],"Sí"),"")</f>
        <v>46106</v>
      </c>
      <c r="Q148" s="78">
        <f>IF(_xlfn.MAXIFS(Mantenciones!$D:$D,Mantenciones!$B:$B,A148)=0,"Sin datos de mantención registrado",_xlfn.MAXIFS(Mantenciones!$D:$D,Mantenciones!$B:$B,A148))</f>
        <v>561359</v>
      </c>
      <c r="R148" s="18">
        <f>IFERROR(IF(_xlfn.MAXIFS(Mantenciones!$D:$D,Mantenciones!$B:$B,$A148,Mantenciones!$E:$E,"Sí",Mantenciones!$D:$D,"&gt;0")=0,"Sin datos de mantención registrado",_xlfn.MAXIFS(Mantenciones!$D:$D,Mantenciones!$B:$B,$A148,Mantenciones!$E:$E,"Sí",Mantenciones!$D:$D,"&gt;0")),"Sin datos de mantención registrado")</f>
        <v>561359</v>
      </c>
      <c r="S148" s="21">
        <f>IFERROR(SUMIFS(tblMantenciones[Costo Mantencion CLP],tblMantenciones[Codigo],A148),0)</f>
        <v>0</v>
      </c>
      <c r="T148" s="21">
        <f>IFERROR(SUMIFS(tblComprasPM[Costo PM CLP],tblComprasPM[Codigo],tblMaestroEquipos[[#This Row],[Codigo]]),0)</f>
        <v>40499.972099999999</v>
      </c>
      <c r="U148" s="21">
        <f>IFERROR(tblMaestroEquipos[[#This Row],[Costo Mantenciones CLP]]+tblMaestroEquipos[[#This Row],[Costo Compras PM CLP]],0)</f>
        <v>40499.972099999999</v>
      </c>
      <c r="V148" s="18" t="str">
        <f>IFERROR(_xlfn.XLOOKUP(tblMaestroEquipos[[#This Row],[Codigo]],tblEquipos[Codigo],tblEquipos[Estado Base]),"")</f>
        <v>Operativo</v>
      </c>
      <c r="W148" s="18" t="str">
        <f t="shared" si="18"/>
        <v>AL DÍA</v>
      </c>
      <c r="X148" s="18">
        <f t="shared" si="19"/>
        <v>126835</v>
      </c>
      <c r="Y148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172968</v>
      </c>
      <c r="Z148" s="25">
        <f>IFERROR(IF(_xlfn.MINIFS(tblComprasPM[Fecha],tblComprasPM[Codigo],tblMaestroEquipos[[#This Row],[Codigo]])=0,"",_xlfn.MINIFS(tblComprasPM[Fecha],tblComprasPM[Codigo],tblMaestroEquipos[[#This Row],[Codigo]])),"")</f>
        <v>46086.626455555597</v>
      </c>
      <c r="AA148" s="25">
        <f>IFERROR(IF(_xlfn.MAXIFS(tblBodega[Fecha],tblBodega[Codigo],tblMaestroEquipos[[#This Row],[Codigo]])=0,"",_xlfn.MAXIFS(tblBodega[Fecha],tblBodega[Codigo],tblMaestroEquipos[[#This Row],[Codigo]])),"")</f>
        <v>46086</v>
      </c>
      <c r="AB14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20</v>
      </c>
      <c r="AC148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20</v>
      </c>
      <c r="AD14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48" s="51" t="str">
        <f t="shared" si="17"/>
        <v>OPERATIVO</v>
      </c>
      <c r="AF148" s="18" t="str">
        <f t="shared" si="20"/>
        <v>BAJA</v>
      </c>
      <c r="AG148" s="18" t="str">
        <f t="shared" si="21"/>
        <v>Monitorear próximo vencimiento</v>
      </c>
      <c r="AH148">
        <f t="shared" si="22"/>
        <v>0</v>
      </c>
      <c r="AI148" t="str">
        <f t="shared" si="23"/>
        <v/>
      </c>
      <c r="AJ148" s="24">
        <f t="shared" si="24"/>
        <v>99</v>
      </c>
    </row>
    <row r="149" spans="1:36">
      <c r="A149" s="18" t="s">
        <v>551</v>
      </c>
      <c r="B149" s="18" t="s">
        <v>459</v>
      </c>
      <c r="C149" s="18" t="s">
        <v>1074</v>
      </c>
      <c r="D149" s="18" t="s">
        <v>99</v>
      </c>
      <c r="E149" s="19" t="s">
        <v>460</v>
      </c>
      <c r="F149" s="18">
        <v>2026</v>
      </c>
      <c r="G149" s="18" t="str" cm="1">
        <f t="array" ref="G149">IFERROR(INDEX(Lecturas!$E$4:$E$3549,MATCH(1,(Lecturas!$B$4:$B$3549=$A149)*(Lecturas!$E$4:$E$3549&lt;&gt;"")*(Lecturas!$A$4:$A$3549=_xlfn.MAXIFS(Lecturas!$A$4:$A$3549,Lecturas!$B$4:$B$3549,$A149,Lecturas!$E$4:$E$3549,"&lt;&gt;")),0)),"")</f>
        <v/>
      </c>
      <c r="H149" s="18"/>
      <c r="I149" s="18" t="s">
        <v>462</v>
      </c>
      <c r="J149" s="18">
        <v>15000</v>
      </c>
      <c r="K149" s="18">
        <f>IFERROR(IF($I149="KM",ROUND((_xlfn.MAXIFS(tblLecturas[Kilometraje],tblLecturas[Codigo],$A149)-_xlfn.MINIFS(tblLecturas[Kilometraje],tblLecturas[Codigo],$A149))/(MAX(1,_xlfn.MAXIFS(tblLecturas[Fecha],tblLecturas[Codigo],$A149)-_xlfn.MINIFS(tblLecturas[Fecha],tblLecturas[Codigo],$A149))),1),ROUND((_xlfn.MAXIFS(tblLecturas[Horometro],tblLecturas[Codigo],$A149)-_xlfn.MINIFS(tblLecturas[Horometro],tblLecturas[Codigo],$A149))/(MAX(1,_xlfn.MAXIFS(tblLecturas[Fecha],tblLecturas[Codigo],$A149)-_xlfn.MINIFS(tblLecturas[Fecha],tblLecturas[Codigo],$A149))),1)),"")</f>
        <v>141.1</v>
      </c>
      <c r="L149" s="20">
        <f>IFERROR(_xlfn.MAXIFS(tblLecturas[Fecha],tblLecturas[Codigo],$A149),"")</f>
        <v>46133</v>
      </c>
      <c r="M149" s="26">
        <f>IFERROR(_xlfn.MAXIFS(Lecturas!$C:$C,Lecturas!$B:$B,$A149,Lecturas!$C:$C,"&gt;0"),"")</f>
        <v>0</v>
      </c>
      <c r="N149" s="78">
        <f>IFERROR(_xlfn.MAXIFS(tblLecturas[Kilometraje],tblLecturas[Codigo],$A149,tblLecturas[Kilometraje],"&gt;0"),"")</f>
        <v>24785</v>
      </c>
      <c r="O149" s="78" cm="1">
        <f t="array" ref="O149">IFERROR(IF($I149="KM",LOOKUP(2,1/(Lecturas!$B:$B=$A149)/(Lecturas!$D:$D&gt;0),Lecturas!$D:$D),LOOKUP(2,1/(Lecturas!$B:$B=$A149)/(Lecturas!$C:$C&gt;0),Lecturas!$C:$C)),"")</f>
        <v>24785</v>
      </c>
      <c r="P149" s="20">
        <f>IFERROR(_xlfn.MAXIFS(tblMantenciones[Fecha],tblMantenciones[Codigo],tblMaestroEquipos[[#This Row],[Codigo]],tblMantenciones[EsPM],"Sí"),"")</f>
        <v>46031</v>
      </c>
      <c r="Q149" s="78">
        <f>IF(_xlfn.MAXIFS(Mantenciones!$D:$D,Mantenciones!$B:$B,A149)=0,"Sin datos de mantención registrado",_xlfn.MAXIFS(Mantenciones!$D:$D,Mantenciones!$B:$B,A149))</f>
        <v>11406</v>
      </c>
      <c r="R149" s="18">
        <f>IFERROR(IF(_xlfn.MAXIFS(Mantenciones!$D:$D,Mantenciones!$B:$B,$A149,Mantenciones!$E:$E,"Sí",Mantenciones!$D:$D,"&gt;0")=0,"Sin datos de mantención registrado",_xlfn.MAXIFS(Mantenciones!$D:$D,Mantenciones!$B:$B,$A149,Mantenciones!$E:$E,"Sí",Mantenciones!$D:$D,"&gt;0")),"Sin datos de mantención registrado")</f>
        <v>11406</v>
      </c>
      <c r="S149" s="21">
        <f>IFERROR(SUMIFS(tblMantenciones[Costo Mantencion CLP],tblMantenciones[Codigo],A149),0)</f>
        <v>254792</v>
      </c>
      <c r="T149" s="21">
        <f>IFERROR(SUMIFS(tblComprasPM[Costo PM CLP],tblComprasPM[Codigo],tblMaestroEquipos[[#This Row],[Codigo]]),0)</f>
        <v>0</v>
      </c>
      <c r="U149" s="21">
        <f>IFERROR(tblMaestroEquipos[[#This Row],[Costo Mantenciones CLP]]+tblMaestroEquipos[[#This Row],[Costo Compras PM CLP]],0)</f>
        <v>254792</v>
      </c>
      <c r="V149" s="18" t="str">
        <f>IFERROR(_xlfn.XLOOKUP(tblMaestroEquipos[[#This Row],[Codigo]],tblEquipos[Codigo],tblEquipos[Estado Base]),"")</f>
        <v>Operativo</v>
      </c>
      <c r="W149" s="18" t="str">
        <f t="shared" si="18"/>
        <v>EN PROCESO</v>
      </c>
      <c r="X149" s="18">
        <f t="shared" si="19"/>
        <v>1621</v>
      </c>
      <c r="Y149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47754</v>
      </c>
      <c r="Z149" s="25">
        <f>IFERROR(IF(_xlfn.MINIFS(tblComprasPM[Fecha],tblComprasPM[Codigo],tblMaestroEquipos[[#This Row],[Codigo]])=0,"",_xlfn.MINIFS(tblComprasPM[Fecha],tblComprasPM[Codigo],tblMaestroEquipos[[#This Row],[Codigo]])),"")</f>
        <v>46111</v>
      </c>
      <c r="AA149" s="25" t="str">
        <f>IFERROR(IF(_xlfn.MAXIFS(tblBodega[Fecha],tblBodega[Codigo],tblMaestroEquipos[[#This Row],[Codigo]])=0,"",_xlfn.MAXIFS(tblBodega[Fecha],tblBodega[Codigo],tblMaestroEquipos[[#This Row],[Codigo]])),"")</f>
        <v/>
      </c>
      <c r="AB14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4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4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49" s="51" t="str">
        <f t="shared" si="17"/>
        <v>EN PROCESO</v>
      </c>
      <c r="AF149" s="18" t="str">
        <f t="shared" si="20"/>
        <v>SEGUIMIENTO</v>
      </c>
      <c r="AG149" s="18" t="str">
        <f t="shared" si="21"/>
        <v>Hacer seguimiento al taller y cerrar report</v>
      </c>
      <c r="AH149">
        <f t="shared" si="22"/>
        <v>0</v>
      </c>
      <c r="AI149" t="str">
        <f t="shared" si="23"/>
        <v/>
      </c>
      <c r="AJ149" s="24">
        <f t="shared" si="24"/>
        <v>2</v>
      </c>
    </row>
    <row r="150" spans="1:36">
      <c r="A150" s="18" t="s">
        <v>634</v>
      </c>
      <c r="B150" s="18" t="s">
        <v>459</v>
      </c>
      <c r="C150" s="18" t="s">
        <v>1074</v>
      </c>
      <c r="D150" s="18" t="s">
        <v>99</v>
      </c>
      <c r="E150" s="19" t="s">
        <v>566</v>
      </c>
      <c r="F150" s="18">
        <v>2023</v>
      </c>
      <c r="G150" s="18" t="str" cm="1">
        <f t="array" ref="G150">IFERROR(INDEX(Lecturas!$E$4:$E$3549,MATCH(1,(Lecturas!$B$4:$B$3549=$A150)*(Lecturas!$E$4:$E$3549&lt;&gt;"")*(Lecturas!$A$4:$A$3549=_xlfn.MAXIFS(Lecturas!$A$4:$A$3549,Lecturas!$B$4:$B$3549,$A150,Lecturas!$E$4:$E$3549,"&lt;&gt;")),0)),"")</f>
        <v>Villaseca</v>
      </c>
      <c r="H150" s="18" t="s">
        <v>57</v>
      </c>
      <c r="I150" s="18" t="s">
        <v>462</v>
      </c>
      <c r="J150" s="18">
        <v>15000</v>
      </c>
      <c r="K150" s="18">
        <f>IFERROR(IF($I150="KM",ROUND((_xlfn.MAXIFS(tblLecturas[Kilometraje],tblLecturas[Codigo],$A150)-_xlfn.MINIFS(tblLecturas[Kilometraje],tblLecturas[Codigo],$A150))/(MAX(1,_xlfn.MAXIFS(tblLecturas[Fecha],tblLecturas[Codigo],$A150)-_xlfn.MINIFS(tblLecturas[Fecha],tblLecturas[Codigo],$A150))),1),ROUND((_xlfn.MAXIFS(tblLecturas[Horometro],tblLecturas[Codigo],$A150)-_xlfn.MINIFS(tblLecturas[Horometro],tblLecturas[Codigo],$A150))/(MAX(1,_xlfn.MAXIFS(tblLecturas[Fecha],tblLecturas[Codigo],$A150)-_xlfn.MINIFS(tblLecturas[Fecha],tblLecturas[Codigo],$A150))),1)),"")</f>
        <v>291.10000000000002</v>
      </c>
      <c r="L150" s="20">
        <f>IFERROR(_xlfn.MAXIFS(tblLecturas[Fecha],tblLecturas[Codigo],$A150),"")</f>
        <v>46108</v>
      </c>
      <c r="M150" s="26">
        <f>IFERROR(_xlfn.MAXIFS(Lecturas!$C:$C,Lecturas!$B:$B,$A150,Lecturas!$C:$C,"&gt;0"),"")</f>
        <v>0</v>
      </c>
      <c r="N150" s="78">
        <f>IFERROR(_xlfn.MAXIFS(tblLecturas[Kilometraje],tblLecturas[Codigo],$A150,tblLecturas[Kilometraje],"&gt;0"),"")</f>
        <v>112051</v>
      </c>
      <c r="O150" s="78" cm="1">
        <f t="array" ref="O150">IFERROR(IF($I150="KM",LOOKUP(2,1/(Lecturas!$B:$B=$A150)/(Lecturas!$D:$D&gt;0),Lecturas!$D:$D),LOOKUP(2,1/(Lecturas!$B:$B=$A150)/(Lecturas!$C:$C&gt;0),Lecturas!$C:$C)),"")</f>
        <v>78279</v>
      </c>
      <c r="P150" s="20">
        <f>IFERROR(_xlfn.MAXIFS(tblMantenciones[Fecha],tblMantenciones[Codigo],tblMaestroEquipos[[#This Row],[Codigo]],tblMantenciones[EsPM],"Sí"),"")</f>
        <v>46099</v>
      </c>
      <c r="Q150" s="78">
        <f>IF(_xlfn.MAXIFS(Mantenciones!$D:$D,Mantenciones!$B:$B,A150)=0,"Sin datos de mantención registrado",_xlfn.MAXIFS(Mantenciones!$D:$D,Mantenciones!$B:$B,A150))</f>
        <v>110602</v>
      </c>
      <c r="R150" s="18">
        <f>IFERROR(IF(_xlfn.MAXIFS(Mantenciones!$D:$D,Mantenciones!$B:$B,$A150,Mantenciones!$E:$E,"Sí",Mantenciones!$D:$D,"&gt;0")=0,"Sin datos de mantención registrado",_xlfn.MAXIFS(Mantenciones!$D:$D,Mantenciones!$B:$B,$A150,Mantenciones!$E:$E,"Sí",Mantenciones!$D:$D,"&gt;0")),"Sin datos de mantención registrado")</f>
        <v>110602</v>
      </c>
      <c r="S150" s="21">
        <f>IFERROR(SUMIFS(tblMantenciones[Costo Mantencion CLP],tblMantenciones[Codigo],tblMaestroEquipos[[#This Row],[Codigo]]),0)</f>
        <v>276888</v>
      </c>
      <c r="T150" s="21">
        <f>IFERROR(SUMIFS(tblComprasPM[Costo PM CLP],tblComprasPM[Codigo],tblMaestroEquipos[[#This Row],[Codigo]]),0)</f>
        <v>416589.5</v>
      </c>
      <c r="U150" s="21">
        <f>IFERROR(tblMaestroEquipos[[#This Row],[Costo Mantenciones CLP]]+tblMaestroEquipos[[#This Row],[Costo Compras PM CLP]],0)</f>
        <v>693477.5</v>
      </c>
      <c r="V150" s="18" t="str">
        <f>IFERROR(_xlfn.XLOOKUP(tblMaestroEquipos[[#This Row],[Codigo]],tblEquipos[Codigo],tblEquipos[Estado Base]),"")</f>
        <v>Operativo</v>
      </c>
      <c r="W150" s="18" t="str">
        <f t="shared" si="18"/>
        <v>AL DÍA</v>
      </c>
      <c r="X150" s="18">
        <f t="shared" si="19"/>
        <v>47323</v>
      </c>
      <c r="Y150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93431</v>
      </c>
      <c r="Z150" s="25">
        <f>IFERROR(IF(_xlfn.MINIFS(tblComprasPM[Fecha],tblComprasPM[Codigo],tblMaestroEquipos[[#This Row],[Codigo]])=0,"",_xlfn.MINIFS(tblComprasPM[Fecha],tblComprasPM[Codigo],tblMaestroEquipos[[#This Row],[Codigo]])),"")</f>
        <v>46100</v>
      </c>
      <c r="AA150" s="25">
        <f>IFERROR(IF(_xlfn.MAXIFS(tblBodega[Fecha],tblBodega[Codigo],tblMaestroEquipos[[#This Row],[Codigo]])=0,"",_xlfn.MAXIFS(tblBodega[Fecha],tblBodega[Codigo],tblMaestroEquipos[[#This Row],[Codigo]])),"")</f>
        <v>46093</v>
      </c>
      <c r="AB150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50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</v>
      </c>
      <c r="AD15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50" s="51" t="str">
        <f t="shared" si="17"/>
        <v>OPERATIVO</v>
      </c>
      <c r="AF150" s="18" t="str">
        <f t="shared" si="20"/>
        <v>BAJA</v>
      </c>
      <c r="AG150" s="18" t="str">
        <f t="shared" si="21"/>
        <v>Monitorear próximo vencimiento</v>
      </c>
      <c r="AH150">
        <f t="shared" si="22"/>
        <v>0</v>
      </c>
      <c r="AI150" t="str">
        <f t="shared" si="23"/>
        <v/>
      </c>
      <c r="AJ150" s="24">
        <f t="shared" si="24"/>
        <v>99</v>
      </c>
    </row>
    <row r="151" spans="1:36">
      <c r="A151" s="18" t="s">
        <v>417</v>
      </c>
      <c r="B151" s="18" t="s">
        <v>259</v>
      </c>
      <c r="C151" s="18" t="s">
        <v>1070</v>
      </c>
      <c r="D151" s="18" t="s">
        <v>307</v>
      </c>
      <c r="E151" s="19" t="s">
        <v>418</v>
      </c>
      <c r="F151" s="18">
        <v>2020</v>
      </c>
      <c r="G151" s="18" t="str" cm="1">
        <f t="array" ref="G151">IFERROR(INDEX(Lecturas!$E$4:$E$3549,MATCH(1,(Lecturas!$B$4:$B$3549=$A151)*(Lecturas!$E$4:$E$3549&lt;&gt;"")*(Lecturas!$A$4:$A$3549=_xlfn.MAXIFS(Lecturas!$A$4:$A$3549,Lecturas!$B$4:$B$3549,$A151,Lecturas!$E$4:$E$3549,"&lt;&gt;")),0)),"")</f>
        <v>San Nicolas</v>
      </c>
      <c r="H151" s="18" t="s">
        <v>419</v>
      </c>
      <c r="I151" s="18" t="s">
        <v>18</v>
      </c>
      <c r="J151" s="18">
        <v>250</v>
      </c>
      <c r="K151" s="18">
        <f>IFERROR(IF($I151="KM",ROUND((_xlfn.MAXIFS(tblLecturas[Kilometraje],tblLecturas[Codigo],$A151)-_xlfn.MINIFS(tblLecturas[Kilometraje],tblLecturas[Codigo],$A151))/(MAX(1,_xlfn.MAXIFS(tblLecturas[Fecha],tblLecturas[Codigo],$A151)-_xlfn.MINIFS(tblLecturas[Fecha],tblLecturas[Codigo],$A151))),1),ROUND((_xlfn.MAXIFS(tblLecturas[Horometro],tblLecturas[Codigo],$A151)-_xlfn.MINIFS(tblLecturas[Horometro],tblLecturas[Codigo],$A151))/(MAX(1,_xlfn.MAXIFS(tblLecturas[Fecha],tblLecturas[Codigo],$A151)-_xlfn.MINIFS(tblLecturas[Fecha],tblLecturas[Codigo],$A151))),1)),"")</f>
        <v>4.5999999999999996</v>
      </c>
      <c r="L151" s="20">
        <f>IFERROR(_xlfn.MAXIFS(tblLecturas[Fecha],tblLecturas[Codigo],$A151),"")</f>
        <v>46135</v>
      </c>
      <c r="M151" s="26">
        <f>IFERROR(_xlfn.MAXIFS(Lecturas!$C:$C,Lecturas!$B:$B,$A151,Lecturas!$C:$C,"&gt;0"),"")</f>
        <v>8457</v>
      </c>
      <c r="N151" s="78">
        <f>IFERROR(_xlfn.MAXIFS(tblLecturas[Kilometraje],tblLecturas[Codigo],$A151,tblLecturas[Kilometraje],"&gt;0"),"")</f>
        <v>0</v>
      </c>
      <c r="O151" s="78" cm="1">
        <f t="array" ref="O151">IFERROR(IF($I151="KM",LOOKUP(2,1/(Lecturas!$B:$B=$A151)/(Lecturas!$D:$D&gt;0),Lecturas!$D:$D),LOOKUP(2,1/(Lecturas!$B:$B=$A151)/(Lecturas!$C:$C&gt;0),Lecturas!$C:$C)),"")</f>
        <v>8457</v>
      </c>
      <c r="P151" s="20">
        <f>IFERROR(_xlfn.MAXIFS(tblMantenciones[Fecha],tblMantenciones[Codigo],tblMaestroEquipos[[#This Row],[Codigo]],tblMantenciones[EsPM],"Sí"),"")</f>
        <v>46107</v>
      </c>
      <c r="Q151" s="78">
        <f>IF(_xlfn.MAXIFS(Mantenciones!$D:$D,Mantenciones!$B:$B,A151)=0,"Sin datos de mantención registrado",_xlfn.MAXIFS(Mantenciones!$D:$D,Mantenciones!$B:$B,A151))</f>
        <v>8346</v>
      </c>
      <c r="R151" s="18">
        <f>IFERROR(IF(_xlfn.MAXIFS(Mantenciones!$D:$D,Mantenciones!$B:$B,$A151,Mantenciones!$E:$E,"Sí",Mantenciones!$D:$D,"&gt;0")=0,"Sin datos de mantención registrado",_xlfn.MAXIFS(Mantenciones!$D:$D,Mantenciones!$B:$B,$A151,Mantenciones!$E:$E,"Sí",Mantenciones!$D:$D,"&gt;0")),"Sin datos de mantención registrado")</f>
        <v>8346</v>
      </c>
      <c r="S151" s="21">
        <f>IFERROR(SUMIFS(tblMantenciones[Costo Mantencion CLP],tblMantenciones[Codigo],A151),0)</f>
        <v>0</v>
      </c>
      <c r="T151" s="21">
        <f>IFERROR(SUMIFS(tblComprasPM[Costo PM CLP],tblComprasPM[Codigo],tblMaestroEquipos[[#This Row],[Codigo]]),0)</f>
        <v>462928.84</v>
      </c>
      <c r="U151" s="21">
        <f>IFERROR(tblMaestroEquipos[[#This Row],[Costo Mantenciones CLP]]+tblMaestroEquipos[[#This Row],[Costo Compras PM CLP]],0)</f>
        <v>462928.84</v>
      </c>
      <c r="V151" s="18" t="str">
        <f>IFERROR(_xlfn.XLOOKUP(tblMaestroEquipos[[#This Row],[Codigo]],tblEquipos[Codigo],tblEquipos[Estado Base]),"")</f>
        <v>Operativo</v>
      </c>
      <c r="W151" s="18" t="str">
        <f t="shared" si="18"/>
        <v>AL DÍA</v>
      </c>
      <c r="X151" s="18">
        <f t="shared" si="19"/>
        <v>139</v>
      </c>
      <c r="Y151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46274</v>
      </c>
      <c r="Z151" s="25">
        <f>IFERROR(IF(_xlfn.MINIFS(tblComprasPM[Fecha],tblComprasPM[Codigo],tblMaestroEquipos[[#This Row],[Codigo]])=0,"",_xlfn.MINIFS(tblComprasPM[Fecha],tblComprasPM[Codigo],tblMaestroEquipos[[#This Row],[Codigo]])),"")</f>
        <v>46099</v>
      </c>
      <c r="AA151" s="25">
        <f>IFERROR(IF(_xlfn.MAXIFS(tblBodega[Fecha],tblBodega[Codigo],tblMaestroEquipos[[#This Row],[Codigo]])=0,"",_xlfn.MAXIFS(tblBodega[Fecha],tblBodega[Codigo],tblMaestroEquipos[[#This Row],[Codigo]])),"")</f>
        <v>46104</v>
      </c>
      <c r="AB15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8</v>
      </c>
      <c r="AC151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3</v>
      </c>
      <c r="AD15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51" s="51" t="str">
        <f t="shared" si="17"/>
        <v>OPERATIVO</v>
      </c>
      <c r="AF151" s="18" t="str">
        <f t="shared" si="20"/>
        <v>BAJA</v>
      </c>
      <c r="AG151" s="18" t="str">
        <f t="shared" si="21"/>
        <v>Monitorear próximo vencimiento</v>
      </c>
      <c r="AH151">
        <f t="shared" si="22"/>
        <v>0</v>
      </c>
      <c r="AI151" t="str">
        <f t="shared" si="23"/>
        <v/>
      </c>
      <c r="AJ151" s="24">
        <f t="shared" si="24"/>
        <v>99</v>
      </c>
    </row>
    <row r="152" spans="1:36">
      <c r="A152" s="18" t="s">
        <v>254</v>
      </c>
      <c r="B152" s="18" t="s">
        <v>230</v>
      </c>
      <c r="C152" s="18" t="s">
        <v>1070</v>
      </c>
      <c r="D152" s="18" t="s">
        <v>231</v>
      </c>
      <c r="E152" s="19" t="s">
        <v>239</v>
      </c>
      <c r="F152" s="18">
        <v>2010</v>
      </c>
      <c r="G152" s="18" t="str" cm="1">
        <f t="array" ref="G152">IFERROR(INDEX(Lecturas!$E$4:$E$3549,MATCH(1,(Lecturas!$B$4:$B$3549=$A152)*(Lecturas!$E$4:$E$3549&lt;&gt;"")*(Lecturas!$A$4:$A$3549=_xlfn.MAXIFS(Lecturas!$A$4:$A$3549,Lecturas!$B$4:$B$3549,$A152,Lecturas!$E$4:$E$3549,"&lt;&gt;")),0)),"")</f>
        <v/>
      </c>
      <c r="H152" s="18" t="s">
        <v>255</v>
      </c>
      <c r="I152" s="18" t="s">
        <v>18</v>
      </c>
      <c r="J152" s="18">
        <v>250</v>
      </c>
      <c r="K152" s="18">
        <f>IFERROR(IF($I152="KM",ROUND((_xlfn.MAXIFS(tblLecturas[Kilometraje],tblLecturas[Codigo],$A152)-_xlfn.MINIFS(tblLecturas[Kilometraje],tblLecturas[Codigo],$A152))/(MAX(1,_xlfn.MAXIFS(tblLecturas[Fecha],tblLecturas[Codigo],$A152)-_xlfn.MINIFS(tblLecturas[Fecha],tblLecturas[Codigo],$A152))),1),ROUND((_xlfn.MAXIFS(tblLecturas[Horometro],tblLecturas[Codigo],$A152)-_xlfn.MINIFS(tblLecturas[Horometro],tblLecturas[Codigo],$A152))/(MAX(1,_xlfn.MAXIFS(tblLecturas[Fecha],tblLecturas[Codigo],$A152)-_xlfn.MINIFS(tblLecturas[Fecha],tblLecturas[Codigo],$A152))),1)),"")</f>
        <v>0.5</v>
      </c>
      <c r="L152" s="20">
        <f>IFERROR(_xlfn.MAXIFS(tblLecturas[Fecha],tblLecturas[Codigo],$A152),"")</f>
        <v>46135</v>
      </c>
      <c r="M152" s="26">
        <f>IFERROR(_xlfn.MAXIFS(Lecturas!$C:$C,Lecturas!$B:$B,$A152,Lecturas!$C:$C,"&gt;0"),"")</f>
        <v>16454</v>
      </c>
      <c r="N152" s="78">
        <f>IFERROR(_xlfn.MAXIFS(tblLecturas[Kilometraje],tblLecturas[Codigo],$A152,tblLecturas[Kilometraje],"&gt;0"),"")</f>
        <v>0</v>
      </c>
      <c r="O152" s="78" cm="1">
        <f t="array" ref="O152">IFERROR(IF($I152="KM",LOOKUP(2,1/(Lecturas!$B:$B=$A152)/(Lecturas!$D:$D&gt;0),Lecturas!$D:$D),LOOKUP(2,1/(Lecturas!$B:$B=$A152)/(Lecturas!$C:$C&gt;0),Lecturas!$C:$C)),"")</f>
        <v>15846</v>
      </c>
      <c r="P152" s="20">
        <f>IFERROR(_xlfn.MAXIFS(tblMantenciones[Fecha],tblMantenciones[Codigo],tblMaestroEquipos[[#This Row],[Codigo]],tblMantenciones[EsPM],"Sí"),"")</f>
        <v>46097</v>
      </c>
      <c r="Q152" s="78">
        <f>IF(_xlfn.MAXIFS(Mantenciones!$D:$D,Mantenciones!$B:$B,A152)=0,"Sin datos de mantención registrado",_xlfn.MAXIFS(Mantenciones!$D:$D,Mantenciones!$B:$B,A152))</f>
        <v>15727</v>
      </c>
      <c r="R152" s="18">
        <f>IFERROR(IF(_xlfn.MAXIFS(Mantenciones!$D:$D,Mantenciones!$B:$B,$A152,Mantenciones!$E:$E,"Sí",Mantenciones!$D:$D,"&gt;0")=0,"Sin datos de mantención registrado",_xlfn.MAXIFS(Mantenciones!$D:$D,Mantenciones!$B:$B,$A152,Mantenciones!$E:$E,"Sí",Mantenciones!$D:$D,"&gt;0")),"Sin datos de mantención registrado")</f>
        <v>15727</v>
      </c>
      <c r="S152" s="21">
        <f>IFERROR(SUMIFS(tblMantenciones[Costo Mantencion CLP],tblMantenciones[Codigo],A152),0)</f>
        <v>866929</v>
      </c>
      <c r="T152" s="21">
        <f>IFERROR(SUMIFS(tblComprasPM[Costo PM CLP],tblComprasPM[Codigo],tblMaestroEquipos[[#This Row],[Codigo]]),0)</f>
        <v>0</v>
      </c>
      <c r="U152" s="21">
        <f>IFERROR(tblMaestroEquipos[[#This Row],[Costo Mantenciones CLP]]+tblMaestroEquipos[[#This Row],[Costo Compras PM CLP]],0)</f>
        <v>866929</v>
      </c>
      <c r="V152" s="18" t="str">
        <f>IFERROR(_xlfn.XLOOKUP(tblMaestroEquipos[[#This Row],[Codigo]],tblEquipos[Codigo],tblEquipos[Estado Base]),"")</f>
        <v>Operativo</v>
      </c>
      <c r="W152" s="18" t="str">
        <f t="shared" si="18"/>
        <v>AL DÍA</v>
      </c>
      <c r="X152" s="18">
        <f t="shared" si="19"/>
        <v>131</v>
      </c>
      <c r="Y152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46266</v>
      </c>
      <c r="Z15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52" s="25" t="str">
        <f>IFERROR(IF(_xlfn.MAXIFS(tblBodega[Fecha],tblBodega[Codigo],tblMaestroEquipos[[#This Row],[Codigo]])=0,"",_xlfn.MAXIFS(tblBodega[Fecha],tblBodega[Codigo],tblMaestroEquipos[[#This Row],[Codigo]])),"")</f>
        <v/>
      </c>
      <c r="AB15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5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5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52" s="51" t="str">
        <f t="shared" si="17"/>
        <v>OPERATIVO</v>
      </c>
      <c r="AF152" s="18" t="str">
        <f t="shared" si="20"/>
        <v>BAJA</v>
      </c>
      <c r="AG152" s="18" t="str">
        <f t="shared" si="21"/>
        <v>Monitorear próximo vencimiento</v>
      </c>
      <c r="AH152">
        <f t="shared" si="22"/>
        <v>0</v>
      </c>
      <c r="AI152" t="str">
        <f t="shared" si="23"/>
        <v/>
      </c>
      <c r="AJ152" s="24">
        <f t="shared" si="24"/>
        <v>99</v>
      </c>
    </row>
    <row r="153" spans="1:36">
      <c r="A153" s="18" t="s">
        <v>89</v>
      </c>
      <c r="B153" s="18" t="s">
        <v>20</v>
      </c>
      <c r="C153" s="18" t="s">
        <v>1069</v>
      </c>
      <c r="D153" s="18" t="s">
        <v>21</v>
      </c>
      <c r="E153" s="19" t="s">
        <v>87</v>
      </c>
      <c r="F153" s="18">
        <v>2024</v>
      </c>
      <c r="G153" s="18" t="str" cm="1">
        <f t="array" ref="G153">IFERROR(INDEX(Lecturas!$E$4:$E$3549,MATCH(1,(Lecturas!$B$4:$B$3549=$A153)*(Lecturas!$E$4:$E$3549&lt;&gt;"")*(Lecturas!$A$4:$A$3549=_xlfn.MAXIFS(Lecturas!$A$4:$A$3549,Lecturas!$B$4:$B$3549,$A153,Lecturas!$E$4:$E$3549,"&lt;&gt;")),0)),"")</f>
        <v>Cobquecura</v>
      </c>
      <c r="H153" s="18" t="s">
        <v>90</v>
      </c>
      <c r="I153" s="18" t="s">
        <v>18</v>
      </c>
      <c r="J153" s="18">
        <v>250</v>
      </c>
      <c r="K153" s="18">
        <f>IFERROR(IF($I153="KM",ROUND((_xlfn.MAXIFS(tblLecturas[Kilometraje],tblLecturas[Codigo],$A153)-_xlfn.MINIFS(tblLecturas[Kilometraje],tblLecturas[Codigo],$A153))/(MAX(1,_xlfn.MAXIFS(tblLecturas[Fecha],tblLecturas[Codigo],$A153)-_xlfn.MINIFS(tblLecturas[Fecha],tblLecturas[Codigo],$A153))),1),ROUND((_xlfn.MAXIFS(tblLecturas[Horometro],tblLecturas[Codigo],$A153)-_xlfn.MINIFS(tblLecturas[Horometro],tblLecturas[Codigo],$A153))/(MAX(1,_xlfn.MAXIFS(tblLecturas[Fecha],tblLecturas[Codigo],$A153)-_xlfn.MINIFS(tblLecturas[Fecha],tblLecturas[Codigo],$A153))),1)),"")</f>
        <v>4.0999999999999996</v>
      </c>
      <c r="L153" s="20">
        <f>IFERROR(_xlfn.MAXIFS(tblLecturas[Fecha],tblLecturas[Codigo],$A153),"")</f>
        <v>46111</v>
      </c>
      <c r="M153" s="26">
        <f>IFERROR(_xlfn.MAXIFS(Lecturas!$C:$C,Lecturas!$B:$B,$A153,Lecturas!$C:$C,"&gt;0"),"")</f>
        <v>3552</v>
      </c>
      <c r="N153" s="78">
        <f>IFERROR(_xlfn.MAXIFS(tblLecturas[Kilometraje],tblLecturas[Codigo],$A153,tblLecturas[Kilometraje],"&gt;0"),"")</f>
        <v>89291</v>
      </c>
      <c r="O153" s="78" cm="1">
        <f t="array" ref="O153">IFERROR(IF($I153="KM",LOOKUP(2,1/(Lecturas!$B:$B=$A153)/(Lecturas!$D:$D&gt;0),Lecturas!$D:$D),LOOKUP(2,1/(Lecturas!$B:$B=$A153)/(Lecturas!$C:$C&gt;0),Lecturas!$C:$C)),"")</f>
        <v>3552</v>
      </c>
      <c r="P153" s="20">
        <f>IFERROR(_xlfn.MAXIFS(tblMantenciones[Fecha],tblMantenciones[Codigo],tblMaestroEquipos[[#This Row],[Codigo]],tblMantenciones[EsPM],"Sí"),"")</f>
        <v>46085</v>
      </c>
      <c r="Q153" s="78">
        <f>IF(_xlfn.MAXIFS(Mantenciones!$D:$D,Mantenciones!$B:$B,A153)=0,"Sin datos de mantención registrado",_xlfn.MAXIFS(Mantenciones!$D:$D,Mantenciones!$B:$B,A153))</f>
        <v>3468</v>
      </c>
      <c r="R153" s="18">
        <f>IFERROR(IF(_xlfn.MAXIFS(Mantenciones!$D:$D,Mantenciones!$B:$B,$A153,Mantenciones!$E:$E,"Sí",Mantenciones!$D:$D,"&gt;0")=0,"Sin datos de mantención registrado",_xlfn.MAXIFS(Mantenciones!$D:$D,Mantenciones!$B:$B,$A153,Mantenciones!$E:$E,"Sí",Mantenciones!$D:$D,"&gt;0")),"Sin datos de mantención registrado")</f>
        <v>3468</v>
      </c>
      <c r="S153" s="21">
        <f>IFERROR(SUMIFS(tblMantenciones[Costo Mantencion CLP],tblMantenciones[Codigo],A153),0)</f>
        <v>0</v>
      </c>
      <c r="T153" s="21">
        <f>IFERROR(SUMIFS(tblComprasPM[Costo PM CLP],tblComprasPM[Codigo],tblMaestroEquipos[[#This Row],[Codigo]]),0)</f>
        <v>63430.805899999999</v>
      </c>
      <c r="U153" s="21">
        <f>IFERROR(tblMaestroEquipos[[#This Row],[Costo Mantenciones CLP]]+tblMaestroEquipos[[#This Row],[Costo Compras PM CLP]],0)</f>
        <v>63430.805899999999</v>
      </c>
      <c r="V153" s="18" t="str">
        <f>IFERROR(_xlfn.XLOOKUP(tblMaestroEquipos[[#This Row],[Codigo]],tblEquipos[Codigo],tblEquipos[Estado Base]),"")</f>
        <v>Operativo</v>
      </c>
      <c r="W153" s="18" t="str">
        <f t="shared" si="18"/>
        <v>AL DÍA</v>
      </c>
      <c r="X153" s="18">
        <f t="shared" si="19"/>
        <v>166</v>
      </c>
      <c r="Y15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46277</v>
      </c>
      <c r="Z153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153" s="25">
        <f>IFERROR(IF(_xlfn.MAXIFS(tblBodega[Fecha],tblBodega[Codigo],tblMaestroEquipos[[#This Row],[Codigo]])=0,"",_xlfn.MAXIFS(tblBodega[Fecha],tblBodega[Codigo],tblMaestroEquipos[[#This Row],[Codigo]])),"")</f>
        <v>46080</v>
      </c>
      <c r="AB15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16</v>
      </c>
      <c r="AC153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5</v>
      </c>
      <c r="AD15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53" s="51" t="str">
        <f t="shared" si="17"/>
        <v>OPERATIVO</v>
      </c>
      <c r="AF153" s="18" t="str">
        <f t="shared" si="20"/>
        <v>BAJA</v>
      </c>
      <c r="AG153" s="18" t="str">
        <f t="shared" si="21"/>
        <v>Monitorear próximo vencimiento</v>
      </c>
      <c r="AH153">
        <f t="shared" si="22"/>
        <v>0</v>
      </c>
      <c r="AI153" t="str">
        <f t="shared" si="23"/>
        <v/>
      </c>
      <c r="AJ153" s="24">
        <f t="shared" si="24"/>
        <v>99</v>
      </c>
    </row>
    <row r="154" spans="1:36" s="27" customFormat="1">
      <c r="A154" s="18" t="s">
        <v>91</v>
      </c>
      <c r="B154" s="18" t="s">
        <v>20</v>
      </c>
      <c r="C154" s="18" t="s">
        <v>1069</v>
      </c>
      <c r="D154" s="18" t="s">
        <v>21</v>
      </c>
      <c r="E154" s="19" t="s">
        <v>87</v>
      </c>
      <c r="F154" s="18">
        <v>2024</v>
      </c>
      <c r="G154" s="18" t="str" cm="1">
        <f t="array" ref="G154">IFERROR(INDEX(Lecturas!$E$4:$E$3549,MATCH(1,(Lecturas!$B$4:$B$3549=$A154)*(Lecturas!$E$4:$E$3549&lt;&gt;"")*(Lecturas!$A$4:$A$3549=_xlfn.MAXIFS(Lecturas!$A$4:$A$3549,Lecturas!$B$4:$B$3549,$A154,Lecturas!$E$4:$E$3549,"&lt;&gt;")),0)),"")</f>
        <v>San Carlos</v>
      </c>
      <c r="H154" s="18" t="s">
        <v>92</v>
      </c>
      <c r="I154" s="18" t="s">
        <v>18</v>
      </c>
      <c r="J154" s="18">
        <v>250</v>
      </c>
      <c r="K154" s="18">
        <f>IFERROR(IF($I154="KM",ROUND((_xlfn.MAXIFS(tblLecturas[Kilometraje],tblLecturas[Codigo],$A154)-_xlfn.MINIFS(tblLecturas[Kilometraje],tblLecturas[Codigo],$A154))/(MAX(1,_xlfn.MAXIFS(tblLecturas[Fecha],tblLecturas[Codigo],$A154)-_xlfn.MINIFS(tblLecturas[Fecha],tblLecturas[Codigo],$A154))),1),ROUND((_xlfn.MAXIFS(tblLecturas[Horometro],tblLecturas[Codigo],$A154)-_xlfn.MINIFS(tblLecturas[Horometro],tblLecturas[Codigo],$A154))/(MAX(1,_xlfn.MAXIFS(tblLecturas[Fecha],tblLecturas[Codigo],$A154)-_xlfn.MINIFS(tblLecturas[Fecha],tblLecturas[Codigo],$A154))),1)),"")</f>
        <v>4.8</v>
      </c>
      <c r="L154" s="20">
        <f>IFERROR(_xlfn.MAXIFS(tblLecturas[Fecha],tblLecturas[Codigo],$A154),"")</f>
        <v>46106</v>
      </c>
      <c r="M154" s="26">
        <f>IFERROR(_xlfn.MAXIFS(Lecturas!$C:$C,Lecturas!$B:$B,$A154,Lecturas!$C:$C,"&gt;0"),"")</f>
        <v>3774</v>
      </c>
      <c r="N154" s="78">
        <f>IFERROR(_xlfn.MAXIFS(tblLecturas[Kilometraje],tblLecturas[Codigo],$A154,tblLecturas[Kilometraje],"&gt;0"),"")</f>
        <v>97492</v>
      </c>
      <c r="O154" s="78" cm="1">
        <f t="array" ref="O154">IFERROR(IF($I154="KM",LOOKUP(2,1/(Lecturas!$B:$B=$A154)/(Lecturas!$D:$D&gt;0),Lecturas!$D:$D),LOOKUP(2,1/(Lecturas!$B:$B=$A154)/(Lecturas!$C:$C&gt;0),Lecturas!$C:$C)),"")</f>
        <v>3774</v>
      </c>
      <c r="P154" s="20">
        <f>IFERROR(_xlfn.MAXIFS(tblMantenciones[Fecha],tblMantenciones[Codigo],tblMaestroEquipos[[#This Row],[Codigo]],tblMantenciones[EsPM],"Sí"),"")</f>
        <v>46093</v>
      </c>
      <c r="Q154" s="78">
        <f>IF(_xlfn.MAXIFS(Mantenciones!$D:$D,Mantenciones!$B:$B,A154)=0,"Sin datos de mantención registrado",_xlfn.MAXIFS(Mantenciones!$D:$D,Mantenciones!$B:$B,A154))</f>
        <v>85284</v>
      </c>
      <c r="R154" s="18">
        <f>IFERROR(IF(_xlfn.MAXIFS(Mantenciones!$D:$D,Mantenciones!$B:$B,$A154,Mantenciones!$E:$E,"Sí",Mantenciones!$D:$D,"&gt;0")=0,"Sin datos de mantención registrado",_xlfn.MAXIFS(Mantenciones!$D:$D,Mantenciones!$B:$B,$A154,Mantenciones!$E:$E,"Sí",Mantenciones!$D:$D,"&gt;0")),"Sin datos de mantención registrado")</f>
        <v>3694</v>
      </c>
      <c r="S154" s="21">
        <f>IFERROR(SUMIFS(tblMantenciones[Costo Mantencion CLP],tblMantenciones[Codigo],A154),0)</f>
        <v>231191</v>
      </c>
      <c r="T154" s="21">
        <f>IFERROR(SUMIFS(tblComprasPM[Costo PM CLP],tblComprasPM[Codigo],tblMaestroEquipos[[#This Row],[Codigo]]),0)</f>
        <v>90430.71590000001</v>
      </c>
      <c r="U154" s="21">
        <f>IFERROR(tblMaestroEquipos[[#This Row],[Costo Mantenciones CLP]]+tblMaestroEquipos[[#This Row],[Costo Compras PM CLP]],0)</f>
        <v>321621.71590000001</v>
      </c>
      <c r="V154" s="18" t="str">
        <f>IFERROR(_xlfn.XLOOKUP(tblMaestroEquipos[[#This Row],[Codigo]],tblEquipos[Codigo],tblEquipos[Estado Base]),"")</f>
        <v>Operativo</v>
      </c>
      <c r="W154" s="18" t="str">
        <f t="shared" si="18"/>
        <v>AL DÍA</v>
      </c>
      <c r="X154" s="18">
        <f t="shared" si="19"/>
        <v>170</v>
      </c>
      <c r="Y154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46276</v>
      </c>
      <c r="Z154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154" s="25">
        <f>IFERROR(IF(_xlfn.MAXIFS(tblBodega[Fecha],tblBodega[Codigo],tblMaestroEquipos[[#This Row],[Codigo]])=0,"",_xlfn.MAXIFS(tblBodega[Fecha],tblBodega[Codigo],tblMaestroEquipos[[#This Row],[Codigo]])),"")</f>
        <v>46093</v>
      </c>
      <c r="AB154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24</v>
      </c>
      <c r="AC15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5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54" s="51" t="str">
        <f t="shared" si="17"/>
        <v>OPERATIVO</v>
      </c>
      <c r="AF154" s="18" t="str">
        <f t="shared" si="20"/>
        <v>BAJA</v>
      </c>
      <c r="AG154" s="18" t="str">
        <f t="shared" si="21"/>
        <v>Monitorear próximo vencimiento</v>
      </c>
      <c r="AH154">
        <f t="shared" si="22"/>
        <v>0</v>
      </c>
      <c r="AI154" t="str">
        <f t="shared" si="23"/>
        <v/>
      </c>
      <c r="AJ154" s="24">
        <f t="shared" si="24"/>
        <v>99</v>
      </c>
    </row>
    <row r="155" spans="1:36">
      <c r="A155" s="18" t="s">
        <v>514</v>
      </c>
      <c r="B155" s="18" t="s">
        <v>502</v>
      </c>
      <c r="C155" s="18" t="s">
        <v>1074</v>
      </c>
      <c r="D155" s="18" t="s">
        <v>503</v>
      </c>
      <c r="E155" s="19" t="s">
        <v>504</v>
      </c>
      <c r="F155" s="18">
        <v>2025</v>
      </c>
      <c r="G155" s="18" t="str" cm="1">
        <f t="array" ref="G155">IFERROR(INDEX(Lecturas!$E$4:$E$3549,MATCH(1,(Lecturas!$B$4:$B$3549=$A155)*(Lecturas!$E$4:$E$3549&lt;&gt;"")*(Lecturas!$A$4:$A$3549=_xlfn.MAXIFS(Lecturas!$A$4:$A$3549,Lecturas!$B$4:$B$3549,$A155,Lecturas!$E$4:$E$3549,"&lt;&gt;")),0)),"")</f>
        <v>Quirihue</v>
      </c>
      <c r="H155" s="18" t="s">
        <v>36</v>
      </c>
      <c r="I155" s="18" t="s">
        <v>462</v>
      </c>
      <c r="J155" s="18">
        <v>10000</v>
      </c>
      <c r="K155" s="18">
        <f>IFERROR(IF($I155="KM",ROUND((_xlfn.MAXIFS(tblLecturas[Kilometraje],tblLecturas[Codigo],$A155)-_xlfn.MINIFS(tblLecturas[Kilometraje],tblLecturas[Codigo],$A155))/(MAX(1,_xlfn.MAXIFS(tblLecturas[Fecha],tblLecturas[Codigo],$A155)-_xlfn.MINIFS(tblLecturas[Fecha],tblLecturas[Codigo],$A155))),1),ROUND((_xlfn.MAXIFS(tblLecturas[Horometro],tblLecturas[Codigo],$A155)-_xlfn.MINIFS(tblLecturas[Horometro],tblLecturas[Codigo],$A155))/(MAX(1,_xlfn.MAXIFS(tblLecturas[Fecha],tblLecturas[Codigo],$A155)-_xlfn.MINIFS(tblLecturas[Fecha],tblLecturas[Codigo],$A155))),1)),"")</f>
        <v>145.19999999999999</v>
      </c>
      <c r="L155" s="20">
        <f>IFERROR(_xlfn.MAXIFS(tblLecturas[Fecha],tblLecturas[Codigo],$A155),"")</f>
        <v>46136</v>
      </c>
      <c r="M155" s="26">
        <f>IFERROR(_xlfn.MAXIFS(Lecturas!$C:$C,Lecturas!$B:$B,$A155,Lecturas!$C:$C,"&gt;0"),"")</f>
        <v>0</v>
      </c>
      <c r="N155" s="78">
        <f>IFERROR(_xlfn.MAXIFS(tblLecturas[Kilometraje],tblLecturas[Codigo],$A155,tblLecturas[Kilometraje],"&gt;0"),"")</f>
        <v>70545</v>
      </c>
      <c r="O155" s="78" cm="1">
        <f t="array" ref="O155">IFERROR(IF($I155="KM",LOOKUP(2,1/(Lecturas!$B:$B=$A155)/(Lecturas!$D:$D&gt;0),Lecturas!$D:$D),LOOKUP(2,1/(Lecturas!$B:$B=$A155)/(Lecturas!$C:$C&gt;0),Lecturas!$C:$C)),"")</f>
        <v>70545</v>
      </c>
      <c r="P155" s="20">
        <f>IFERROR(_xlfn.MAXIFS(tblMantenciones[Fecha],tblMantenciones[Codigo],tblMaestroEquipos[[#This Row],[Codigo]],tblMantenciones[EsPM],"Sí"),"")</f>
        <v>46132</v>
      </c>
      <c r="Q155" s="78">
        <f>IF(_xlfn.MAXIFS(Mantenciones!$D:$D,Mantenciones!$B:$B,A155)=0,"Sin datos de mantención registrado",_xlfn.MAXIFS(Mantenciones!$D:$D,Mantenciones!$B:$B,A155))</f>
        <v>69677</v>
      </c>
      <c r="R155" s="18">
        <f>IFERROR(IF(_xlfn.MAXIFS(Mantenciones!$D:$D,Mantenciones!$B:$B,$A155,Mantenciones!$E:$E,"Sí",Mantenciones!$D:$D,"&gt;0")=0,"Sin datos de mantención registrado",_xlfn.MAXIFS(Mantenciones!$D:$D,Mantenciones!$B:$B,$A155,Mantenciones!$E:$E,"Sí",Mantenciones!$D:$D,"&gt;0")),"Sin datos de mantención registrado")</f>
        <v>69677</v>
      </c>
      <c r="S155" s="21">
        <f>IFERROR(SUMIFS(tblMantenciones[Costo Mantencion CLP],tblMantenciones[Codigo],A155),0)</f>
        <v>0</v>
      </c>
      <c r="T155" s="21">
        <f>IFERROR(SUMIFS(tblComprasPM[Costo PM CLP],tblComprasPM[Codigo],tblMaestroEquipos[[#This Row],[Codigo]]),0)</f>
        <v>24399.973999999998</v>
      </c>
      <c r="U155" s="21">
        <f>IFERROR(tblMaestroEquipos[[#This Row],[Costo Mantenciones CLP]]+tblMaestroEquipos[[#This Row],[Costo Compras PM CLP]],0)</f>
        <v>24399.973999999998</v>
      </c>
      <c r="V155" s="18" t="str">
        <f>IFERROR(_xlfn.XLOOKUP(tblMaestroEquipos[[#This Row],[Codigo]],tblEquipos[Codigo],tblEquipos[Estado Base]),"")</f>
        <v>Operativo</v>
      </c>
      <c r="W155" s="18" t="str">
        <f t="shared" si="18"/>
        <v>AL DÍA</v>
      </c>
      <c r="X155" s="18">
        <f t="shared" si="19"/>
        <v>9132</v>
      </c>
      <c r="Y15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55268</v>
      </c>
      <c r="Z155" s="25">
        <f>IFERROR(IF(_xlfn.MINIFS(tblComprasPM[Fecha],tblComprasPM[Codigo],tblMaestroEquipos[[#This Row],[Codigo]])=0,"",_xlfn.MINIFS(tblComprasPM[Fecha],tblComprasPM[Codigo],tblMaestroEquipos[[#This Row],[Codigo]])),"")</f>
        <v>46118</v>
      </c>
      <c r="AA155" s="25">
        <f>IFERROR(IF(_xlfn.MAXIFS(tblBodega[Fecha],tblBodega[Codigo],tblMaestroEquipos[[#This Row],[Codigo]])=0,"",_xlfn.MAXIFS(tblBodega[Fecha],tblBodega[Codigo],tblMaestroEquipos[[#This Row],[Codigo]])),"")</f>
        <v>46072</v>
      </c>
      <c r="AB155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14</v>
      </c>
      <c r="AC15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60</v>
      </c>
      <c r="AD15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55" s="51" t="str">
        <f t="shared" si="17"/>
        <v>OPERATIVO</v>
      </c>
      <c r="AF155" s="18" t="str">
        <f t="shared" si="20"/>
        <v>BAJA</v>
      </c>
      <c r="AG155" s="18" t="str">
        <f t="shared" si="21"/>
        <v>Monitorear próximo vencimiento</v>
      </c>
      <c r="AH155">
        <f t="shared" si="22"/>
        <v>0</v>
      </c>
      <c r="AI155" t="str">
        <f t="shared" si="23"/>
        <v/>
      </c>
      <c r="AJ155" s="24">
        <f t="shared" si="24"/>
        <v>99</v>
      </c>
    </row>
    <row r="156" spans="1:36">
      <c r="A156" s="18" t="s">
        <v>501</v>
      </c>
      <c r="B156" s="18" t="s">
        <v>502</v>
      </c>
      <c r="C156" s="18" t="s">
        <v>1074</v>
      </c>
      <c r="D156" s="18" t="s">
        <v>503</v>
      </c>
      <c r="E156" s="19" t="s">
        <v>504</v>
      </c>
      <c r="F156" s="18">
        <v>2025</v>
      </c>
      <c r="G156" s="18" t="str" cm="1">
        <f t="array" ref="G156">IFERROR(INDEX(Lecturas!$E$4:$E$3549,MATCH(1,(Lecturas!$B$4:$B$3549=$A156)*(Lecturas!$E$4:$E$3549&lt;&gt;"")*(Lecturas!$A$4:$A$3549=_xlfn.MAXIFS(Lecturas!$A$4:$A$3549,Lecturas!$B$4:$B$3549,$A156,Lecturas!$E$4:$E$3549,"&lt;&gt;")),0)),"")</f>
        <v>Taller</v>
      </c>
      <c r="H156" s="18" t="s">
        <v>36</v>
      </c>
      <c r="I156" s="18" t="s">
        <v>462</v>
      </c>
      <c r="J156" s="18">
        <v>10000</v>
      </c>
      <c r="K156" s="18">
        <f>IFERROR(IF($I156="KM",ROUND((_xlfn.MAXIFS(tblLecturas[Kilometraje],tblLecturas[Codigo],$A156)-_xlfn.MINIFS(tblLecturas[Kilometraje],tblLecturas[Codigo],$A156))/(MAX(1,_xlfn.MAXIFS(tblLecturas[Fecha],tblLecturas[Codigo],$A156)-_xlfn.MINIFS(tblLecturas[Fecha],tblLecturas[Codigo],$A156))),1),ROUND((_xlfn.MAXIFS(tblLecturas[Horometro],tblLecturas[Codigo],$A156)-_xlfn.MINIFS(tblLecturas[Horometro],tblLecturas[Codigo],$A156))/(MAX(1,_xlfn.MAXIFS(tblLecturas[Fecha],tblLecturas[Codigo],$A156)-_xlfn.MINIFS(tblLecturas[Fecha],tblLecturas[Codigo],$A156))),1)),"")</f>
        <v>391.4</v>
      </c>
      <c r="L156" s="20">
        <f>IFERROR(_xlfn.MAXIFS(tblLecturas[Fecha],tblLecturas[Codigo],$A156),"")</f>
        <v>46133</v>
      </c>
      <c r="M156" s="26">
        <f>IFERROR(_xlfn.MAXIFS(Lecturas!$C:$C,Lecturas!$B:$B,$A156,Lecturas!$C:$C,"&gt;0"),"")</f>
        <v>0</v>
      </c>
      <c r="N156" s="78">
        <f>IFERROR(_xlfn.MAXIFS(tblLecturas[Kilometraje],tblLecturas[Codigo],$A156,tblLecturas[Kilometraje],"&gt;0"),"")</f>
        <v>105494</v>
      </c>
      <c r="O156" s="78" cm="1">
        <f t="array" ref="O156">IFERROR(IF($I156="KM",LOOKUP(2,1/(Lecturas!$B:$B=$A156)/(Lecturas!$D:$D&gt;0),Lecturas!$D:$D),LOOKUP(2,1/(Lecturas!$B:$B=$A156)/(Lecturas!$C:$C&gt;0),Lecturas!$C:$C)),"")</f>
        <v>105494</v>
      </c>
      <c r="P156" s="20">
        <f>IFERROR(_xlfn.MAXIFS(tblMantenciones[Fecha],tblMantenciones[Codigo],tblMaestroEquipos[[#This Row],[Codigo]],tblMantenciones[EsPM],"Sí"),"")</f>
        <v>46121</v>
      </c>
      <c r="Q156" s="78">
        <f>IF(_xlfn.MAXIFS(Mantenciones!$D:$D,Mantenciones!$B:$B,A156)=0,"Sin datos de mantención registrado",_xlfn.MAXIFS(Mantenciones!$D:$D,Mantenciones!$B:$B,A156))</f>
        <v>104090</v>
      </c>
      <c r="R156" s="18">
        <f>IFERROR(IF(_xlfn.MAXIFS(Mantenciones!$D:$D,Mantenciones!$B:$B,$A156,Mantenciones!$E:$E,"Sí",Mantenciones!$D:$D,"&gt;0")=0,"Sin datos de mantención registrado",_xlfn.MAXIFS(Mantenciones!$D:$D,Mantenciones!$B:$B,$A156,Mantenciones!$E:$E,"Sí",Mantenciones!$D:$D,"&gt;0")),"Sin datos de mantención registrado")</f>
        <v>104090</v>
      </c>
      <c r="S156" s="21">
        <f>IFERROR(SUMIFS(tblMantenciones[Costo Mantencion CLP],tblMantenciones[Codigo],A156),0)</f>
        <v>0</v>
      </c>
      <c r="T156" s="21">
        <f>IFERROR(SUMIFS(tblComprasPM[Costo PM CLP],tblComprasPM[Codigo],tblMaestroEquipos[[#This Row],[Codigo]]),0)</f>
        <v>24399.973999999998</v>
      </c>
      <c r="U156" s="21">
        <f>IFERROR(tblMaestroEquipos[[#This Row],[Costo Mantenciones CLP]]+tblMaestroEquipos[[#This Row],[Costo Compras PM CLP]],0)</f>
        <v>24399.973999999998</v>
      </c>
      <c r="V156" s="18" t="str">
        <f>IFERROR(_xlfn.XLOOKUP(tblMaestroEquipos[[#This Row],[Codigo]],tblEquipos[Codigo],tblEquipos[Estado Base]),"")</f>
        <v>Operativo</v>
      </c>
      <c r="W156" s="18" t="str">
        <f t="shared" si="18"/>
        <v>AL DÍA</v>
      </c>
      <c r="X156" s="18">
        <f t="shared" si="19"/>
        <v>8596</v>
      </c>
      <c r="Y156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54729</v>
      </c>
      <c r="Z156" s="25">
        <f>IFERROR(IF(_xlfn.MINIFS(tblComprasPM[Fecha],tblComprasPM[Codigo],tblMaestroEquipos[[#This Row],[Codigo]])=0,"",_xlfn.MINIFS(tblComprasPM[Fecha],tblComprasPM[Codigo],tblMaestroEquipos[[#This Row],[Codigo]])),"")</f>
        <v>46118.408281215299</v>
      </c>
      <c r="AA156" s="25">
        <f>IFERROR(IF(_xlfn.MAXIFS(tblBodega[Fecha],tblBodega[Codigo],tblMaestroEquipos[[#This Row],[Codigo]])=0,"",_xlfn.MAXIFS(tblBodega[Fecha],tblBodega[Codigo],tblMaestroEquipos[[#This Row],[Codigo]])),"")</f>
        <v>46119</v>
      </c>
      <c r="AB15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3</v>
      </c>
      <c r="AC15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2</v>
      </c>
      <c r="AD15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56" s="51" t="str">
        <f t="shared" si="17"/>
        <v>OPERATIVO</v>
      </c>
      <c r="AF156" s="18" t="str">
        <f t="shared" si="20"/>
        <v>BAJA</v>
      </c>
      <c r="AG156" s="18" t="str">
        <f t="shared" si="21"/>
        <v>Monitorear próximo vencimiento</v>
      </c>
      <c r="AH156">
        <f t="shared" si="22"/>
        <v>0</v>
      </c>
      <c r="AI156" t="str">
        <f t="shared" si="23"/>
        <v/>
      </c>
      <c r="AJ156" s="24">
        <f t="shared" si="24"/>
        <v>99</v>
      </c>
    </row>
    <row r="157" spans="1:36">
      <c r="A157" s="18" t="s">
        <v>537</v>
      </c>
      <c r="B157" s="18" t="s">
        <v>459</v>
      </c>
      <c r="C157" s="18" t="s">
        <v>1074</v>
      </c>
      <c r="D157" s="18" t="s">
        <v>99</v>
      </c>
      <c r="E157" s="19" t="s">
        <v>524</v>
      </c>
      <c r="F157" s="18">
        <v>2025</v>
      </c>
      <c r="G157" s="18" t="str" cm="1">
        <f t="array" ref="G157">IFERROR(INDEX(Lecturas!$E$4:$E$3549,MATCH(1,(Lecturas!$B$4:$B$3549=$A157)*(Lecturas!$E$4:$E$3549&lt;&gt;"")*(Lecturas!$A$4:$A$3549=_xlfn.MAXIFS(Lecturas!$A$4:$A$3549,Lecturas!$B$4:$B$3549,$A157,Lecturas!$E$4:$E$3549,"&lt;&gt;")),0)),"")</f>
        <v/>
      </c>
      <c r="H157" s="18" t="s">
        <v>538</v>
      </c>
      <c r="I157" s="18" t="s">
        <v>462</v>
      </c>
      <c r="J157" s="18">
        <v>15000</v>
      </c>
      <c r="K157" s="18">
        <f>IFERROR(IF($I157="KM",ROUND((_xlfn.MAXIFS(tblLecturas[Kilometraje],tblLecturas[Codigo],$A157)-_xlfn.MINIFS(tblLecturas[Kilometraje],tblLecturas[Codigo],$A157))/(MAX(1,_xlfn.MAXIFS(tblLecturas[Fecha],tblLecturas[Codigo],$A157)-_xlfn.MINIFS(tblLecturas[Fecha],tblLecturas[Codigo],$A157))),1),ROUND((_xlfn.MAXIFS(tblLecturas[Horometro],tblLecturas[Codigo],$A157)-_xlfn.MINIFS(tblLecturas[Horometro],tblLecturas[Codigo],$A157))/(MAX(1,_xlfn.MAXIFS(tblLecturas[Fecha],tblLecturas[Codigo],$A157)-_xlfn.MINIFS(tblLecturas[Fecha],tblLecturas[Codigo],$A157))),1)),"")</f>
        <v>154.5</v>
      </c>
      <c r="L157" s="20">
        <f>IFERROR(_xlfn.MAXIFS(tblLecturas[Fecha],tblLecturas[Codigo],$A157),"")</f>
        <v>46133</v>
      </c>
      <c r="M157" s="26">
        <f>IFERROR(_xlfn.MAXIFS(Lecturas!$C:$C,Lecturas!$B:$B,$A157,Lecturas!$C:$C,"&gt;0"),"")</f>
        <v>0</v>
      </c>
      <c r="N157" s="78">
        <f>IFERROR(_xlfn.MAXIFS(tblLecturas[Kilometraje],tblLecturas[Codigo],$A157,tblLecturas[Kilometraje],"&gt;0"),"")</f>
        <v>99814</v>
      </c>
      <c r="O157" s="78" cm="1">
        <f t="array" ref="O157">IFERROR(IF($I157="KM",LOOKUP(2,1/(Lecturas!$B:$B=$A157)/(Lecturas!$D:$D&gt;0),Lecturas!$D:$D),LOOKUP(2,1/(Lecturas!$B:$B=$A157)/(Lecturas!$C:$C&gt;0),Lecturas!$C:$C)),"")</f>
        <v>99814</v>
      </c>
      <c r="P157" s="20">
        <f>IFERROR(_xlfn.MAXIFS(tblMantenciones[Fecha],tblMantenciones[Codigo],tblMaestroEquipos[[#This Row],[Codigo]],tblMantenciones[EsPM],"Sí"),"")</f>
        <v>46135</v>
      </c>
      <c r="Q157" s="78">
        <f>IF(_xlfn.MAXIFS(Mantenciones!$D:$D,Mantenciones!$B:$B,A157)=0,"Sin datos de mantención registrado",_xlfn.MAXIFS(Mantenciones!$D:$D,Mantenciones!$B:$B,A157))</f>
        <v>100657</v>
      </c>
      <c r="R157" s="18">
        <f>IFERROR(IF(_xlfn.MAXIFS(Mantenciones!$D:$D,Mantenciones!$B:$B,$A157,Mantenciones!$E:$E,"Sí",Mantenciones!$D:$D,"&gt;0")=0,"Sin datos de mantención registrado",_xlfn.MAXIFS(Mantenciones!$D:$D,Mantenciones!$B:$B,$A157,Mantenciones!$E:$E,"Sí",Mantenciones!$D:$D,"&gt;0")),"Sin datos de mantención registrado")</f>
        <v>100657</v>
      </c>
      <c r="S157" s="21">
        <f>IFERROR(SUMIFS(tblMantenciones[Costo Mantencion CLP],tblMantenciones[Codigo],A157),0)</f>
        <v>725040</v>
      </c>
      <c r="T157" s="21">
        <f>IFERROR(SUMIFS(tblComprasPM[Costo PM CLP],tblComprasPM[Codigo],tblMaestroEquipos[[#This Row],[Codigo]]),0)</f>
        <v>0</v>
      </c>
      <c r="U157" s="21">
        <f>IFERROR(tblMaestroEquipos[[#This Row],[Costo Mantenciones CLP]]+tblMaestroEquipos[[#This Row],[Costo Compras PM CLP]],0)</f>
        <v>725040</v>
      </c>
      <c r="V157" s="18" t="str">
        <f>IFERROR(_xlfn.XLOOKUP(tblMaestroEquipos[[#This Row],[Codigo]],tblEquipos[Codigo],tblEquipos[Estado Base]),"")</f>
        <v>Operativo</v>
      </c>
      <c r="W157" s="18" t="str">
        <f t="shared" si="18"/>
        <v>AL DÍA</v>
      </c>
      <c r="X157" s="18">
        <f t="shared" si="19"/>
        <v>15843</v>
      </c>
      <c r="Y157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61976</v>
      </c>
      <c r="Z15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57" s="25">
        <f>IFERROR(IF(_xlfn.MAXIFS(tblBodega[Fecha],tblBodega[Codigo],tblMaestroEquipos[[#This Row],[Codigo]])=0,"",_xlfn.MAXIFS(tblBodega[Fecha],tblBodega[Codigo],tblMaestroEquipos[[#This Row],[Codigo]])),"")</f>
        <v>46135</v>
      </c>
      <c r="AB15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57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5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57" s="51" t="str">
        <f t="shared" si="17"/>
        <v>OPERATIVO</v>
      </c>
      <c r="AF157" s="18" t="str">
        <f t="shared" si="20"/>
        <v>BAJA</v>
      </c>
      <c r="AG157" s="18" t="str">
        <f t="shared" si="21"/>
        <v>Monitorear próximo vencimiento</v>
      </c>
      <c r="AH157">
        <f t="shared" si="22"/>
        <v>0</v>
      </c>
      <c r="AI157" t="str">
        <f t="shared" si="23"/>
        <v/>
      </c>
      <c r="AJ157" s="24">
        <f t="shared" si="24"/>
        <v>99</v>
      </c>
    </row>
    <row r="158" spans="1:36">
      <c r="A158" s="18" t="s">
        <v>275</v>
      </c>
      <c r="B158" s="18" t="s">
        <v>259</v>
      </c>
      <c r="C158" s="18" t="s">
        <v>1070</v>
      </c>
      <c r="D158" s="18" t="s">
        <v>260</v>
      </c>
      <c r="E158" s="19" t="s">
        <v>261</v>
      </c>
      <c r="F158" s="18">
        <v>2024</v>
      </c>
      <c r="G158" s="18" t="str" cm="1">
        <f t="array" ref="G158">IFERROR(INDEX(Lecturas!$E$4:$E$3549,MATCH(1,(Lecturas!$B$4:$B$3549=$A158)*(Lecturas!$E$4:$E$3549&lt;&gt;"")*(Lecturas!$A$4:$A$3549=_xlfn.MAXIFS(Lecturas!$A$4:$A$3549,Lecturas!$B$4:$B$3549,$A158,Lecturas!$E$4:$E$3549,"&lt;&gt;")),0)),"")</f>
        <v>Pelluhue</v>
      </c>
      <c r="H158" s="18" t="s">
        <v>1086</v>
      </c>
      <c r="I158" s="18" t="s">
        <v>18</v>
      </c>
      <c r="J158" s="18">
        <v>250</v>
      </c>
      <c r="K158" s="18">
        <f>IFERROR(IF($I158="KM",ROUND((_xlfn.MAXIFS(tblLecturas[Kilometraje],tblLecturas[Codigo],$A158)-_xlfn.MINIFS(tblLecturas[Kilometraje],tblLecturas[Codigo],$A158))/(MAX(1,_xlfn.MAXIFS(tblLecturas[Fecha],tblLecturas[Codigo],$A158)-_xlfn.MINIFS(tblLecturas[Fecha],tblLecturas[Codigo],$A158))),1),ROUND((_xlfn.MAXIFS(tblLecturas[Horometro],tblLecturas[Codigo],$A158)-_xlfn.MINIFS(tblLecturas[Horometro],tblLecturas[Codigo],$A158))/(MAX(1,_xlfn.MAXIFS(tblLecturas[Fecha],tblLecturas[Codigo],$A158)-_xlfn.MINIFS(tblLecturas[Fecha],tblLecturas[Codigo],$A158))),1)),"")</f>
        <v>3.5</v>
      </c>
      <c r="L158" s="20">
        <f>IFERROR(_xlfn.MAXIFS(tblLecturas[Fecha],tblLecturas[Codigo],$A158),"")</f>
        <v>46099</v>
      </c>
      <c r="M158" s="26">
        <f>IFERROR(_xlfn.MAXIFS(Lecturas!$C:$C,Lecturas!$B:$B,$A158,Lecturas!$C:$C,"&gt;0"),"")</f>
        <v>1474</v>
      </c>
      <c r="N158" s="78">
        <f>IFERROR(_xlfn.MAXIFS(tblLecturas[Kilometraje],tblLecturas[Codigo],$A158,tblLecturas[Kilometraje],"&gt;0"),"")</f>
        <v>0</v>
      </c>
      <c r="O158" s="78" cm="1">
        <f t="array" ref="O158">IFERROR(IF($I158="KM",LOOKUP(2,1/(Lecturas!$B:$B=$A158)/(Lecturas!$D:$D&gt;0),Lecturas!$D:$D),LOOKUP(2,1/(Lecturas!$B:$B=$A158)/(Lecturas!$C:$C&gt;0),Lecturas!$C:$C)),"")</f>
        <v>1474</v>
      </c>
      <c r="P158" s="20">
        <f>IFERROR(_xlfn.MAXIFS(tblMantenciones[Fecha],tblMantenciones[Codigo],tblMaestroEquipos[[#This Row],[Codigo]],tblMantenciones[EsPM],"Sí"),"")</f>
        <v>46120</v>
      </c>
      <c r="Q158" s="78">
        <f>IF(_xlfn.MAXIFS(Mantenciones!$D:$D,Mantenciones!$B:$B,A158)=0,"Sin datos de mantención registrado",_xlfn.MAXIFS(Mantenciones!$D:$D,Mantenciones!$B:$B,A158))</f>
        <v>1540</v>
      </c>
      <c r="R158" s="18">
        <f>IFERROR(IF(_xlfn.MAXIFS(Mantenciones!$D:$D,Mantenciones!$B:$B,$A158,Mantenciones!$E:$E,"Sí",Mantenciones!$D:$D,"&gt;0")=0,"Sin datos de mantención registrado",_xlfn.MAXIFS(Mantenciones!$D:$D,Mantenciones!$B:$B,$A158,Mantenciones!$E:$E,"Sí",Mantenciones!$D:$D,"&gt;0")),"Sin datos de mantención registrado")</f>
        <v>1540</v>
      </c>
      <c r="S158" s="21">
        <f>IFERROR(SUMIFS(tblMantenciones[Costo Mantencion CLP],tblMantenciones[Codigo],A158),0)</f>
        <v>0</v>
      </c>
      <c r="T158" s="21">
        <f>IFERROR(SUMIFS(tblComprasPM[Costo PM CLP],tblComprasPM[Codigo],tblMaestroEquipos[[#This Row],[Codigo]]),0)</f>
        <v>397094.67</v>
      </c>
      <c r="U158" s="21">
        <f>IFERROR(tblMaestroEquipos[[#This Row],[Costo Mantenciones CLP]]+tblMaestroEquipos[[#This Row],[Costo Compras PM CLP]],0)</f>
        <v>397094.67</v>
      </c>
      <c r="V158" s="18" t="str">
        <f>IFERROR(_xlfn.XLOOKUP(tblMaestroEquipos[[#This Row],[Codigo]],tblEquipos[Codigo],tblEquipos[Estado Base]),"")</f>
        <v>Operativo</v>
      </c>
      <c r="W158" s="18" t="str">
        <f t="shared" si="18"/>
        <v>AL DÍA</v>
      </c>
      <c r="X158" s="18">
        <f t="shared" si="19"/>
        <v>316</v>
      </c>
      <c r="Y158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46415</v>
      </c>
      <c r="Z158" s="25">
        <f>IFERROR(IF(_xlfn.MINIFS(tblComprasPM[Fecha],tblComprasPM[Codigo],tblMaestroEquipos[[#This Row],[Codigo]])=0,"",_xlfn.MINIFS(tblComprasPM[Fecha],tblComprasPM[Codigo],tblMaestroEquipos[[#This Row],[Codigo]])),"")</f>
        <v>46093.632126932898</v>
      </c>
      <c r="AA158" s="25">
        <f>IFERROR(IF(_xlfn.MAXIFS(tblBodega[Fecha],tblBodega[Codigo],tblMaestroEquipos[[#This Row],[Codigo]])=0,"",_xlfn.MAXIFS(tblBodega[Fecha],tblBodega[Codigo],tblMaestroEquipos[[#This Row],[Codigo]])),"")</f>
        <v>46120</v>
      </c>
      <c r="AB15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27</v>
      </c>
      <c r="AC158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5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58" s="51" t="str">
        <f t="shared" si="17"/>
        <v>OPERATIVO</v>
      </c>
      <c r="AF158" s="18" t="str">
        <f t="shared" si="20"/>
        <v>BAJA</v>
      </c>
      <c r="AG158" s="18" t="str">
        <f t="shared" si="21"/>
        <v>Monitorear próximo vencimiento</v>
      </c>
      <c r="AH158">
        <f t="shared" si="22"/>
        <v>0</v>
      </c>
      <c r="AI158" t="str">
        <f t="shared" si="23"/>
        <v/>
      </c>
      <c r="AJ158" s="24">
        <f t="shared" si="24"/>
        <v>99</v>
      </c>
    </row>
    <row r="159" spans="1:36" s="27" customFormat="1">
      <c r="A159" s="18" t="s">
        <v>593</v>
      </c>
      <c r="B159" s="18" t="s">
        <v>459</v>
      </c>
      <c r="C159" s="18" t="s">
        <v>1074</v>
      </c>
      <c r="D159" s="18" t="s">
        <v>589</v>
      </c>
      <c r="E159" s="19" t="s">
        <v>590</v>
      </c>
      <c r="F159" s="18">
        <v>2023</v>
      </c>
      <c r="G159" s="18" t="str" cm="1">
        <f t="array" ref="G159">IFERROR(INDEX(Lecturas!$E$4:$E$3549,MATCH(1,(Lecturas!$B$4:$B$3549=$A159)*(Lecturas!$E$4:$E$3549&lt;&gt;"")*(Lecturas!$A$4:$A$3549=_xlfn.MAXIFS(Lecturas!$A$4:$A$3549,Lecturas!$B$4:$B$3549,$A159,Lecturas!$E$4:$E$3549,"&lt;&gt;")),0)),"")</f>
        <v/>
      </c>
      <c r="H159" s="18" t="s">
        <v>53</v>
      </c>
      <c r="I159" s="18" t="s">
        <v>462</v>
      </c>
      <c r="J159" s="18">
        <v>15000</v>
      </c>
      <c r="K159" s="18">
        <f>IFERROR(IF($I159="KM",ROUND((_xlfn.MAXIFS(tblLecturas[Kilometraje],tblLecturas[Codigo],$A159)-_xlfn.MINIFS(tblLecturas[Kilometraje],tblLecturas[Codigo],$A159))/(MAX(1,_xlfn.MAXIFS(tblLecturas[Fecha],tblLecturas[Codigo],$A159)-_xlfn.MINIFS(tblLecturas[Fecha],tblLecturas[Codigo],$A159))),1),ROUND((_xlfn.MAXIFS(tblLecturas[Horometro],tblLecturas[Codigo],$A159)-_xlfn.MINIFS(tblLecturas[Horometro],tblLecturas[Codigo],$A159))/(MAX(1,_xlfn.MAXIFS(tblLecturas[Fecha],tblLecturas[Codigo],$A159)-_xlfn.MINIFS(tblLecturas[Fecha],tblLecturas[Codigo],$A159))),1)),"")</f>
        <v>135.30000000000001</v>
      </c>
      <c r="L159" s="20">
        <f>IFERROR(_xlfn.MAXIFS(tblLecturas[Fecha],tblLecturas[Codigo],$A159),"")</f>
        <v>46133</v>
      </c>
      <c r="M159" s="26">
        <f>IFERROR(_xlfn.MAXIFS(Lecturas!$C:$C,Lecturas!$B:$B,$A159,Lecturas!$C:$C,"&gt;0"),"")</f>
        <v>0</v>
      </c>
      <c r="N159" s="78">
        <f>IFERROR(_xlfn.MAXIFS(tblLecturas[Kilometraje],tblLecturas[Codigo],$A159,tblLecturas[Kilometraje],"&gt;0"),"")</f>
        <v>170476</v>
      </c>
      <c r="O159" s="78" cm="1">
        <f t="array" ref="O159">IFERROR(IF($I159="KM",LOOKUP(2,1/(Lecturas!$B:$B=$A159)/(Lecturas!$D:$D&gt;0),Lecturas!$D:$D),LOOKUP(2,1/(Lecturas!$B:$B=$A159)/(Lecturas!$C:$C&gt;0),Lecturas!$C:$C)),"")</f>
        <v>170476</v>
      </c>
      <c r="P159" s="20">
        <f>IFERROR(_xlfn.MAXIFS(tblMantenciones[Fecha],tblMantenciones[Codigo],tblMaestroEquipos[[#This Row],[Codigo]],tblMantenciones[EsPM],"Sí"),"")</f>
        <v>46036</v>
      </c>
      <c r="Q159" s="78">
        <f>IF(_xlfn.MAXIFS(Mantenciones!$D:$D,Mantenciones!$B:$B,A159)=0,"Sin datos de mantención registrado",_xlfn.MAXIFS(Mantenciones!$D:$D,Mantenciones!$B:$B,A159))</f>
        <v>157018</v>
      </c>
      <c r="R159" s="18">
        <f>IFERROR(IF(_xlfn.MAXIFS(Mantenciones!$D:$D,Mantenciones!$B:$B,$A159,Mantenciones!$E:$E,"Sí",Mantenciones!$D:$D,"&gt;0")=0,"Sin datos de mantención registrado",_xlfn.MAXIFS(Mantenciones!$D:$D,Mantenciones!$B:$B,$A159,Mantenciones!$E:$E,"Sí",Mantenciones!$D:$D,"&gt;0")),"Sin datos de mantención registrado")</f>
        <v>157018</v>
      </c>
      <c r="S159" s="21">
        <f>IFERROR(SUMIFS(tblMantenciones[Costo Mantencion CLP],tblMantenciones[Codigo],tblMaestroEquipos[[#This Row],[Codigo]]),0)</f>
        <v>0</v>
      </c>
      <c r="T159" s="21">
        <f>IFERROR(SUMIFS(tblComprasPM[Costo PM CLP],tblComprasPM[Codigo],tblMaestroEquipos[[#This Row],[Codigo]]),0)</f>
        <v>0</v>
      </c>
      <c r="U159" s="21">
        <f>IFERROR(tblMaestroEquipos[[#This Row],[Costo Mantenciones CLP]]+tblMaestroEquipos[[#This Row],[Costo Compras PM CLP]],0)</f>
        <v>0</v>
      </c>
      <c r="V159" s="18" t="str">
        <f>IFERROR(_xlfn.XLOOKUP(tblMaestroEquipos[[#This Row],[Codigo]],tblEquipos[Codigo],tblEquipos[Estado Base]),"")</f>
        <v>Operativo</v>
      </c>
      <c r="W159" s="18" t="str">
        <f t="shared" si="18"/>
        <v>POR RECIBIR</v>
      </c>
      <c r="X159" s="18">
        <f t="shared" si="19"/>
        <v>1542</v>
      </c>
      <c r="Y159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47675</v>
      </c>
      <c r="Z15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59" s="25">
        <f>IFERROR(IF(_xlfn.MAXIFS(tblBodega[Fecha],tblBodega[Codigo],tblMaestroEquipos[[#This Row],[Codigo]])=0,"",_xlfn.MAXIFS(tblBodega[Fecha],tblBodega[Codigo],tblMaestroEquipos[[#This Row],[Codigo]])),"")</f>
        <v>46129</v>
      </c>
      <c r="AB15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59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5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59" s="51" t="str">
        <f t="shared" si="17"/>
        <v>OPERATIVO</v>
      </c>
      <c r="AF159" s="18" t="str">
        <f t="shared" si="20"/>
        <v>BAJA</v>
      </c>
      <c r="AG159" s="18" t="str">
        <f t="shared" si="21"/>
        <v>Monitorear próximo vencimiento</v>
      </c>
      <c r="AH159">
        <f t="shared" si="22"/>
        <v>0</v>
      </c>
      <c r="AI159" t="str">
        <f t="shared" si="23"/>
        <v/>
      </c>
      <c r="AJ159" s="24">
        <f t="shared" si="24"/>
        <v>3</v>
      </c>
    </row>
    <row r="160" spans="1:36" s="27" customFormat="1">
      <c r="A160" s="18" t="s">
        <v>533</v>
      </c>
      <c r="B160" s="18" t="s">
        <v>459</v>
      </c>
      <c r="C160" s="18" t="s">
        <v>1074</v>
      </c>
      <c r="D160" s="18" t="s">
        <v>99</v>
      </c>
      <c r="E160" s="19" t="s">
        <v>524</v>
      </c>
      <c r="F160" s="18">
        <v>2025</v>
      </c>
      <c r="G160" s="18" t="str" cm="1">
        <f t="array" ref="G160">IFERROR(INDEX(Lecturas!$E$4:$E$3549,MATCH(1,(Lecturas!$B$4:$B$3549=$A160)*(Lecturas!$E$4:$E$3549&lt;&gt;"")*(Lecturas!$A$4:$A$3549=_xlfn.MAXIFS(Lecturas!$A$4:$A$3549,Lecturas!$B$4:$B$3549,$A160,Lecturas!$E$4:$E$3549,"&lt;&gt;")),0)),"")</f>
        <v>Villaseca</v>
      </c>
      <c r="H160" s="18" t="s">
        <v>1079</v>
      </c>
      <c r="I160" s="18" t="s">
        <v>462</v>
      </c>
      <c r="J160" s="18">
        <v>15000</v>
      </c>
      <c r="K160" s="18">
        <f>IFERROR(IF($I160="KM",ROUND((_xlfn.MAXIFS(tblLecturas[Kilometraje],tblLecturas[Codigo],$A160)-_xlfn.MINIFS(tblLecturas[Kilometraje],tblLecturas[Codigo],$A160))/(MAX(1,_xlfn.MAXIFS(tblLecturas[Fecha],tblLecturas[Codigo],$A160)-_xlfn.MINIFS(tblLecturas[Fecha],tblLecturas[Codigo],$A160))),1),ROUND((_xlfn.MAXIFS(tblLecturas[Horometro],tblLecturas[Codigo],$A160)-_xlfn.MINIFS(tblLecturas[Horometro],tblLecturas[Codigo],$A160))/(MAX(1,_xlfn.MAXIFS(tblLecturas[Fecha],tblLecturas[Codigo],$A160)-_xlfn.MINIFS(tblLecturas[Fecha],tblLecturas[Codigo],$A160))),1)),"")</f>
        <v>129.6</v>
      </c>
      <c r="L160" s="20">
        <f>IFERROR(_xlfn.MAXIFS(tblLecturas[Fecha],tblLecturas[Codigo],$A160),"")</f>
        <v>46139</v>
      </c>
      <c r="M160" s="26">
        <f>IFERROR(_xlfn.MAXIFS(Lecturas!$C:$C,Lecturas!$B:$B,$A160,Lecturas!$C:$C,"&gt;0"),"")</f>
        <v>0</v>
      </c>
      <c r="N160" s="78">
        <f>IFERROR(_xlfn.MAXIFS(tblLecturas[Kilometraje],tblLecturas[Codigo],$A160,tblLecturas[Kilometraje],"&gt;0"),"")</f>
        <v>81234</v>
      </c>
      <c r="O160" s="78" cm="1">
        <f t="array" ref="O160">IFERROR(IF($I160="KM",LOOKUP(2,1/(Lecturas!$B:$B=$A160)/(Lecturas!$D:$D&gt;0),Lecturas!$D:$D),LOOKUP(2,1/(Lecturas!$B:$B=$A160)/(Lecturas!$C:$C&gt;0),Lecturas!$C:$C)),"")</f>
        <v>81234</v>
      </c>
      <c r="P160" s="20">
        <f>IFERROR(_xlfn.MAXIFS(tblMantenciones[Fecha],tblMantenciones[Codigo],tblMaestroEquipos[[#This Row],[Codigo]],tblMantenciones[EsPM],"Sí"),"")</f>
        <v>46020</v>
      </c>
      <c r="Q160" s="78">
        <f>IF(_xlfn.MAXIFS(Mantenciones!$D:$D,Mantenciones!$B:$B,A160)=0,"Sin datos de mantención registrado",_xlfn.MAXIFS(Mantenciones!$D:$D,Mantenciones!$B:$B,A160))</f>
        <v>65636</v>
      </c>
      <c r="R160" s="18">
        <f>IFERROR(IF(_xlfn.MAXIFS(Mantenciones!$D:$D,Mantenciones!$B:$B,$A160,Mantenciones!$E:$E,"Sí",Mantenciones!$D:$D,"&gt;0")=0,"Sin datos de mantención registrado",_xlfn.MAXIFS(Mantenciones!$D:$D,Mantenciones!$B:$B,$A160,Mantenciones!$E:$E,"Sí",Mantenciones!$D:$D,"&gt;0")),"Sin datos de mantención registrado")</f>
        <v>65636</v>
      </c>
      <c r="S160" s="21">
        <f>IFERROR(SUMIFS(tblMantenciones[Costo Mantencion CLP],tblMantenciones[Codigo],A160),0)</f>
        <v>573317</v>
      </c>
      <c r="T160" s="21">
        <f>IFERROR(SUMIFS(tblComprasPM[Costo PM CLP],tblComprasPM[Codigo],tblMaestroEquipos[[#This Row],[Codigo]]),0)</f>
        <v>0</v>
      </c>
      <c r="U160" s="21">
        <f>IFERROR(tblMaestroEquipos[[#This Row],[Costo Mantenciones CLP]]+tblMaestroEquipos[[#This Row],[Costo Compras PM CLP]],0)</f>
        <v>573317</v>
      </c>
      <c r="V160" s="18" t="str">
        <f>IFERROR(_xlfn.XLOOKUP(tblMaestroEquipos[[#This Row],[Codigo]],tblEquipos[Codigo],tblEquipos[Estado Base]),"")</f>
        <v>Operativo</v>
      </c>
      <c r="W160" s="18" t="str">
        <f t="shared" si="18"/>
        <v>ATRASADA</v>
      </c>
      <c r="X160" s="18">
        <f t="shared" si="19"/>
        <v>-598</v>
      </c>
      <c r="Y160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45541</v>
      </c>
      <c r="Z16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60" s="25" t="str">
        <f>IFERROR(IF(_xlfn.MAXIFS(tblBodega[Fecha],tblBodega[Codigo],tblMaestroEquipos[[#This Row],[Codigo]])=0,"",_xlfn.MAXIFS(tblBodega[Fecha],tblBodega[Codigo],tblMaestroEquipos[[#This Row],[Codigo]])),"")</f>
        <v/>
      </c>
      <c r="AB16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6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6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60" s="51" t="str">
        <f t="shared" si="17"/>
        <v>OPERATIVO</v>
      </c>
      <c r="AF160" s="18" t="str">
        <f t="shared" si="20"/>
        <v>BAJA</v>
      </c>
      <c r="AG160" s="18" t="str">
        <f t="shared" si="21"/>
        <v>Monitorear próximo vencimiento</v>
      </c>
      <c r="AH160">
        <f t="shared" si="22"/>
        <v>0</v>
      </c>
      <c r="AI160" t="str">
        <f t="shared" si="23"/>
        <v/>
      </c>
      <c r="AJ160" s="24">
        <f t="shared" si="24"/>
        <v>1</v>
      </c>
    </row>
    <row r="161" spans="1:36" s="27" customFormat="1">
      <c r="A161" s="18" t="s">
        <v>210</v>
      </c>
      <c r="B161" s="18" t="s">
        <v>203</v>
      </c>
      <c r="C161" s="18" t="s">
        <v>1070</v>
      </c>
      <c r="D161" s="18" t="s">
        <v>204</v>
      </c>
      <c r="E161" s="19" t="s">
        <v>201</v>
      </c>
      <c r="F161" s="18">
        <v>2000</v>
      </c>
      <c r="G161" s="18" t="str" cm="1">
        <f t="array" ref="G161">IFERROR(INDEX(Lecturas!$E$4:$E$3549,MATCH(1,(Lecturas!$B$4:$B$3549=$A161)*(Lecturas!$E$4:$E$3549&lt;&gt;"")*(Lecturas!$A$4:$A$3549=_xlfn.MAXIFS(Lecturas!$A$4:$A$3549,Lecturas!$B$4:$B$3549,$A161,Lecturas!$E$4:$E$3549,"&lt;&gt;")),0)),"")</f>
        <v/>
      </c>
      <c r="H161" s="18" t="s">
        <v>211</v>
      </c>
      <c r="I161" s="18" t="s">
        <v>18</v>
      </c>
      <c r="J161" s="18">
        <v>250</v>
      </c>
      <c r="K161" s="18">
        <f>IFERROR(IF($I161="KM",ROUND((_xlfn.MAXIFS(tblLecturas[Kilometraje],tblLecturas[Codigo],$A161)-_xlfn.MINIFS(tblLecturas[Kilometraje],tblLecturas[Codigo],$A161))/(MAX(1,_xlfn.MAXIFS(tblLecturas[Fecha],tblLecturas[Codigo],$A161)-_xlfn.MINIFS(tblLecturas[Fecha],tblLecturas[Codigo],$A161))),1),ROUND((_xlfn.MAXIFS(tblLecturas[Horometro],tblLecturas[Codigo],$A161)-_xlfn.MINIFS(tblLecturas[Horometro],tblLecturas[Codigo],$A161))/(MAX(1,_xlfn.MAXIFS(tblLecturas[Fecha],tblLecturas[Codigo],$A161)-_xlfn.MINIFS(tblLecturas[Fecha],tblLecturas[Codigo],$A161))),1)),"")</f>
        <v>1.6</v>
      </c>
      <c r="L161" s="20">
        <f>IFERROR(_xlfn.MAXIFS(tblLecturas[Fecha],tblLecturas[Codigo],$A161),"")</f>
        <v>46104</v>
      </c>
      <c r="M161" s="26">
        <f>IFERROR(_xlfn.MAXIFS(Lecturas!$C:$C,Lecturas!$B:$B,$A161,Lecturas!$C:$C,"&gt;0"),"")</f>
        <v>210</v>
      </c>
      <c r="N161" s="78">
        <f>IFERROR(_xlfn.MAXIFS(tblLecturas[Kilometraje],tblLecturas[Codigo],$A161,tblLecturas[Kilometraje],"&gt;0"),"")</f>
        <v>2555</v>
      </c>
      <c r="O161" s="78" cm="1">
        <f t="array" ref="O161">IFERROR(IF($I161="KM",LOOKUP(2,1/(Lecturas!$B:$B=$A161)/(Lecturas!$D:$D&gt;0),Lecturas!$D:$D),LOOKUP(2,1/(Lecturas!$B:$B=$A161)/(Lecturas!$C:$C&gt;0),Lecturas!$C:$C)),"")</f>
        <v>31</v>
      </c>
      <c r="P161" s="20">
        <f>IFERROR(_xlfn.MAXIFS(tblMantenciones[Fecha],tblMantenciones[Codigo],tblMaestroEquipos[[#This Row],[Codigo]],tblMantenciones[EsPM],"Sí"),"")</f>
        <v>0</v>
      </c>
      <c r="Q161" s="78" t="str">
        <f>IF(_xlfn.MAXIFS(Mantenciones!$D:$D,Mantenciones!$B:$B,A161)=0,"Sin datos de mantención registrado",_xlfn.MAXIFS(Mantenciones!$D:$D,Mantenciones!$B:$B,A161))</f>
        <v>Sin datos de mantención registrado</v>
      </c>
      <c r="R161" s="18" t="str">
        <f>IFERROR(IF(_xlfn.MAXIFS(Mantenciones!$D:$D,Mantenciones!$B:$B,$A161,Mantenciones!$E:$E,"Sí",Mantenciones!$D:$D,"&gt;0")=0,"Sin datos de mantención registrado",_xlfn.MAXIFS(Mantenciones!$D:$D,Mantenciones!$B:$B,$A161,Mantenciones!$E:$E,"Sí",Mantenciones!$D:$D,"&gt;0")),"Sin datos de mantención registrado")</f>
        <v>Sin datos de mantención registrado</v>
      </c>
      <c r="S161" s="21">
        <f>IFERROR(SUMIFS(tblMantenciones[Costo Mantencion CLP],tblMantenciones[Codigo],A161),0)</f>
        <v>0</v>
      </c>
      <c r="T161" s="21">
        <f>IFERROR(SUMIFS(tblComprasPM[Costo PM CLP],tblComprasPM[Codigo],tblMaestroEquipos[[#This Row],[Codigo]]),0)</f>
        <v>126877.8</v>
      </c>
      <c r="U161" s="21">
        <f>IFERROR(tblMaestroEquipos[[#This Row],[Costo Mantenciones CLP]]+tblMaestroEquipos[[#This Row],[Costo Compras PM CLP]],0)</f>
        <v>126877.8</v>
      </c>
      <c r="V161" s="18" t="str">
        <f>IFERROR(_xlfn.XLOOKUP(tblMaestroEquipos[[#This Row],[Codigo]],tblEquipos[Codigo],tblEquipos[Estado Base]),"")</f>
        <v>Fuera de Servicio</v>
      </c>
      <c r="W161" s="18" t="str">
        <f t="shared" si="18"/>
        <v>FUERA DE SERVICIO</v>
      </c>
      <c r="X161" s="18" t="str">
        <f t="shared" si="19"/>
        <v/>
      </c>
      <c r="Y16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61" s="25">
        <f>IFERROR(IF(_xlfn.MINIFS(tblComprasPM[Fecha],tblComprasPM[Codigo],tblMaestroEquipos[[#This Row],[Codigo]])=0,"",_xlfn.MINIFS(tblComprasPM[Fecha],tblComprasPM[Codigo],tblMaestroEquipos[[#This Row],[Codigo]])),"")</f>
        <v>46105</v>
      </c>
      <c r="AA161" s="25" t="str">
        <f>IFERROR(IF(_xlfn.MAXIFS(tblBodega[Fecha],tblBodega[Codigo],tblMaestroEquipos[[#This Row],[Codigo]])=0,"",_xlfn.MAXIFS(tblBodega[Fecha],tblBodega[Codigo],tblMaestroEquipos[[#This Row],[Codigo]])),"")</f>
        <v/>
      </c>
      <c r="AB16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40</v>
      </c>
      <c r="AC16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6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61" s="51" t="str">
        <f t="shared" si="17"/>
        <v>FUERA DE SERVICIO</v>
      </c>
      <c r="AF161" s="18" t="str">
        <f t="shared" si="20"/>
        <v>NO APLICA</v>
      </c>
      <c r="AG161" s="18" t="str">
        <f t="shared" si="21"/>
        <v>No programar compra</v>
      </c>
      <c r="AH161">
        <f t="shared" si="22"/>
        <v>0</v>
      </c>
      <c r="AI161" t="str">
        <f t="shared" si="23"/>
        <v/>
      </c>
      <c r="AJ161" s="24">
        <f t="shared" si="24"/>
        <v>99</v>
      </c>
    </row>
    <row r="162" spans="1:36">
      <c r="A162" s="18" t="s">
        <v>622</v>
      </c>
      <c r="B162" s="18" t="s">
        <v>459</v>
      </c>
      <c r="C162" s="18" t="s">
        <v>1074</v>
      </c>
      <c r="D162" s="18" t="s">
        <v>99</v>
      </c>
      <c r="E162" s="19" t="s">
        <v>566</v>
      </c>
      <c r="F162" s="18">
        <v>2023</v>
      </c>
      <c r="G162" s="18" t="str" cm="1">
        <f t="array" ref="G162">IFERROR(INDEX(Lecturas!$E$4:$E$3549,MATCH(1,(Lecturas!$B$4:$B$3549=$A162)*(Lecturas!$E$4:$E$3549&lt;&gt;"")*(Lecturas!$A$4:$A$3549=_xlfn.MAXIFS(Lecturas!$A$4:$A$3549,Lecturas!$B$4:$B$3549,$A162,Lecturas!$E$4:$E$3549,"&lt;&gt;")),0)),"")</f>
        <v>Curicó</v>
      </c>
      <c r="H162" s="18" t="s">
        <v>1093</v>
      </c>
      <c r="I162" s="18" t="s">
        <v>462</v>
      </c>
      <c r="J162" s="18">
        <v>15000</v>
      </c>
      <c r="K162" s="18">
        <f>IFERROR(IF($I162="KM",ROUND((_xlfn.MAXIFS(tblLecturas[Kilometraje],tblLecturas[Codigo],$A162)-_xlfn.MINIFS(tblLecturas[Kilometraje],tblLecturas[Codigo],$A162))/(MAX(1,_xlfn.MAXIFS(tblLecturas[Fecha],tblLecturas[Codigo],$A162)-_xlfn.MINIFS(tblLecturas[Fecha],tblLecturas[Codigo],$A162))),1),ROUND((_xlfn.MAXIFS(tblLecturas[Horometro],tblLecturas[Codigo],$A162)-_xlfn.MINIFS(tblLecturas[Horometro],tblLecturas[Codigo],$A162))/(MAX(1,_xlfn.MAXIFS(tblLecturas[Fecha],tblLecturas[Codigo],$A162)-_xlfn.MINIFS(tblLecturas[Fecha],tblLecturas[Codigo],$A162))),1)),"")</f>
        <v>263.10000000000002</v>
      </c>
      <c r="L162" s="20">
        <f>IFERROR(_xlfn.MAXIFS(tblLecturas[Fecha],tblLecturas[Codigo],$A162),"")</f>
        <v>46133</v>
      </c>
      <c r="M162" s="26">
        <f>IFERROR(_xlfn.MAXIFS(Lecturas!$C:$C,Lecturas!$B:$B,$A162,Lecturas!$C:$C,"&gt;0"),"")</f>
        <v>0</v>
      </c>
      <c r="N162" s="78">
        <f>IFERROR(_xlfn.MAXIFS(tblLecturas[Kilometraje],tblLecturas[Codigo],$A162,tblLecturas[Kilometraje],"&gt;0"),"")</f>
        <v>114573</v>
      </c>
      <c r="O162" s="78" cm="1">
        <f t="array" ref="O162">IFERROR(IF($I162="KM",LOOKUP(2,1/(Lecturas!$B:$B=$A162)/(Lecturas!$D:$D&gt;0),Lecturas!$D:$D),LOOKUP(2,1/(Lecturas!$B:$B=$A162)/(Lecturas!$C:$C&gt;0),Lecturas!$C:$C)),"")</f>
        <v>114573</v>
      </c>
      <c r="P162" s="20">
        <f>IFERROR(_xlfn.MAXIFS(tblMantenciones[Fecha],tblMantenciones[Codigo],tblMaestroEquipos[[#This Row],[Codigo]],tblMantenciones[EsPM],"Sí"),"")</f>
        <v>46035</v>
      </c>
      <c r="Q162" s="78">
        <f>IF(_xlfn.MAXIFS(Mantenciones!$D:$D,Mantenciones!$B:$B,A162)=0,"Sin datos de mantención registrado",_xlfn.MAXIFS(Mantenciones!$D:$D,Mantenciones!$B:$B,A162))</f>
        <v>105667</v>
      </c>
      <c r="R162" s="18">
        <f>IFERROR(IF(_xlfn.MAXIFS(Mantenciones!$D:$D,Mantenciones!$B:$B,$A162,Mantenciones!$E:$E,"Sí",Mantenciones!$D:$D,"&gt;0")=0,"Sin datos de mantención registrado",_xlfn.MAXIFS(Mantenciones!$D:$D,Mantenciones!$B:$B,$A162,Mantenciones!$E:$E,"Sí",Mantenciones!$D:$D,"&gt;0")),"Sin datos de mantención registrado")</f>
        <v>105667</v>
      </c>
      <c r="S162" s="21">
        <f>IFERROR(SUMIFS(tblMantenciones[Costo Mantencion CLP],tblMantenciones[Codigo],tblMaestroEquipos[[#This Row],[Codigo]]),0)</f>
        <v>0</v>
      </c>
      <c r="T162" s="21">
        <f>IFERROR(SUMIFS(tblComprasPM[Costo PM CLP],tblComprasPM[Codigo],tblMaestroEquipos[[#This Row],[Codigo]]),0)</f>
        <v>24499.97</v>
      </c>
      <c r="U162" s="21">
        <f>IFERROR(tblMaestroEquipos[[#This Row],[Costo Mantenciones CLP]]+tblMaestroEquipos[[#This Row],[Costo Compras PM CLP]],0)</f>
        <v>24499.97</v>
      </c>
      <c r="V162" s="18" t="str">
        <f>IFERROR(_xlfn.XLOOKUP(tblMaestroEquipos[[#This Row],[Codigo]],tblEquipos[Codigo],tblEquipos[Estado Base]),"")</f>
        <v>Operativo</v>
      </c>
      <c r="W162" s="18" t="str">
        <f t="shared" si="18"/>
        <v>EN PROCESO</v>
      </c>
      <c r="X162" s="18">
        <f t="shared" si="19"/>
        <v>6094</v>
      </c>
      <c r="Y162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52227</v>
      </c>
      <c r="Z162" s="25">
        <f>IFERROR(IF(_xlfn.MINIFS(tblComprasPM[Fecha],tblComprasPM[Codigo],tblMaestroEquipos[[#This Row],[Codigo]])=0,"",_xlfn.MINIFS(tblComprasPM[Fecha],tblComprasPM[Codigo],tblMaestroEquipos[[#This Row],[Codigo]])),"")</f>
        <v>46127</v>
      </c>
      <c r="AA162" s="25" t="str">
        <f>IFERROR(IF(_xlfn.MAXIFS(tblBodega[Fecha],tblBodega[Codigo],tblMaestroEquipos[[#This Row],[Codigo]])=0,"",_xlfn.MAXIFS(tblBodega[Fecha],tblBodega[Codigo],tblMaestroEquipos[[#This Row],[Codigo]])),"")</f>
        <v/>
      </c>
      <c r="AB162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6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6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62" s="51" t="str">
        <f t="shared" si="17"/>
        <v>EN PROCESO</v>
      </c>
      <c r="AF162" s="18" t="str">
        <f t="shared" si="20"/>
        <v>SEGUIMIENTO</v>
      </c>
      <c r="AG162" s="18" t="str">
        <f t="shared" si="21"/>
        <v>Hacer seguimiento al taller y cerrar report</v>
      </c>
      <c r="AH162">
        <f t="shared" si="22"/>
        <v>0</v>
      </c>
      <c r="AI162" t="str">
        <f t="shared" si="23"/>
        <v/>
      </c>
      <c r="AJ162" s="24">
        <f t="shared" si="24"/>
        <v>2</v>
      </c>
    </row>
    <row r="163" spans="1:36">
      <c r="A163" s="18" t="s">
        <v>506</v>
      </c>
      <c r="B163" s="18" t="s">
        <v>502</v>
      </c>
      <c r="C163" s="18" t="s">
        <v>1074</v>
      </c>
      <c r="D163" s="18" t="s">
        <v>503</v>
      </c>
      <c r="E163" s="19" t="s">
        <v>504</v>
      </c>
      <c r="F163" s="18">
        <v>2025</v>
      </c>
      <c r="G163" s="18" t="str" cm="1">
        <f t="array" ref="G163">IFERROR(INDEX(Lecturas!$E$4:$E$3549,MATCH(1,(Lecturas!$B$4:$B$3549=$A163)*(Lecturas!$E$4:$E$3549&lt;&gt;"")*(Lecturas!$A$4:$A$3549=_xlfn.MAXIFS(Lecturas!$A$4:$A$3549,Lecturas!$B$4:$B$3549,$A163,Lecturas!$E$4:$E$3549,"&lt;&gt;")),0)),"")</f>
        <v/>
      </c>
      <c r="H163" s="18" t="s">
        <v>507</v>
      </c>
      <c r="I163" s="18" t="s">
        <v>462</v>
      </c>
      <c r="J163" s="18">
        <v>10000</v>
      </c>
      <c r="K163" s="18">
        <f>IFERROR(IF($I163="KM",ROUND((_xlfn.MAXIFS(tblLecturas[Kilometraje],tblLecturas[Codigo],$A163)-_xlfn.MINIFS(tblLecturas[Kilometraje],tblLecturas[Codigo],$A163))/(MAX(1,_xlfn.MAXIFS(tblLecturas[Fecha],tblLecturas[Codigo],$A163)-_xlfn.MINIFS(tblLecturas[Fecha],tblLecturas[Codigo],$A163))),1),ROUND((_xlfn.MAXIFS(tblLecturas[Horometro],tblLecturas[Codigo],$A163)-_xlfn.MINIFS(tblLecturas[Horometro],tblLecturas[Codigo],$A163))/(MAX(1,_xlfn.MAXIFS(tblLecturas[Fecha],tblLecturas[Codigo],$A163)-_xlfn.MINIFS(tblLecturas[Fecha],tblLecturas[Codigo],$A163))),1)),"")</f>
        <v>183.2</v>
      </c>
      <c r="L163" s="20">
        <f>IFERROR(_xlfn.MAXIFS(tblLecturas[Fecha],tblLecturas[Codigo],$A163),"")</f>
        <v>46107</v>
      </c>
      <c r="M163" s="26">
        <f>IFERROR(_xlfn.MAXIFS(Lecturas!$C:$C,Lecturas!$B:$B,$A163,Lecturas!$C:$C,"&gt;0"),"")</f>
        <v>0</v>
      </c>
      <c r="N163" s="78">
        <f>IFERROR(_xlfn.MAXIFS(tblLecturas[Kilometraje],tblLecturas[Codigo],$A163,tblLecturas[Kilometraje],"&gt;0"),"")</f>
        <v>67530</v>
      </c>
      <c r="O163" s="78" cm="1">
        <f t="array" ref="O163">IFERROR(IF($I163="KM",LOOKUP(2,1/(Lecturas!$B:$B=$A163)/(Lecturas!$D:$D&gt;0),Lecturas!$D:$D),LOOKUP(2,1/(Lecturas!$B:$B=$A163)/(Lecturas!$C:$C&gt;0),Lecturas!$C:$C)),"")</f>
        <v>67530</v>
      </c>
      <c r="P163" s="20">
        <f>IFERROR(_xlfn.MAXIFS(tblMantenciones[Fecha],tblMantenciones[Codigo],tblMaestroEquipos[[#This Row],[Codigo]],tblMantenciones[EsPM],"Sí"),"")</f>
        <v>46139</v>
      </c>
      <c r="Q163" s="78">
        <f>IF(_xlfn.MAXIFS(Mantenciones!$D:$D,Mantenciones!$B:$B,A163)=0,"Sin datos de mantención registrado",_xlfn.MAXIFS(Mantenciones!$D:$D,Mantenciones!$B:$B,A163))</f>
        <v>76996</v>
      </c>
      <c r="R163" s="18">
        <f>IFERROR(IF(_xlfn.MAXIFS(Mantenciones!$D:$D,Mantenciones!$B:$B,$A163,Mantenciones!$E:$E,"Sí",Mantenciones!$D:$D,"&gt;0")=0,"Sin datos de mantención registrado",_xlfn.MAXIFS(Mantenciones!$D:$D,Mantenciones!$B:$B,$A163,Mantenciones!$E:$E,"Sí",Mantenciones!$D:$D,"&gt;0")),"Sin datos de mantención registrado")</f>
        <v>73245</v>
      </c>
      <c r="S163" s="21">
        <f>IFERROR(SUMIFS(tblMantenciones[Costo Mantencion CLP],tblMantenciones[Codigo],A163),0)</f>
        <v>0</v>
      </c>
      <c r="T163" s="21">
        <f>IFERROR(SUMIFS(tblComprasPM[Costo PM CLP],tblComprasPM[Codigo],tblMaestroEquipos[[#This Row],[Codigo]]),0)</f>
        <v>24399.973999999998</v>
      </c>
      <c r="U163" s="21">
        <f>IFERROR(tblMaestroEquipos[[#This Row],[Costo Mantenciones CLP]]+tblMaestroEquipos[[#This Row],[Costo Compras PM CLP]],0)</f>
        <v>24399.973999999998</v>
      </c>
      <c r="V163" s="18" t="str">
        <f>IFERROR(_xlfn.XLOOKUP(tblMaestroEquipos[[#This Row],[Codigo]],tblEquipos[Codigo],tblEquipos[Estado Base]),"")</f>
        <v>Operativo</v>
      </c>
      <c r="W163" s="18" t="str">
        <f t="shared" si="18"/>
        <v>EN PROCESO</v>
      </c>
      <c r="X163" s="18">
        <f t="shared" si="19"/>
        <v>15715</v>
      </c>
      <c r="Y16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61822</v>
      </c>
      <c r="Z163" s="25">
        <f>IFERROR(IF(_xlfn.MINIFS(tblComprasPM[Fecha],tblComprasPM[Codigo],tblMaestroEquipos[[#This Row],[Codigo]])=0,"",_xlfn.MINIFS(tblComprasPM[Fecha],tblComprasPM[Codigo],tblMaestroEquipos[[#This Row],[Codigo]])),"")</f>
        <v>46118.408281215299</v>
      </c>
      <c r="AA163" s="25" t="str">
        <f>IFERROR(IF(_xlfn.MAXIFS(tblBodega[Fecha],tblBodega[Codigo],tblMaestroEquipos[[#This Row],[Codigo]])=0,"",_xlfn.MAXIFS(tblBodega[Fecha],tblBodega[Codigo],tblMaestroEquipos[[#This Row],[Codigo]])),"")</f>
        <v/>
      </c>
      <c r="AB16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21</v>
      </c>
      <c r="AC16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6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63" s="51" t="str">
        <f t="shared" si="17"/>
        <v>EN PROCESO</v>
      </c>
      <c r="AF163" s="18" t="str">
        <f t="shared" si="20"/>
        <v>SEGUIMIENTO</v>
      </c>
      <c r="AG163" s="18" t="str">
        <f t="shared" si="21"/>
        <v>Hacer seguimiento al taller y cerrar report</v>
      </c>
      <c r="AH163">
        <f t="shared" si="22"/>
        <v>0</v>
      </c>
      <c r="AI163" t="str">
        <f t="shared" si="23"/>
        <v/>
      </c>
      <c r="AJ163" s="24">
        <f t="shared" si="24"/>
        <v>2</v>
      </c>
    </row>
    <row r="164" spans="1:36" s="27" customFormat="1">
      <c r="A164" s="18" t="s">
        <v>171</v>
      </c>
      <c r="B164" s="18" t="s">
        <v>20</v>
      </c>
      <c r="C164" s="18" t="s">
        <v>1069</v>
      </c>
      <c r="D164" s="18" t="s">
        <v>21</v>
      </c>
      <c r="E164" s="19" t="s">
        <v>87</v>
      </c>
      <c r="F164" s="18">
        <v>2020</v>
      </c>
      <c r="G164" s="18" t="str" cm="1">
        <f t="array" ref="G164">IFERROR(INDEX(Lecturas!$E$4:$E$3549,MATCH(1,(Lecturas!$B$4:$B$3549=$A164)*(Lecturas!$E$4:$E$3549&lt;&gt;"")*(Lecturas!$A$4:$A$3549=_xlfn.MAXIFS(Lecturas!$A$4:$A$3549,Lecturas!$B$4:$B$3549,$A164,Lecturas!$E$4:$E$3549,"&lt;&gt;")),0)),"")</f>
        <v>Quirihue</v>
      </c>
      <c r="H164" s="18" t="s">
        <v>172</v>
      </c>
      <c r="I164" s="18" t="s">
        <v>18</v>
      </c>
      <c r="J164" s="18">
        <v>250</v>
      </c>
      <c r="K164" s="18">
        <f>IFERROR(IF($I164="KM",ROUND((_xlfn.MAXIFS(tblLecturas[Kilometraje],tblLecturas[Codigo],$A164)-_xlfn.MINIFS(tblLecturas[Kilometraje],tblLecturas[Codigo],$A164))/(MAX(1,_xlfn.MAXIFS(tblLecturas[Fecha],tblLecturas[Codigo],$A164)-_xlfn.MINIFS(tblLecturas[Fecha],tblLecturas[Codigo],$A164))),1),ROUND((_xlfn.MAXIFS(tblLecturas[Horometro],tblLecturas[Codigo],$A164)-_xlfn.MINIFS(tblLecturas[Horometro],tblLecturas[Codigo],$A164))/(MAX(1,_xlfn.MAXIFS(tblLecturas[Fecha],tblLecturas[Codigo],$A164)-_xlfn.MINIFS(tblLecturas[Fecha],tblLecturas[Codigo],$A164))),1)),"")</f>
        <v>1.2</v>
      </c>
      <c r="L164" s="20">
        <f>IFERROR(_xlfn.MAXIFS(tblLecturas[Fecha],tblLecturas[Codigo],$A164),"")</f>
        <v>46133</v>
      </c>
      <c r="M164" s="26">
        <f>IFERROR(_xlfn.MAXIFS(Lecturas!$C:$C,Lecturas!$B:$B,$A164,Lecturas!$C:$C,"&gt;0"),"")</f>
        <v>3508</v>
      </c>
      <c r="N164" s="78">
        <f>IFERROR(_xlfn.MAXIFS(tblLecturas[Kilometraje],tblLecturas[Codigo],$A164,tblLecturas[Kilometraje],"&gt;0"),"")</f>
        <v>219496</v>
      </c>
      <c r="O164" s="78" cm="1">
        <f t="array" ref="O164">IFERROR(IF($I164="KM",LOOKUP(2,1/(Lecturas!$B:$B=$A164)/(Lecturas!$D:$D&gt;0),Lecturas!$D:$D),LOOKUP(2,1/(Lecturas!$B:$B=$A164)/(Lecturas!$C:$C&gt;0),Lecturas!$C:$C)),"")</f>
        <v>1990</v>
      </c>
      <c r="P164" s="20">
        <f>IFERROR(_xlfn.MAXIFS(tblMantenciones[Fecha],tblMantenciones[Codigo],tblMaestroEquipos[[#This Row],[Codigo]],tblMantenciones[EsPM],"Sí"),"")</f>
        <v>46083</v>
      </c>
      <c r="Q164" s="78">
        <f>IF(_xlfn.MAXIFS(Mantenciones!$D:$D,Mantenciones!$B:$B,A164)=0,"Sin datos de mantención registrado",_xlfn.MAXIFS(Mantenciones!$D:$D,Mantenciones!$B:$B,A164))</f>
        <v>1978</v>
      </c>
      <c r="R164" s="18">
        <f>IFERROR(IF(_xlfn.MAXIFS(Mantenciones!$D:$D,Mantenciones!$B:$B,$A164,Mantenciones!$E:$E,"Sí",Mantenciones!$D:$D,"&gt;0")=0,"Sin datos de mantención registrado",_xlfn.MAXIFS(Mantenciones!$D:$D,Mantenciones!$B:$B,$A164,Mantenciones!$E:$E,"Sí",Mantenciones!$D:$D,"&gt;0")),"Sin datos de mantención registrado")</f>
        <v>1978</v>
      </c>
      <c r="S164" s="21">
        <f>IFERROR(SUMIFS(tblMantenciones[Costo Mantencion CLP],tblMantenciones[Codigo],A164),0)</f>
        <v>0</v>
      </c>
      <c r="T164" s="21">
        <f>IFERROR(SUMIFS(tblComprasPM[Costo PM CLP],tblComprasPM[Codigo],tblMaestroEquipos[[#This Row],[Codigo]]),0)</f>
        <v>465747.19589999999</v>
      </c>
      <c r="U164" s="21">
        <f>IFERROR(tblMaestroEquipos[[#This Row],[Costo Mantenciones CLP]]+tblMaestroEquipos[[#This Row],[Costo Compras PM CLP]],0)</f>
        <v>465747.19589999999</v>
      </c>
      <c r="V164" s="18" t="str">
        <f>IFERROR(_xlfn.XLOOKUP(tblMaestroEquipos[[#This Row],[Codigo]],tblEquipos[Codigo],tblEquipos[Estado Base]),"")</f>
        <v>Operativo</v>
      </c>
      <c r="W164" s="18" t="str">
        <f t="shared" si="18"/>
        <v>POR RECIBIR</v>
      </c>
      <c r="X164" s="18">
        <f t="shared" si="19"/>
        <v>238</v>
      </c>
      <c r="Y164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46371</v>
      </c>
      <c r="Z164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164" s="25">
        <f>IFERROR(IF(_xlfn.MAXIFS(tblBodega[Fecha],tblBodega[Codigo],tblMaestroEquipos[[#This Row],[Codigo]])=0,"",_xlfn.MAXIFS(tblBodega[Fecha],tblBodega[Codigo],tblMaestroEquipos[[#This Row],[Codigo]])),"")</f>
        <v>46086</v>
      </c>
      <c r="AB164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14</v>
      </c>
      <c r="AC16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6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64" s="51" t="str">
        <f t="shared" si="17"/>
        <v>OPERATIVO</v>
      </c>
      <c r="AF164" s="18" t="str">
        <f t="shared" si="20"/>
        <v>BAJA</v>
      </c>
      <c r="AG164" s="18" t="str">
        <f t="shared" si="21"/>
        <v>Monitorear próximo vencimiento</v>
      </c>
      <c r="AH164">
        <f t="shared" si="22"/>
        <v>0</v>
      </c>
      <c r="AI164" t="str">
        <f t="shared" si="23"/>
        <v/>
      </c>
      <c r="AJ164" s="24">
        <f t="shared" si="24"/>
        <v>3</v>
      </c>
    </row>
    <row r="165" spans="1:36" s="27" customFormat="1">
      <c r="A165" s="18" t="s">
        <v>378</v>
      </c>
      <c r="B165" s="18" t="s">
        <v>269</v>
      </c>
      <c r="C165" s="18" t="s">
        <v>1070</v>
      </c>
      <c r="D165" s="18" t="s">
        <v>270</v>
      </c>
      <c r="E165" s="19" t="s">
        <v>271</v>
      </c>
      <c r="F165" s="18">
        <v>2008</v>
      </c>
      <c r="G165" s="18" t="str" cm="1">
        <f t="array" ref="G165">IFERROR(INDEX(Lecturas!$E$4:$E$3549,MATCH(1,(Lecturas!$B$4:$B$3549=$A165)*(Lecturas!$E$4:$E$3549&lt;&gt;"")*(Lecturas!$A$4:$A$3549=_xlfn.MAXIFS(Lecturas!$A$4:$A$3549,Lecturas!$B$4:$B$3549,$A165,Lecturas!$E$4:$E$3549,"&lt;&gt;")),0)),"")</f>
        <v>Palmucho</v>
      </c>
      <c r="H165" s="18" t="s">
        <v>57</v>
      </c>
      <c r="I165" s="18" t="s">
        <v>18</v>
      </c>
      <c r="J165" s="18">
        <v>250</v>
      </c>
      <c r="K165" s="18">
        <f>IFERROR(IF($I165="KM",ROUND((_xlfn.MAXIFS(tblLecturas[Kilometraje],tblLecturas[Codigo],$A165)-_xlfn.MINIFS(tblLecturas[Kilometraje],tblLecturas[Codigo],$A165))/(MAX(1,_xlfn.MAXIFS(tblLecturas[Fecha],tblLecturas[Codigo],$A165)-_xlfn.MINIFS(tblLecturas[Fecha],tblLecturas[Codigo],$A165))),1),ROUND((_xlfn.MAXIFS(tblLecturas[Horometro],tblLecturas[Codigo],$A165)-_xlfn.MINIFS(tblLecturas[Horometro],tblLecturas[Codigo],$A165))/(MAX(1,_xlfn.MAXIFS(tblLecturas[Fecha],tblLecturas[Codigo],$A165)-_xlfn.MINIFS(tblLecturas[Fecha],tblLecturas[Codigo],$A165))),1)),"")</f>
        <v>1.7</v>
      </c>
      <c r="L165" s="20">
        <f>IFERROR(_xlfn.MAXIFS(tblLecturas[Fecha],tblLecturas[Codigo],$A165),"")</f>
        <v>46107</v>
      </c>
      <c r="M165" s="26">
        <f>IFERROR(_xlfn.MAXIFS(Lecturas!$C:$C,Lecturas!$B:$B,$A165,Lecturas!$C:$C,"&gt;0"),"")</f>
        <v>3774</v>
      </c>
      <c r="N165" s="78">
        <f>IFERROR(_xlfn.MAXIFS(tblLecturas[Kilometraje],tblLecturas[Codigo],$A165,tblLecturas[Kilometraje],"&gt;0"),"")</f>
        <v>3631</v>
      </c>
      <c r="O165" s="78" cm="1">
        <f t="array" ref="O165">IFERROR(IF($I165="KM",LOOKUP(2,1/(Lecturas!$B:$B=$A165)/(Lecturas!$D:$D&gt;0),Lecturas!$D:$D),LOOKUP(2,1/(Lecturas!$B:$B=$A165)/(Lecturas!$C:$C&gt;0),Lecturas!$C:$C)),"")</f>
        <v>1786</v>
      </c>
      <c r="P165" s="20">
        <f>IFERROR(_xlfn.MAXIFS(tblMantenciones[Fecha],tblMantenciones[Codigo],tblMaestroEquipos[[#This Row],[Codigo]],tblMantenciones[EsPM],"Sí"),"")</f>
        <v>46092</v>
      </c>
      <c r="Q165" s="78">
        <f>IF(_xlfn.MAXIFS(Mantenciones!$D:$D,Mantenciones!$B:$B,A165)=0,"Sin datos de mantención registrado",_xlfn.MAXIFS(Mantenciones!$D:$D,Mantenciones!$B:$B,A165))</f>
        <v>3745</v>
      </c>
      <c r="R165" s="18">
        <f>IFERROR(IF(_xlfn.MAXIFS(Mantenciones!$D:$D,Mantenciones!$B:$B,$A165,Mantenciones!$E:$E,"Sí",Mantenciones!$D:$D,"&gt;0")=0,"Sin datos de mantención registrado",_xlfn.MAXIFS(Mantenciones!$D:$D,Mantenciones!$B:$B,$A165,Mantenciones!$E:$E,"Sí",Mantenciones!$D:$D,"&gt;0")),"Sin datos de mantención registrado")</f>
        <v>3745</v>
      </c>
      <c r="S165" s="21">
        <f>IFERROR(SUMIFS(tblMantenciones[Costo Mantencion CLP],tblMantenciones[Codigo],A165),0)</f>
        <v>177476</v>
      </c>
      <c r="T165" s="21">
        <f>IFERROR(SUMIFS(tblComprasPM[Costo PM CLP],tblComprasPM[Codigo],tblMaestroEquipos[[#This Row],[Codigo]]),0)</f>
        <v>0</v>
      </c>
      <c r="U165" s="21">
        <f>IFERROR(tblMaestroEquipos[[#This Row],[Costo Mantenciones CLP]]+tblMaestroEquipos[[#This Row],[Costo Compras PM CLP]],0)</f>
        <v>177476</v>
      </c>
      <c r="V165" s="18" t="str">
        <f>IFERROR(_xlfn.XLOOKUP(tblMaestroEquipos[[#This Row],[Codigo]],tblEquipos[Codigo],tblEquipos[Estado Base]),"")</f>
        <v>Operativo</v>
      </c>
      <c r="W165" s="18" t="str">
        <f t="shared" si="18"/>
        <v>POR RECIBIR</v>
      </c>
      <c r="X165" s="18">
        <f t="shared" si="19"/>
        <v>2209</v>
      </c>
      <c r="Y16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48316</v>
      </c>
      <c r="Z16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65" s="25">
        <f>IFERROR(IF(_xlfn.MAXIFS(tblBodega[Fecha],tblBodega[Codigo],tblMaestroEquipos[[#This Row],[Codigo]])=0,"",_xlfn.MAXIFS(tblBodega[Fecha],tblBodega[Codigo],tblMaestroEquipos[[#This Row],[Codigo]])),"")</f>
        <v>46097</v>
      </c>
      <c r="AB16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6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6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65" s="51" t="str">
        <f t="shared" si="17"/>
        <v>OPERATIVO</v>
      </c>
      <c r="AF165" s="18" t="str">
        <f t="shared" si="20"/>
        <v>BAJA</v>
      </c>
      <c r="AG165" s="18" t="str">
        <f t="shared" si="21"/>
        <v>Monitorear próximo vencimiento</v>
      </c>
      <c r="AH165">
        <f t="shared" si="22"/>
        <v>0</v>
      </c>
      <c r="AI165" t="str">
        <f t="shared" si="23"/>
        <v/>
      </c>
      <c r="AJ165" s="24">
        <f t="shared" si="24"/>
        <v>3</v>
      </c>
    </row>
    <row r="166" spans="1:36">
      <c r="A166" s="18" t="s">
        <v>490</v>
      </c>
      <c r="B166" s="18" t="s">
        <v>459</v>
      </c>
      <c r="C166" s="18" t="s">
        <v>1074</v>
      </c>
      <c r="D166" s="18" t="s">
        <v>466</v>
      </c>
      <c r="E166" s="19" t="s">
        <v>491</v>
      </c>
      <c r="F166" s="18">
        <v>2024</v>
      </c>
      <c r="G166" s="18" t="str" cm="1">
        <f t="array" ref="G166">IFERROR(INDEX(Lecturas!$E$4:$E$3549,MATCH(1,(Lecturas!$B$4:$B$3549=$A166)*(Lecturas!$E$4:$E$3549&lt;&gt;"")*(Lecturas!$A$4:$A$3549=_xlfn.MAXIFS(Lecturas!$A$4:$A$3549,Lecturas!$B$4:$B$3549,$A166,Lecturas!$E$4:$E$3549,"&lt;&gt;")),0)),"")</f>
        <v/>
      </c>
      <c r="H166" s="18" t="s">
        <v>492</v>
      </c>
      <c r="I166" s="18" t="s">
        <v>462</v>
      </c>
      <c r="J166" s="18">
        <v>15000</v>
      </c>
      <c r="K166" s="18">
        <f>IFERROR(IF($I166="KM",ROUND((_xlfn.MAXIFS(tblLecturas[Kilometraje],tblLecturas[Codigo],$A166)-_xlfn.MINIFS(tblLecturas[Kilometraje],tblLecturas[Codigo],$A166))/(MAX(1,_xlfn.MAXIFS(tblLecturas[Fecha],tblLecturas[Codigo],$A166)-_xlfn.MINIFS(tblLecturas[Fecha],tblLecturas[Codigo],$A166))),1),ROUND((_xlfn.MAXIFS(tblLecturas[Horometro],tblLecturas[Codigo],$A166)-_xlfn.MINIFS(tblLecturas[Horometro],tblLecturas[Codigo],$A166))/(MAX(1,_xlfn.MAXIFS(tblLecturas[Fecha],tblLecturas[Codigo],$A166)-_xlfn.MINIFS(tblLecturas[Fecha],tblLecturas[Codigo],$A166))),1)),"")</f>
        <v>433.8</v>
      </c>
      <c r="L166" s="20">
        <f>IFERROR(_xlfn.MAXIFS(tblLecturas[Fecha],tblLecturas[Codigo],$A166),"")</f>
        <v>46133</v>
      </c>
      <c r="M166" s="26">
        <f>IFERROR(_xlfn.MAXIFS(Lecturas!$C:$C,Lecturas!$B:$B,$A166,Lecturas!$C:$C,"&gt;0"),"")</f>
        <v>0</v>
      </c>
      <c r="N166" s="78">
        <f>IFERROR(_xlfn.MAXIFS(tblLecturas[Kilometraje],tblLecturas[Codigo],$A166,tblLecturas[Kilometraje],"&gt;0"),"")</f>
        <v>98245</v>
      </c>
      <c r="O166" s="78" cm="1">
        <f t="array" ref="O166">IFERROR(IF($I166="KM",LOOKUP(2,1/(Lecturas!$B:$B=$A166)/(Lecturas!$D:$D&gt;0),Lecturas!$D:$D),LOOKUP(2,1/(Lecturas!$B:$B=$A166)/(Lecturas!$C:$C&gt;0),Lecturas!$C:$C)),"")</f>
        <v>98245</v>
      </c>
      <c r="P166" s="20">
        <f>IFERROR(_xlfn.MAXIFS(tblMantenciones[Fecha],tblMantenciones[Codigo],tblMaestroEquipos[[#This Row],[Codigo]],tblMantenciones[EsPM],"Sí"),"")</f>
        <v>46099</v>
      </c>
      <c r="Q166" s="78">
        <f>IF(_xlfn.MAXIFS(Mantenciones!$D:$D,Mantenciones!$B:$B,A166)=0,"Sin datos de mantención registrado",_xlfn.MAXIFS(Mantenciones!$D:$D,Mantenciones!$B:$B,A166))</f>
        <v>90000</v>
      </c>
      <c r="R166" s="18">
        <f>IFERROR(IF(_xlfn.MAXIFS(Mantenciones!$D:$D,Mantenciones!$B:$B,$A166,Mantenciones!$E:$E,"Sí",Mantenciones!$D:$D,"&gt;0")=0,"Sin datos de mantención registrado",_xlfn.MAXIFS(Mantenciones!$D:$D,Mantenciones!$B:$B,$A166,Mantenciones!$E:$E,"Sí",Mantenciones!$D:$D,"&gt;0")),"Sin datos de mantención registrado")</f>
        <v>90000</v>
      </c>
      <c r="S166" s="21">
        <f>IFERROR(SUMIFS(tblMantenciones[Costo Mantencion CLP],tblMantenciones[Codigo],A166),0)</f>
        <v>0</v>
      </c>
      <c r="T166" s="21">
        <f>IFERROR(SUMIFS(tblComprasPM[Costo PM CLP],tblComprasPM[Codigo],tblMaestroEquipos[[#This Row],[Codigo]]),0)</f>
        <v>0</v>
      </c>
      <c r="U166" s="21">
        <f>IFERROR(tblMaestroEquipos[[#This Row],[Costo Mantenciones CLP]]+tblMaestroEquipos[[#This Row],[Costo Compras PM CLP]],0)</f>
        <v>0</v>
      </c>
      <c r="V166" s="18" t="str">
        <f>IFERROR(_xlfn.XLOOKUP(tblMaestroEquipos[[#This Row],[Codigo]],tblEquipos[Codigo],tblEquipos[Estado Base]),"")</f>
        <v>Operativo</v>
      </c>
      <c r="W166" s="18" t="str">
        <f t="shared" si="18"/>
        <v>AL DÍA</v>
      </c>
      <c r="X166" s="18">
        <f t="shared" si="19"/>
        <v>6755</v>
      </c>
      <c r="Y166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52888</v>
      </c>
      <c r="Z16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66" s="25" t="str">
        <f>IFERROR(IF(_xlfn.MAXIFS(tblBodega[Fecha],tblBodega[Codigo],tblMaestroEquipos[[#This Row],[Codigo]])=0,"",_xlfn.MAXIFS(tblBodega[Fecha],tblBodega[Codigo],tblMaestroEquipos[[#This Row],[Codigo]])),"")</f>
        <v/>
      </c>
      <c r="AB16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6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6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66" s="51" t="str">
        <f t="shared" si="17"/>
        <v>OPERATIVO</v>
      </c>
      <c r="AF166" s="18" t="str">
        <f t="shared" si="20"/>
        <v>BAJA</v>
      </c>
      <c r="AG166" s="18" t="str">
        <f t="shared" si="21"/>
        <v>Monitorear próximo vencimiento</v>
      </c>
      <c r="AH166">
        <f t="shared" si="22"/>
        <v>0</v>
      </c>
      <c r="AI166" t="str">
        <f t="shared" si="23"/>
        <v/>
      </c>
      <c r="AJ166" s="24">
        <f t="shared" si="24"/>
        <v>99</v>
      </c>
    </row>
    <row r="167" spans="1:36">
      <c r="A167" s="18" t="s">
        <v>379</v>
      </c>
      <c r="B167" s="18" t="s">
        <v>269</v>
      </c>
      <c r="C167" s="18" t="s">
        <v>1070</v>
      </c>
      <c r="D167" s="18" t="s">
        <v>270</v>
      </c>
      <c r="E167" s="19" t="s">
        <v>380</v>
      </c>
      <c r="F167" s="18">
        <v>2012</v>
      </c>
      <c r="G167" s="18" t="str" cm="1">
        <f t="array" ref="G167">IFERROR(INDEX(Lecturas!$E$4:$E$3549,MATCH(1,(Lecturas!$B$4:$B$3549=$A167)*(Lecturas!$E$4:$E$3549&lt;&gt;"")*(Lecturas!$A$4:$A$3549=_xlfn.MAXIFS(Lecturas!$A$4:$A$3549,Lecturas!$B$4:$B$3549,$A167,Lecturas!$E$4:$E$3549,"&lt;&gt;")),0)),"")</f>
        <v>Ninhue</v>
      </c>
      <c r="H167" s="18" t="s">
        <v>1092</v>
      </c>
      <c r="I167" s="18" t="s">
        <v>18</v>
      </c>
      <c r="J167" s="18">
        <v>250</v>
      </c>
      <c r="K167" s="18">
        <f>IFERROR(IF($I167="KM",ROUND((_xlfn.MAXIFS(tblLecturas[Kilometraje],tblLecturas[Codigo],$A167)-_xlfn.MINIFS(tblLecturas[Kilometraje],tblLecturas[Codigo],$A167))/(MAX(1,_xlfn.MAXIFS(tblLecturas[Fecha],tblLecturas[Codigo],$A167)-_xlfn.MINIFS(tblLecturas[Fecha],tblLecturas[Codigo],$A167))),1),ROUND((_xlfn.MAXIFS(tblLecturas[Horometro],tblLecturas[Codigo],$A167)-_xlfn.MINIFS(tblLecturas[Horometro],tblLecturas[Codigo],$A167))/(MAX(1,_xlfn.MAXIFS(tblLecturas[Fecha],tblLecturas[Codigo],$A167)-_xlfn.MINIFS(tblLecturas[Fecha],tblLecturas[Codigo],$A167))),1)),"")</f>
        <v>8.9</v>
      </c>
      <c r="L167" s="20">
        <f>IFERROR(_xlfn.MAXIFS(tblLecturas[Fecha],tblLecturas[Codigo],$A167),"")</f>
        <v>46129</v>
      </c>
      <c r="M167" s="26">
        <f>IFERROR(_xlfn.MAXIFS(Lecturas!$C:$C,Lecturas!$B:$B,$A167,Lecturas!$C:$C,"&gt;0"),"")</f>
        <v>3578</v>
      </c>
      <c r="N167" s="78">
        <f>IFERROR(_xlfn.MAXIFS(tblLecturas[Kilometraje],tblLecturas[Codigo],$A167,tblLecturas[Kilometraje],"&gt;0"),"")</f>
        <v>0</v>
      </c>
      <c r="O167" s="78" cm="1">
        <f t="array" ref="O167">IFERROR(IF($I167="KM",LOOKUP(2,1/(Lecturas!$B:$B=$A167)/(Lecturas!$D:$D&gt;0),Lecturas!$D:$D),LOOKUP(2,1/(Lecturas!$B:$B=$A167)/(Lecturas!$C:$C&gt;0),Lecturas!$C:$C)),"")</f>
        <v>3578</v>
      </c>
      <c r="P167" s="20">
        <f>IFERROR(_xlfn.MAXIFS(tblMantenciones[Fecha],tblMantenciones[Codigo],tblMaestroEquipos[[#This Row],[Codigo]],tblMantenciones[EsPM],"Sí"),"")</f>
        <v>46057</v>
      </c>
      <c r="Q167" s="78">
        <f>IF(_xlfn.MAXIFS(Mantenciones!$D:$D,Mantenciones!$B:$B,A167)=0,"Sin datos de mantención registrado",_xlfn.MAXIFS(Mantenciones!$D:$D,Mantenciones!$B:$B,A167))</f>
        <v>3472</v>
      </c>
      <c r="R167" s="18">
        <f>IFERROR(IF(_xlfn.MAXIFS(Mantenciones!$D:$D,Mantenciones!$B:$B,$A167,Mantenciones!$E:$E,"Sí",Mantenciones!$D:$D,"&gt;0")=0,"Sin datos de mantención registrado",_xlfn.MAXIFS(Mantenciones!$D:$D,Mantenciones!$B:$B,$A167,Mantenciones!$E:$E,"Sí",Mantenciones!$D:$D,"&gt;0")),"Sin datos de mantención registrado")</f>
        <v>3472</v>
      </c>
      <c r="S167" s="21">
        <f>IFERROR(SUMIFS(tblMantenciones[Costo Mantencion CLP],tblMantenciones[Codigo],A167),0)</f>
        <v>177476</v>
      </c>
      <c r="T167" s="21">
        <f>IFERROR(SUMIFS(tblComprasPM[Costo PM CLP],tblComprasPM[Codigo],tblMaestroEquipos[[#This Row],[Codigo]]),0)</f>
        <v>0</v>
      </c>
      <c r="U167" s="21">
        <f>IFERROR(tblMaestroEquipos[[#This Row],[Costo Mantenciones CLP]]+tblMaestroEquipos[[#This Row],[Costo Compras PM CLP]],0)</f>
        <v>177476</v>
      </c>
      <c r="V167" s="18" t="str">
        <f>IFERROR(_xlfn.XLOOKUP(tblMaestroEquipos[[#This Row],[Codigo]],tblEquipos[Codigo],tblEquipos[Estado Base]),"")</f>
        <v>Operativo</v>
      </c>
      <c r="W167" s="18" t="str">
        <f t="shared" si="18"/>
        <v>POR RECIBIR</v>
      </c>
      <c r="X167" s="18">
        <f t="shared" si="19"/>
        <v>144</v>
      </c>
      <c r="Y167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46273</v>
      </c>
      <c r="Z16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67" s="25">
        <f>IFERROR(IF(_xlfn.MAXIFS(tblBodega[Fecha],tblBodega[Codigo],tblMaestroEquipos[[#This Row],[Codigo]])=0,"",_xlfn.MAXIFS(tblBodega[Fecha],tblBodega[Codigo],tblMaestroEquipos[[#This Row],[Codigo]])),"")</f>
        <v>46065</v>
      </c>
      <c r="AB16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67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6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67" s="51" t="str">
        <f t="shared" si="17"/>
        <v>OPERATIVO</v>
      </c>
      <c r="AF167" s="18" t="str">
        <f t="shared" si="20"/>
        <v>BAJA</v>
      </c>
      <c r="AG167" s="18" t="str">
        <f t="shared" si="21"/>
        <v>Monitorear próximo vencimiento</v>
      </c>
      <c r="AH167">
        <f t="shared" si="22"/>
        <v>0</v>
      </c>
      <c r="AI167" t="str">
        <f t="shared" si="23"/>
        <v/>
      </c>
      <c r="AJ167" s="24">
        <f t="shared" si="24"/>
        <v>3</v>
      </c>
    </row>
    <row r="168" spans="1:36">
      <c r="A168" s="18" t="s">
        <v>456</v>
      </c>
      <c r="B168" s="18" t="s">
        <v>259</v>
      </c>
      <c r="C168" s="18" t="s">
        <v>1070</v>
      </c>
      <c r="D168" s="18" t="s">
        <v>260</v>
      </c>
      <c r="E168" s="19" t="s">
        <v>261</v>
      </c>
      <c r="F168" s="18">
        <v>2024</v>
      </c>
      <c r="G168" s="18" t="str" cm="1">
        <f t="array" ref="G168">IFERROR(INDEX(Lecturas!$E$4:$E$3549,MATCH(1,(Lecturas!$B$4:$B$3549=$A168)*(Lecturas!$E$4:$E$3549&lt;&gt;"")*(Lecturas!$A$4:$A$3549=_xlfn.MAXIFS(Lecturas!$A$4:$A$3549,Lecturas!$B$4:$B$3549,$A168,Lecturas!$E$4:$E$3549,"&lt;&gt;")),0)),"")</f>
        <v/>
      </c>
      <c r="H168" s="18" t="s">
        <v>457</v>
      </c>
      <c r="I168" s="18" t="s">
        <v>18</v>
      </c>
      <c r="J168" s="18">
        <v>250</v>
      </c>
      <c r="K168" s="18">
        <f>IFERROR(IF($I168="KM",ROUND((_xlfn.MAXIFS(tblLecturas[Kilometraje],tblLecturas[Codigo],$A168)-_xlfn.MINIFS(tblLecturas[Kilometraje],tblLecturas[Codigo],$A168))/(MAX(1,_xlfn.MAXIFS(tblLecturas[Fecha],tblLecturas[Codigo],$A168)-_xlfn.MINIFS(tblLecturas[Fecha],tblLecturas[Codigo],$A168))),1),ROUND((_xlfn.MAXIFS(tblLecturas[Horometro],tblLecturas[Codigo],$A168)-_xlfn.MINIFS(tblLecturas[Horometro],tblLecturas[Codigo],$A168))/(MAX(1,_xlfn.MAXIFS(tblLecturas[Fecha],tblLecturas[Codigo],$A168)-_xlfn.MINIFS(tblLecturas[Fecha],tblLecturas[Codigo],$A168))),1)),"")</f>
        <v>5.8</v>
      </c>
      <c r="L168" s="20">
        <f>IFERROR(_xlfn.MAXIFS(tblLecturas[Fecha],tblLecturas[Codigo],$A168),"")</f>
        <v>46107</v>
      </c>
      <c r="M168" s="26">
        <f>IFERROR(_xlfn.MAXIFS(Lecturas!$C:$C,Lecturas!$B:$B,$A168,Lecturas!$C:$C,"&gt;0"),"")</f>
        <v>2441</v>
      </c>
      <c r="N168" s="78">
        <f>IFERROR(_xlfn.MAXIFS(tblLecturas[Kilometraje],tblLecturas[Codigo],$A168,tblLecturas[Kilometraje],"&gt;0"),"")</f>
        <v>0</v>
      </c>
      <c r="O168" s="78" cm="1">
        <f t="array" ref="O168">IFERROR(IF($I168="KM",LOOKUP(2,1/(Lecturas!$B:$B=$A168)/(Lecturas!$D:$D&gt;0),Lecturas!$D:$D),LOOKUP(2,1/(Lecturas!$B:$B=$A168)/(Lecturas!$C:$C&gt;0),Lecturas!$C:$C)),"")</f>
        <v>2285</v>
      </c>
      <c r="P168" s="20">
        <f>IFERROR(_xlfn.MAXIFS(tblMantenciones[Fecha],tblMantenciones[Codigo],tblMaestroEquipos[[#This Row],[Codigo]],tblMantenciones[EsPM],"Sí"),"")</f>
        <v>46106</v>
      </c>
      <c r="Q168" s="78">
        <f>IF(_xlfn.MAXIFS(Mantenciones!$D:$D,Mantenciones!$B:$B,A168)=0,"Sin datos de mantención registrado",_xlfn.MAXIFS(Mantenciones!$D:$D,Mantenciones!$B:$B,A168))</f>
        <v>2277</v>
      </c>
      <c r="R168" s="18">
        <f>IFERROR(IF(_xlfn.MAXIFS(Mantenciones!$D:$D,Mantenciones!$B:$B,$A168,Mantenciones!$E:$E,"Sí",Mantenciones!$D:$D,"&gt;0")=0,"Sin datos de mantención registrado",_xlfn.MAXIFS(Mantenciones!$D:$D,Mantenciones!$B:$B,$A168,Mantenciones!$E:$E,"Sí",Mantenciones!$D:$D,"&gt;0")),"Sin datos de mantención registrado")</f>
        <v>2277</v>
      </c>
      <c r="S168" s="21">
        <f>IFERROR(SUMIFS(tblMantenciones[Costo Mantencion CLP],tblMantenciones[Codigo],A168),0)</f>
        <v>0</v>
      </c>
      <c r="T168" s="21">
        <f>IFERROR(SUMIFS(tblComprasPM[Costo PM CLP],tblComprasPM[Codigo],tblMaestroEquipos[[#This Row],[Codigo]]),0)</f>
        <v>0</v>
      </c>
      <c r="U168" s="21">
        <f>IFERROR(tblMaestroEquipos[[#This Row],[Costo Mantenciones CLP]]+tblMaestroEquipos[[#This Row],[Costo Compras PM CLP]],0)</f>
        <v>0</v>
      </c>
      <c r="V168" s="18" t="str">
        <f>IFERROR(_xlfn.XLOOKUP(tblMaestroEquipos[[#This Row],[Codigo]],tblEquipos[Codigo],tblEquipos[Estado Base]),"")</f>
        <v>Operativo</v>
      </c>
      <c r="W168" s="18" t="str">
        <f t="shared" si="18"/>
        <v>AL DÍA</v>
      </c>
      <c r="X168" s="18">
        <f t="shared" si="19"/>
        <v>242</v>
      </c>
      <c r="Y168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46349</v>
      </c>
      <c r="Z168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68" s="25" t="str">
        <f>IFERROR(IF(_xlfn.MAXIFS(tblBodega[Fecha],tblBodega[Codigo],tblMaestroEquipos[[#This Row],[Codigo]])=0,"",_xlfn.MAXIFS(tblBodega[Fecha],tblBodega[Codigo],tblMaestroEquipos[[#This Row],[Codigo]])),"")</f>
        <v/>
      </c>
      <c r="AB168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6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6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68" s="51" t="str">
        <f t="shared" si="17"/>
        <v>OPERATIVO</v>
      </c>
      <c r="AF168" s="18" t="str">
        <f t="shared" si="20"/>
        <v>BAJA</v>
      </c>
      <c r="AG168" s="18" t="str">
        <f t="shared" si="21"/>
        <v>Monitorear próximo vencimiento</v>
      </c>
      <c r="AH168">
        <f t="shared" si="22"/>
        <v>0</v>
      </c>
      <c r="AI168" t="str">
        <f t="shared" si="23"/>
        <v/>
      </c>
      <c r="AJ168" s="24">
        <f t="shared" si="24"/>
        <v>99</v>
      </c>
    </row>
    <row r="169" spans="1:36" s="27" customFormat="1">
      <c r="A169" s="18" t="s">
        <v>430</v>
      </c>
      <c r="B169" s="18" t="s">
        <v>259</v>
      </c>
      <c r="C169" s="18" t="s">
        <v>1070</v>
      </c>
      <c r="D169" s="18" t="s">
        <v>421</v>
      </c>
      <c r="E169" s="19" t="s">
        <v>1088</v>
      </c>
      <c r="F169" s="18">
        <v>2019</v>
      </c>
      <c r="G169" s="18" t="str" cm="1">
        <f t="array" ref="G169">IFERROR(INDEX(Lecturas!$E$4:$E$3549,MATCH(1,(Lecturas!$B$4:$B$3549=$A169)*(Lecturas!$E$4:$E$3549&lt;&gt;"")*(Lecturas!$A$4:$A$3549=_xlfn.MAXIFS(Lecturas!$A$4:$A$3549,Lecturas!$B$4:$B$3549,$A169,Lecturas!$E$4:$E$3549,"&lt;&gt;")),0)),"")</f>
        <v>Curicó</v>
      </c>
      <c r="H169" s="18" t="s">
        <v>309</v>
      </c>
      <c r="I169" s="18" t="s">
        <v>18</v>
      </c>
      <c r="J169" s="18">
        <v>250</v>
      </c>
      <c r="K169" s="18">
        <f>IFERROR(IF($I169="KM",ROUND((_xlfn.MAXIFS(tblLecturas[Kilometraje],tblLecturas[Codigo],$A169)-_xlfn.MINIFS(tblLecturas[Kilometraje],tblLecturas[Codigo],$A169))/(MAX(1,_xlfn.MAXIFS(tblLecturas[Fecha],tblLecturas[Codigo],$A169)-_xlfn.MINIFS(tblLecturas[Fecha],tblLecturas[Codigo],$A169))),1),ROUND((_xlfn.MAXIFS(tblLecturas[Horometro],tblLecturas[Codigo],$A169)-_xlfn.MINIFS(tblLecturas[Horometro],tblLecturas[Codigo],$A169))/(MAX(1,_xlfn.MAXIFS(tblLecturas[Fecha],tblLecturas[Codigo],$A169)-_xlfn.MINIFS(tblLecturas[Fecha],tblLecturas[Codigo],$A169))),1)),"")</f>
        <v>1.7</v>
      </c>
      <c r="L169" s="20">
        <f>IFERROR(_xlfn.MAXIFS(tblLecturas[Fecha],tblLecturas[Codigo],$A169),"")</f>
        <v>46113</v>
      </c>
      <c r="M169" s="26">
        <f>IFERROR(_xlfn.MAXIFS(Lecturas!$C:$C,Lecturas!$B:$B,$A169,Lecturas!$C:$C,"&gt;0"),"")</f>
        <v>6553</v>
      </c>
      <c r="N169" s="78">
        <f>IFERROR(_xlfn.MAXIFS(tblLecturas[Kilometraje],tblLecturas[Codigo],$A169,tblLecturas[Kilometraje],"&gt;0"),"")</f>
        <v>0</v>
      </c>
      <c r="O169" s="78" cm="1">
        <f t="array" ref="O169">IFERROR(IF($I169="KM",LOOKUP(2,1/(Lecturas!$B:$B=$A169)/(Lecturas!$D:$D&gt;0),Lecturas!$D:$D),LOOKUP(2,1/(Lecturas!$B:$B=$A169)/(Lecturas!$C:$C&gt;0),Lecturas!$C:$C)),"")</f>
        <v>6553</v>
      </c>
      <c r="P169" s="20">
        <f>IFERROR(_xlfn.MAXIFS(tblMantenciones[Fecha],tblMantenciones[Codigo],tblMaestroEquipos[[#This Row],[Codigo]],tblMantenciones[EsPM],"Sí"),"")</f>
        <v>45985</v>
      </c>
      <c r="Q169" s="78">
        <f>IF(_xlfn.MAXIFS(Mantenciones!$D:$D,Mantenciones!$B:$B,A169)=0,"Sin datos de mantención registrado",_xlfn.MAXIFS(Mantenciones!$D:$D,Mantenciones!$B:$B,A169))</f>
        <v>6327</v>
      </c>
      <c r="R169" s="18">
        <f>IFERROR(IF(_xlfn.MAXIFS(Mantenciones!$D:$D,Mantenciones!$B:$B,$A169,Mantenciones!$E:$E,"Sí",Mantenciones!$D:$D,"&gt;0")=0,"Sin datos de mantención registrado",_xlfn.MAXIFS(Mantenciones!$D:$D,Mantenciones!$B:$B,$A169,Mantenciones!$E:$E,"Sí",Mantenciones!$D:$D,"&gt;0")),"Sin datos de mantención registrado")</f>
        <v>6327</v>
      </c>
      <c r="S169" s="21">
        <f>IFERROR(SUMIFS(tblMantenciones[Costo Mantencion CLP],tblMantenciones[Codigo],A169),0)</f>
        <v>0</v>
      </c>
      <c r="T169" s="21">
        <f>IFERROR(SUMIFS(tblComprasPM[Costo PM CLP],tblComprasPM[Codigo],tblMaestroEquipos[[#This Row],[Codigo]]),0)</f>
        <v>0</v>
      </c>
      <c r="U169" s="21">
        <f>IFERROR(tblMaestroEquipos[[#This Row],[Costo Mantenciones CLP]]+tblMaestroEquipos[[#This Row],[Costo Compras PM CLP]],0)</f>
        <v>0</v>
      </c>
      <c r="V169" s="18" t="str">
        <f>IFERROR(_xlfn.XLOOKUP(tblMaestroEquipos[[#This Row],[Codigo]],tblEquipos[Codigo],tblEquipos[Estado Base]),"")</f>
        <v>Operativo</v>
      </c>
      <c r="W169" s="18" t="str">
        <f t="shared" si="18"/>
        <v>PRÓXIMA</v>
      </c>
      <c r="X169" s="18">
        <f t="shared" si="19"/>
        <v>24</v>
      </c>
      <c r="Y169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46137</v>
      </c>
      <c r="Z16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69" s="25" t="str">
        <f>IFERROR(IF(_xlfn.MAXIFS(tblBodega[Fecha],tblBodega[Codigo],tblMaestroEquipos[[#This Row],[Codigo]])=0,"",_xlfn.MAXIFS(tblBodega[Fecha],tblBodega[Codigo],tblMaestroEquipos[[#This Row],[Codigo]])),"")</f>
        <v/>
      </c>
      <c r="AB16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6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6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69" s="51" t="str">
        <f t="shared" si="17"/>
        <v>OPERATIVO</v>
      </c>
      <c r="AF169" s="18" t="str">
        <f t="shared" si="20"/>
        <v>BAJA</v>
      </c>
      <c r="AG169" s="18" t="str">
        <f t="shared" si="21"/>
        <v>Monitorear próximo vencimiento</v>
      </c>
      <c r="AH169">
        <f t="shared" si="22"/>
        <v>0</v>
      </c>
      <c r="AI169" t="str">
        <f t="shared" si="23"/>
        <v/>
      </c>
      <c r="AJ169" s="24">
        <f t="shared" si="24"/>
        <v>99</v>
      </c>
    </row>
    <row r="170" spans="1:36">
      <c r="A170" s="18" t="s">
        <v>175</v>
      </c>
      <c r="B170" s="18" t="s">
        <v>20</v>
      </c>
      <c r="C170" s="18" t="s">
        <v>1069</v>
      </c>
      <c r="D170" s="18" t="s">
        <v>21</v>
      </c>
      <c r="E170" s="19" t="s">
        <v>87</v>
      </c>
      <c r="F170" s="18">
        <v>2020</v>
      </c>
      <c r="G170" s="18" t="str" cm="1">
        <f t="array" ref="G170">IFERROR(INDEX(Lecturas!$E$4:$E$3549,MATCH(1,(Lecturas!$B$4:$B$3549=$A170)*(Lecturas!$E$4:$E$3549&lt;&gt;"")*(Lecturas!$A$4:$A$3549=_xlfn.MAXIFS(Lecturas!$A$4:$A$3549,Lecturas!$B$4:$B$3549,$A170,Lecturas!$E$4:$E$3549,"&lt;&gt;")),0)),"")</f>
        <v>Curicó</v>
      </c>
      <c r="H170" s="18" t="s">
        <v>1085</v>
      </c>
      <c r="I170" s="18" t="s">
        <v>18</v>
      </c>
      <c r="J170" s="18">
        <v>250</v>
      </c>
      <c r="K170" s="18">
        <f>IFERROR(IF($I170="KM",ROUND((_xlfn.MAXIFS(tblLecturas[Kilometraje],tblLecturas[Codigo],$A170)-_xlfn.MINIFS(tblLecturas[Kilometraje],tblLecturas[Codigo],$A170))/(MAX(1,_xlfn.MAXIFS(tblLecturas[Fecha],tblLecturas[Codigo],$A170)-_xlfn.MINIFS(tblLecturas[Fecha],tblLecturas[Codigo],$A170))),1),ROUND((_xlfn.MAXIFS(tblLecturas[Horometro],tblLecturas[Codigo],$A170)-_xlfn.MINIFS(tblLecturas[Horometro],tblLecturas[Codigo],$A170))/(MAX(1,_xlfn.MAXIFS(tblLecturas[Fecha],tblLecturas[Codigo],$A170)-_xlfn.MINIFS(tblLecturas[Fecha],tblLecturas[Codigo],$A170))),1)),"")</f>
        <v>3.8</v>
      </c>
      <c r="L170" s="20">
        <f>IFERROR(_xlfn.MAXIFS(tblLecturas[Fecha],tblLecturas[Codigo],$A170),"")</f>
        <v>46114</v>
      </c>
      <c r="M170" s="26">
        <f>IFERROR(_xlfn.MAXIFS(Lecturas!$C:$C,Lecturas!$B:$B,$A170,Lecturas!$C:$C,"&gt;0"),"")</f>
        <v>9364</v>
      </c>
      <c r="N170" s="78">
        <f>IFERROR(_xlfn.MAXIFS(tblLecturas[Kilometraje],tblLecturas[Codigo],$A170,tblLecturas[Kilometraje],"&gt;0"),"")</f>
        <v>212344</v>
      </c>
      <c r="O170" s="78" cm="1">
        <f t="array" ref="O170">IFERROR(IF($I170="KM",LOOKUP(2,1/(Lecturas!$B:$B=$A170)/(Lecturas!$D:$D&gt;0),Lecturas!$D:$D),LOOKUP(2,1/(Lecturas!$B:$B=$A170)/(Lecturas!$C:$C&gt;0),Lecturas!$C:$C)),"")</f>
        <v>5705</v>
      </c>
      <c r="P170" s="20">
        <f>IFERROR(_xlfn.MAXIFS(tblMantenciones[Fecha],tblMantenciones[Codigo],tblMaestroEquipos[[#This Row],[Codigo]],tblMantenciones[EsPM],"Sí"),"")</f>
        <v>46100</v>
      </c>
      <c r="Q170" s="78">
        <f>IF(_xlfn.MAXIFS(Mantenciones!$D:$D,Mantenciones!$B:$B,A170)=0,"Sin datos de mantención registrado",_xlfn.MAXIFS(Mantenciones!$D:$D,Mantenciones!$B:$B,A170))</f>
        <v>9317</v>
      </c>
      <c r="R170" s="18">
        <f>IFERROR(IF(_xlfn.MAXIFS(Mantenciones!$D:$D,Mantenciones!$B:$B,$A170,Mantenciones!$E:$E,"Sí",Mantenciones!$D:$D,"&gt;0")=0,"Sin datos de mantención registrado",_xlfn.MAXIFS(Mantenciones!$D:$D,Mantenciones!$B:$B,$A170,Mantenciones!$E:$E,"Sí",Mantenciones!$D:$D,"&gt;0")),"Sin datos de mantención registrado")</f>
        <v>9317</v>
      </c>
      <c r="S170" s="21">
        <f>IFERROR(SUMIFS(tblMantenciones[Costo Mantencion CLP],tblMantenciones[Codigo],A170),0)</f>
        <v>0</v>
      </c>
      <c r="T170" s="21">
        <f>IFERROR(SUMIFS(tblComprasPM[Costo PM CLP],tblComprasPM[Codigo],tblMaestroEquipos[[#This Row],[Codigo]]),0)</f>
        <v>63430.805899999999</v>
      </c>
      <c r="U170" s="21">
        <f>IFERROR(tblMaestroEquipos[[#This Row],[Costo Mantenciones CLP]]+tblMaestroEquipos[[#This Row],[Costo Compras PM CLP]],0)</f>
        <v>63430.805899999999</v>
      </c>
      <c r="V170" s="18" t="str">
        <f>IFERROR(_xlfn.XLOOKUP(tblMaestroEquipos[[#This Row],[Codigo]],tblEquipos[Codigo],tblEquipos[Estado Base]),"")</f>
        <v>Operativo</v>
      </c>
      <c r="W170" s="18" t="str">
        <f t="shared" si="18"/>
        <v>AL DÍA</v>
      </c>
      <c r="X170" s="18">
        <f t="shared" si="19"/>
        <v>3862</v>
      </c>
      <c r="Y170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49976</v>
      </c>
      <c r="Z170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170" s="25">
        <f>IFERROR(IF(_xlfn.MAXIFS(tblBodega[Fecha],tblBodega[Codigo],tblMaestroEquipos[[#This Row],[Codigo]])=0,"",_xlfn.MAXIFS(tblBodega[Fecha],tblBodega[Codigo],tblMaestroEquipos[[#This Row],[Codigo]])),"")</f>
        <v>46097</v>
      </c>
      <c r="AB170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31</v>
      </c>
      <c r="AC170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3</v>
      </c>
      <c r="AD17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70" s="51" t="str">
        <f t="shared" si="17"/>
        <v>OPERATIVO</v>
      </c>
      <c r="AF170" s="18" t="str">
        <f t="shared" si="20"/>
        <v>BAJA</v>
      </c>
      <c r="AG170" s="18" t="str">
        <f t="shared" si="21"/>
        <v>Monitorear próximo vencimiento</v>
      </c>
      <c r="AH170">
        <f t="shared" si="22"/>
        <v>0</v>
      </c>
      <c r="AI170" t="str">
        <f t="shared" si="23"/>
        <v/>
      </c>
      <c r="AJ170" s="24">
        <f t="shared" si="24"/>
        <v>99</v>
      </c>
    </row>
    <row r="171" spans="1:36">
      <c r="A171" s="18" t="s">
        <v>288</v>
      </c>
      <c r="B171" s="18" t="s">
        <v>279</v>
      </c>
      <c r="C171" s="18" t="s">
        <v>1070</v>
      </c>
      <c r="D171" s="18" t="s">
        <v>260</v>
      </c>
      <c r="E171" s="19" t="s">
        <v>289</v>
      </c>
      <c r="F171" s="18">
        <v>2024</v>
      </c>
      <c r="G171" s="18" t="str" cm="1">
        <f t="array" ref="G171">IFERROR(INDEX(Lecturas!$E$4:$E$3549,MATCH(1,(Lecturas!$B$4:$B$3549=$A171)*(Lecturas!$E$4:$E$3549&lt;&gt;"")*(Lecturas!$A$4:$A$3549=_xlfn.MAXIFS(Lecturas!$A$4:$A$3549,Lecturas!$B$4:$B$3549,$A171,Lecturas!$E$4:$E$3549,"&lt;&gt;")),0)),"")</f>
        <v/>
      </c>
      <c r="H171" s="18"/>
      <c r="I171" s="18" t="s">
        <v>18</v>
      </c>
      <c r="J171" s="18">
        <v>250</v>
      </c>
      <c r="K171" s="18">
        <f>IFERROR(IF($I171="KM",ROUND((_xlfn.MAXIFS(tblLecturas[Kilometraje],tblLecturas[Codigo],$A171)-_xlfn.MINIFS(tblLecturas[Kilometraje],tblLecturas[Codigo],$A171))/(MAX(1,_xlfn.MAXIFS(tblLecturas[Fecha],tblLecturas[Codigo],$A171)-_xlfn.MINIFS(tblLecturas[Fecha],tblLecturas[Codigo],$A171))),1),ROUND((_xlfn.MAXIFS(tblLecturas[Horometro],tblLecturas[Codigo],$A171)-_xlfn.MINIFS(tblLecturas[Horometro],tblLecturas[Codigo],$A171))/(MAX(1,_xlfn.MAXIFS(tblLecturas[Fecha],tblLecturas[Codigo],$A171)-_xlfn.MINIFS(tblLecturas[Fecha],tblLecturas[Codigo],$A171))),1)),"")</f>
        <v>6</v>
      </c>
      <c r="L171" s="20">
        <f>IFERROR(_xlfn.MAXIFS(tblLecturas[Fecha],tblLecturas[Codigo],$A171),"")</f>
        <v>46135</v>
      </c>
      <c r="M171" s="26">
        <f>IFERROR(_xlfn.MAXIFS(Lecturas!$C:$C,Lecturas!$B:$B,$A171,Lecturas!$C:$C,"&gt;0"),"")</f>
        <v>1743</v>
      </c>
      <c r="N171" s="78">
        <f>IFERROR(_xlfn.MAXIFS(tblLecturas[Kilometraje],tblLecturas[Codigo],$A171,tblLecturas[Kilometraje],"&gt;0"),"")</f>
        <v>0</v>
      </c>
      <c r="O171" s="78" cm="1">
        <f t="array" ref="O171">IFERROR(IF($I171="KM",LOOKUP(2,1/(Lecturas!$B:$B=$A171)/(Lecturas!$D:$D&gt;0),Lecturas!$D:$D),LOOKUP(2,1/(Lecturas!$B:$B=$A171)/(Lecturas!$C:$C&gt;0),Lecturas!$C:$C)),"")</f>
        <v>1743</v>
      </c>
      <c r="P171" s="20">
        <f>IFERROR(_xlfn.MAXIFS(tblMantenciones[Fecha],tblMantenciones[Codigo],tblMaestroEquipos[[#This Row],[Codigo]],tblMantenciones[EsPM],"Sí"),"")</f>
        <v>46086</v>
      </c>
      <c r="Q171" s="78">
        <f>IF(_xlfn.MAXIFS(Mantenciones!$D:$D,Mantenciones!$B:$B,A171)=0,"Sin datos de mantención registrado",_xlfn.MAXIFS(Mantenciones!$D:$D,Mantenciones!$B:$B,A171))</f>
        <v>1462</v>
      </c>
      <c r="R171" s="18">
        <f>IFERROR(IF(_xlfn.MAXIFS(Mantenciones!$D:$D,Mantenciones!$B:$B,$A171,Mantenciones!$E:$E,"Sí",Mantenciones!$D:$D,"&gt;0")=0,"Sin datos de mantención registrado",_xlfn.MAXIFS(Mantenciones!$D:$D,Mantenciones!$B:$B,$A171,Mantenciones!$E:$E,"Sí",Mantenciones!$D:$D,"&gt;0")),"Sin datos de mantención registrado")</f>
        <v>1462</v>
      </c>
      <c r="S171" s="21">
        <f>IFERROR(SUMIFS(tblMantenciones[Costo Mantencion CLP],tblMantenciones[Codigo],A171),0)</f>
        <v>249078</v>
      </c>
      <c r="T171" s="21">
        <f>IFERROR(SUMIFS(tblComprasPM[Costo PM CLP],tblComprasPM[Codigo],tblMaestroEquipos[[#This Row],[Codigo]]),0)</f>
        <v>238515.27</v>
      </c>
      <c r="U171" s="21">
        <f>IFERROR(tblMaestroEquipos[[#This Row],[Costo Mantenciones CLP]]+tblMaestroEquipos[[#This Row],[Costo Compras PM CLP]],0)</f>
        <v>487593.27</v>
      </c>
      <c r="V171" s="18" t="str">
        <f>IFERROR(_xlfn.XLOOKUP(tblMaestroEquipos[[#This Row],[Codigo]],tblEquipos[Codigo],tblEquipos[Estado Base]),"")</f>
        <v>Operativo</v>
      </c>
      <c r="W171" s="18" t="str">
        <f t="shared" si="18"/>
        <v>ATRASADA</v>
      </c>
      <c r="X171" s="18">
        <f t="shared" si="19"/>
        <v>-31</v>
      </c>
      <c r="Y171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46104</v>
      </c>
      <c r="Z171" s="25">
        <f>IFERROR(IF(_xlfn.MINIFS(tblComprasPM[Fecha],tblComprasPM[Codigo],tblMaestroEquipos[[#This Row],[Codigo]])=0,"",_xlfn.MINIFS(tblComprasPM[Fecha],tblComprasPM[Codigo],tblMaestroEquipos[[#This Row],[Codigo]])),"")</f>
        <v>46085.464667673601</v>
      </c>
      <c r="AA171" s="25">
        <f>IFERROR(IF(_xlfn.MAXIFS(tblBodega[Fecha],tblBodega[Codigo],tblMaestroEquipos[[#This Row],[Codigo]])=0,"",_xlfn.MAXIFS(tblBodega[Fecha],tblBodega[Codigo],tblMaestroEquipos[[#This Row],[Codigo]])),"")</f>
        <v>46086</v>
      </c>
      <c r="AB17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</v>
      </c>
      <c r="AC171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7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71" s="51" t="str">
        <f t="shared" si="17"/>
        <v>OPERATIVO</v>
      </c>
      <c r="AF171" s="18" t="str">
        <f t="shared" si="20"/>
        <v>BAJA</v>
      </c>
      <c r="AG171" s="18" t="str">
        <f t="shared" si="21"/>
        <v>Monitorear próximo vencimiento</v>
      </c>
      <c r="AH171">
        <f t="shared" si="22"/>
        <v>0</v>
      </c>
      <c r="AI171" t="str">
        <f t="shared" si="23"/>
        <v/>
      </c>
      <c r="AJ171" s="24">
        <f t="shared" si="24"/>
        <v>1</v>
      </c>
    </row>
    <row r="172" spans="1:36" s="27" customFormat="1">
      <c r="A172" s="18" t="s">
        <v>321</v>
      </c>
      <c r="B172" s="18" t="s">
        <v>264</v>
      </c>
      <c r="C172" s="18" t="s">
        <v>1070</v>
      </c>
      <c r="D172" s="18" t="s">
        <v>317</v>
      </c>
      <c r="E172" s="19" t="s">
        <v>322</v>
      </c>
      <c r="F172" s="18">
        <v>2013</v>
      </c>
      <c r="G172" s="18" t="str" cm="1">
        <f t="array" ref="G172">IFERROR(INDEX(Lecturas!$E$4:$E$3549,MATCH(1,(Lecturas!$B$4:$B$3549=$A172)*(Lecturas!$E$4:$E$3549&lt;&gt;"")*(Lecturas!$A$4:$A$3549=_xlfn.MAXIFS(Lecturas!$A$4:$A$3549,Lecturas!$B$4:$B$3549,$A172,Lecturas!$E$4:$E$3549,"&lt;&gt;")),0)),"")</f>
        <v/>
      </c>
      <c r="H172" s="18" t="s">
        <v>323</v>
      </c>
      <c r="I172" s="18" t="s">
        <v>18</v>
      </c>
      <c r="J172" s="18">
        <v>250</v>
      </c>
      <c r="K172" s="18">
        <f>IFERROR(IF($I172="KM",ROUND((_xlfn.MAXIFS(tblLecturas[Kilometraje],tblLecturas[Codigo],$A172)-_xlfn.MINIFS(tblLecturas[Kilometraje],tblLecturas[Codigo],$A172))/(MAX(1,_xlfn.MAXIFS(tblLecturas[Fecha],tblLecturas[Codigo],$A172)-_xlfn.MINIFS(tblLecturas[Fecha],tblLecturas[Codigo],$A172))),1),ROUND((_xlfn.MAXIFS(tblLecturas[Horometro],tblLecturas[Codigo],$A172)-_xlfn.MINIFS(tblLecturas[Horometro],tblLecturas[Codigo],$A172))/(MAX(1,_xlfn.MAXIFS(tblLecturas[Fecha],tblLecturas[Codigo],$A172)-_xlfn.MINIFS(tblLecturas[Fecha],tblLecturas[Codigo],$A172))),1)),"")</f>
        <v>18.8</v>
      </c>
      <c r="L172" s="20">
        <f>IFERROR(_xlfn.MAXIFS(tblLecturas[Fecha],tblLecturas[Codigo],$A172),"")</f>
        <v>46108</v>
      </c>
      <c r="M172" s="26">
        <f>IFERROR(_xlfn.MAXIFS(Lecturas!$C:$C,Lecturas!$B:$B,$A172,Lecturas!$C:$C,"&gt;0"),"")</f>
        <v>9000.5</v>
      </c>
      <c r="N172" s="78">
        <f>IFERROR(_xlfn.MAXIFS(tblLecturas[Kilometraje],tblLecturas[Codigo],$A172,tblLecturas[Kilometraje],"&gt;0"),"")</f>
        <v>0</v>
      </c>
      <c r="O172" s="78" cm="1">
        <f t="array" ref="O172">IFERROR(IF($I172="KM",LOOKUP(2,1/(Lecturas!$B:$B=$A172)/(Lecturas!$D:$D&gt;0),Lecturas!$D:$D),LOOKUP(2,1/(Lecturas!$B:$B=$A172)/(Lecturas!$C:$C&gt;0),Lecturas!$C:$C)),"")</f>
        <v>9000.5</v>
      </c>
      <c r="P172" s="20">
        <f>IFERROR(_xlfn.MAXIFS(tblMantenciones[Fecha],tblMantenciones[Codigo],tblMaestroEquipos[[#This Row],[Codigo]],tblMantenciones[EsPM],"Sí"),"")</f>
        <v>46085</v>
      </c>
      <c r="Q172" s="78">
        <f>IF(_xlfn.MAXIFS(Mantenciones!$D:$D,Mantenciones!$B:$B,A172)=0,"Sin datos de mantención registrado",_xlfn.MAXIFS(Mantenciones!$D:$D,Mantenciones!$B:$B,A172))</f>
        <v>8980</v>
      </c>
      <c r="R172" s="18">
        <f>IFERROR(IF(_xlfn.MAXIFS(Mantenciones!$D:$D,Mantenciones!$B:$B,$A172,Mantenciones!$E:$E,"Sí",Mantenciones!$D:$D,"&gt;0")=0,"Sin datos de mantención registrado",_xlfn.MAXIFS(Mantenciones!$D:$D,Mantenciones!$B:$B,$A172,Mantenciones!$E:$E,"Sí",Mantenciones!$D:$D,"&gt;0")),"Sin datos de mantención registrado")</f>
        <v>8980</v>
      </c>
      <c r="S172" s="21">
        <f>IFERROR(SUMIFS(tblMantenciones[Costo Mantencion CLP],tblMantenciones[Codigo],A172),0)</f>
        <v>0</v>
      </c>
      <c r="T172" s="21">
        <f>IFERROR(SUMIFS(tblComprasPM[Costo PM CLP],tblComprasPM[Codigo],tblMaestroEquipos[[#This Row],[Codigo]]),0)</f>
        <v>237325.27</v>
      </c>
      <c r="U172" s="21">
        <f>IFERROR(tblMaestroEquipos[[#This Row],[Costo Mantenciones CLP]]+tblMaestroEquipos[[#This Row],[Costo Compras PM CLP]],0)</f>
        <v>237325.27</v>
      </c>
      <c r="V172" s="18" t="str">
        <f>IFERROR(_xlfn.XLOOKUP(tblMaestroEquipos[[#This Row],[Codigo]],tblEquipos[Codigo],tblEquipos[Estado Base]),"")</f>
        <v>Operativo</v>
      </c>
      <c r="W172" s="18" t="str">
        <f t="shared" si="18"/>
        <v>AL DÍA</v>
      </c>
      <c r="X172" s="18">
        <f t="shared" si="19"/>
        <v>229.5</v>
      </c>
      <c r="Y172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46337.5</v>
      </c>
      <c r="Z172" s="25">
        <f>IFERROR(IF(_xlfn.MINIFS(tblComprasPM[Fecha],tblComprasPM[Codigo],tblMaestroEquipos[[#This Row],[Codigo]])=0,"",_xlfn.MINIFS(tblComprasPM[Fecha],tblComprasPM[Codigo],tblMaestroEquipos[[#This Row],[Codigo]])),"")</f>
        <v>46083.500426041697</v>
      </c>
      <c r="AA172" s="25">
        <f>IFERROR(IF(_xlfn.MAXIFS(tblBodega[Fecha],tblBodega[Codigo],tblMaestroEquipos[[#This Row],[Codigo]])=0,"",_xlfn.MAXIFS(tblBodega[Fecha],tblBodega[Codigo],tblMaestroEquipos[[#This Row],[Codigo]])),"")</f>
        <v>46085</v>
      </c>
      <c r="AB172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</v>
      </c>
      <c r="AC172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7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72" s="51" t="str">
        <f t="shared" si="17"/>
        <v>OPERATIVO</v>
      </c>
      <c r="AF172" s="18" t="str">
        <f t="shared" si="20"/>
        <v>BAJA</v>
      </c>
      <c r="AG172" s="18" t="str">
        <f t="shared" si="21"/>
        <v>Monitorear próximo vencimiento</v>
      </c>
      <c r="AH172">
        <f t="shared" si="22"/>
        <v>0</v>
      </c>
      <c r="AI172" t="str">
        <f t="shared" si="23"/>
        <v/>
      </c>
      <c r="AJ172" s="24">
        <f t="shared" si="24"/>
        <v>99</v>
      </c>
    </row>
    <row r="173" spans="1:36">
      <c r="A173" s="18" t="s">
        <v>359</v>
      </c>
      <c r="B173" s="18" t="s">
        <v>259</v>
      </c>
      <c r="C173" s="18" t="s">
        <v>1070</v>
      </c>
      <c r="D173" s="18" t="s">
        <v>307</v>
      </c>
      <c r="E173" s="19" t="s">
        <v>308</v>
      </c>
      <c r="F173" s="18">
        <v>2013</v>
      </c>
      <c r="G173" s="18" t="str" cm="1">
        <f t="array" ref="G173">IFERROR(INDEX(Lecturas!$E$4:$E$3549,MATCH(1,(Lecturas!$B$4:$B$3549=$A173)*(Lecturas!$E$4:$E$3549&lt;&gt;"")*(Lecturas!$A$4:$A$3549=_xlfn.MAXIFS(Lecturas!$A$4:$A$3549,Lecturas!$B$4:$B$3549,$A173,Lecturas!$E$4:$E$3549,"&lt;&gt;")),0)),"")</f>
        <v>Curicó</v>
      </c>
      <c r="H173" s="18" t="s">
        <v>57</v>
      </c>
      <c r="I173" s="18" t="s">
        <v>18</v>
      </c>
      <c r="J173" s="18">
        <v>250</v>
      </c>
      <c r="K173" s="18">
        <f>IFERROR(IF($I173="KM",ROUND((_xlfn.MAXIFS(tblLecturas[Kilometraje],tblLecturas[Codigo],$A173)-_xlfn.MINIFS(tblLecturas[Kilometraje],tblLecturas[Codigo],$A173))/(MAX(1,_xlfn.MAXIFS(tblLecturas[Fecha],tblLecturas[Codigo],$A173)-_xlfn.MINIFS(tblLecturas[Fecha],tblLecturas[Codigo],$A173))),1),ROUND((_xlfn.MAXIFS(tblLecturas[Horometro],tblLecturas[Codigo],$A173)-_xlfn.MINIFS(tblLecturas[Horometro],tblLecturas[Codigo],$A173))/(MAX(1,_xlfn.MAXIFS(tblLecturas[Fecha],tblLecturas[Codigo],$A173)-_xlfn.MINIFS(tblLecturas[Fecha],tblLecturas[Codigo],$A173))),1)),"")</f>
        <v>3.2</v>
      </c>
      <c r="L173" s="20">
        <f>IFERROR(_xlfn.MAXIFS(tblLecturas[Fecha],tblLecturas[Codigo],$A173),"")</f>
        <v>46107</v>
      </c>
      <c r="M173" s="26">
        <f>IFERROR(_xlfn.MAXIFS(Lecturas!$C:$C,Lecturas!$B:$B,$A173,Lecturas!$C:$C,"&gt;0"),"")</f>
        <v>13660</v>
      </c>
      <c r="N173" s="78">
        <f>IFERROR(_xlfn.MAXIFS(tblLecturas[Kilometraje],tblLecturas[Codigo],$A173,tblLecturas[Kilometraje],"&gt;0"),"")</f>
        <v>0</v>
      </c>
      <c r="O173" s="78" cm="1">
        <f t="array" ref="O173">IFERROR(IF($I173="KM",LOOKUP(2,1/(Lecturas!$B:$B=$A173)/(Lecturas!$D:$D&gt;0),Lecturas!$D:$D),LOOKUP(2,1/(Lecturas!$B:$B=$A173)/(Lecturas!$C:$C&gt;0),Lecturas!$C:$C)),"")</f>
        <v>11273</v>
      </c>
      <c r="P173" s="20">
        <f>IFERROR(_xlfn.MAXIFS(tblMantenciones[Fecha],tblMantenciones[Codigo],tblMaestroEquipos[[#This Row],[Codigo]],tblMantenciones[EsPM],"Sí"),"")</f>
        <v>46094</v>
      </c>
      <c r="Q173" s="78">
        <f>IF(_xlfn.MAXIFS(Mantenciones!$D:$D,Mantenciones!$B:$B,A173)=0,"Sin datos de mantención registrado",_xlfn.MAXIFS(Mantenciones!$D:$D,Mantenciones!$B:$B,A173))</f>
        <v>13650</v>
      </c>
      <c r="R173" s="18">
        <f>IFERROR(IF(_xlfn.MAXIFS(Mantenciones!$D:$D,Mantenciones!$B:$B,$A173,Mantenciones!$E:$E,"Sí",Mantenciones!$D:$D,"&gt;0")=0,"Sin datos de mantención registrado",_xlfn.MAXIFS(Mantenciones!$D:$D,Mantenciones!$B:$B,$A173,Mantenciones!$E:$E,"Sí",Mantenciones!$D:$D,"&gt;0")),"Sin datos de mantención registrado")</f>
        <v>13650</v>
      </c>
      <c r="S173" s="21">
        <f>IFERROR(SUMIFS(tblMantenciones[Costo Mantencion CLP],tblMantenciones[Codigo],A173),0)</f>
        <v>125352</v>
      </c>
      <c r="T173" s="21">
        <f>IFERROR(SUMIFS(tblComprasPM[Costo PM CLP],tblComprasPM[Codigo],tblMaestroEquipos[[#This Row],[Codigo]]),0)</f>
        <v>124072.97</v>
      </c>
      <c r="U173" s="21">
        <f>IFERROR(tblMaestroEquipos[[#This Row],[Costo Mantenciones CLP]]+tblMaestroEquipos[[#This Row],[Costo Compras PM CLP]],0)</f>
        <v>249424.97</v>
      </c>
      <c r="V173" s="18" t="str">
        <f>IFERROR(_xlfn.XLOOKUP(tblMaestroEquipos[[#This Row],[Codigo]],tblEquipos[Codigo],tblEquipos[Estado Base]),"")</f>
        <v>Operativo</v>
      </c>
      <c r="W173" s="18" t="str">
        <f t="shared" si="18"/>
        <v>AL DÍA</v>
      </c>
      <c r="X173" s="18">
        <f t="shared" si="19"/>
        <v>2627</v>
      </c>
      <c r="Y17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48734</v>
      </c>
      <c r="Z173" s="25">
        <f>IFERROR(IF(_xlfn.MINIFS(tblComprasPM[Fecha],tblComprasPM[Codigo],tblMaestroEquipos[[#This Row],[Codigo]])=0,"",_xlfn.MINIFS(tblComprasPM[Fecha],tblComprasPM[Codigo],tblMaestroEquipos[[#This Row],[Codigo]])),"")</f>
        <v>46100</v>
      </c>
      <c r="AA173" s="25">
        <f>IFERROR(IF(_xlfn.MAXIFS(tblBodega[Fecha],tblBodega[Codigo],tblMaestroEquipos[[#This Row],[Codigo]])=0,"",_xlfn.MAXIFS(tblBodega[Fecha],tblBodega[Codigo],tblMaestroEquipos[[#This Row],[Codigo]])),"")</f>
        <v>46094</v>
      </c>
      <c r="AB17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73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7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73" s="51" t="str">
        <f t="shared" si="17"/>
        <v>OPERATIVO</v>
      </c>
      <c r="AF173" s="18" t="str">
        <f t="shared" si="20"/>
        <v>BAJA</v>
      </c>
      <c r="AG173" s="18" t="str">
        <f t="shared" si="21"/>
        <v>Monitorear próximo vencimiento</v>
      </c>
      <c r="AH173">
        <f t="shared" si="22"/>
        <v>0</v>
      </c>
      <c r="AI173" t="str">
        <f t="shared" si="23"/>
        <v/>
      </c>
      <c r="AJ173" s="24">
        <f t="shared" si="24"/>
        <v>99</v>
      </c>
    </row>
    <row r="174" spans="1:36">
      <c r="A174" s="18" t="s">
        <v>263</v>
      </c>
      <c r="B174" s="18" t="s">
        <v>264</v>
      </c>
      <c r="C174" s="18" t="s">
        <v>1070</v>
      </c>
      <c r="D174" s="18" t="s">
        <v>265</v>
      </c>
      <c r="E174" s="19" t="s">
        <v>266</v>
      </c>
      <c r="F174" s="18">
        <v>2018</v>
      </c>
      <c r="G174" s="18" t="str" cm="1">
        <f t="array" ref="G174">IFERROR(INDEX(Lecturas!$E$4:$E$3549,MATCH(1,(Lecturas!$B$4:$B$3549=$A174)*(Lecturas!$E$4:$E$3549&lt;&gt;"")*(Lecturas!$A$4:$A$3549=_xlfn.MAXIFS(Lecturas!$A$4:$A$3549,Lecturas!$B$4:$B$3549,$A174,Lecturas!$E$4:$E$3549,"&lt;&gt;")),0)),"")</f>
        <v/>
      </c>
      <c r="H174" s="18" t="s">
        <v>267</v>
      </c>
      <c r="I174" s="18" t="s">
        <v>18</v>
      </c>
      <c r="J174" s="18">
        <v>250</v>
      </c>
      <c r="K174" s="18">
        <f>IFERROR(IF($I174="KM",ROUND((_xlfn.MAXIFS(tblLecturas[Kilometraje],tblLecturas[Codigo],$A174)-_xlfn.MINIFS(tblLecturas[Kilometraje],tblLecturas[Codigo],$A174))/(MAX(1,_xlfn.MAXIFS(tblLecturas[Fecha],tblLecturas[Codigo],$A174)-_xlfn.MINIFS(tblLecturas[Fecha],tblLecturas[Codigo],$A174))),1),ROUND((_xlfn.MAXIFS(tblLecturas[Horometro],tblLecturas[Codigo],$A174)-_xlfn.MINIFS(tblLecturas[Horometro],tblLecturas[Codigo],$A174))/(MAX(1,_xlfn.MAXIFS(tblLecturas[Fecha],tblLecturas[Codigo],$A174)-_xlfn.MINIFS(tblLecturas[Fecha],tblLecturas[Codigo],$A174))),1)),"")</f>
        <v>3.8</v>
      </c>
      <c r="L174" s="20">
        <f>IFERROR(_xlfn.MAXIFS(tblLecturas[Fecha],tblLecturas[Codigo],$A174),"")</f>
        <v>46107</v>
      </c>
      <c r="M174" s="26">
        <f>IFERROR(_xlfn.MAXIFS(Lecturas!$C:$C,Lecturas!$B:$B,$A174,Lecturas!$C:$C,"&gt;0"),"")</f>
        <v>10057</v>
      </c>
      <c r="N174" s="78">
        <f>IFERROR(_xlfn.MAXIFS(tblLecturas[Kilometraje],tblLecturas[Codigo],$A174,tblLecturas[Kilometraje],"&gt;0"),"")</f>
        <v>0</v>
      </c>
      <c r="O174" s="78" cm="1">
        <f t="array" ref="O174">IFERROR(IF($I174="KM",LOOKUP(2,1/(Lecturas!$B:$B=$A174)/(Lecturas!$D:$D&gt;0),Lecturas!$D:$D),LOOKUP(2,1/(Lecturas!$B:$B=$A174)/(Lecturas!$C:$C&gt;0),Lecturas!$C:$C)),"")</f>
        <v>10057</v>
      </c>
      <c r="P174" s="20">
        <f>IFERROR(_xlfn.MAXIFS(tblMantenciones[Fecha],tblMantenciones[Codigo],tblMaestroEquipos[[#This Row],[Codigo]],tblMantenciones[EsPM],"Sí"),"")</f>
        <v>46134</v>
      </c>
      <c r="Q174" s="78">
        <f>IF(_xlfn.MAXIFS(Mantenciones!$D:$D,Mantenciones!$B:$B,A174)=0,"Sin datos de mantención registrado",_xlfn.MAXIFS(Mantenciones!$D:$D,Mantenciones!$B:$B,A174))</f>
        <v>10154</v>
      </c>
      <c r="R174" s="18">
        <f>IFERROR(IF(_xlfn.MAXIFS(Mantenciones!$D:$D,Mantenciones!$B:$B,$A174,Mantenciones!$E:$E,"Sí",Mantenciones!$D:$D,"&gt;0")=0,"Sin datos de mantención registrado",_xlfn.MAXIFS(Mantenciones!$D:$D,Mantenciones!$B:$B,$A174,Mantenciones!$E:$E,"Sí",Mantenciones!$D:$D,"&gt;0")),"Sin datos de mantención registrado")</f>
        <v>10154</v>
      </c>
      <c r="S174" s="21">
        <f>IFERROR(SUMIFS(tblMantenciones[Costo Mantencion CLP],tblMantenciones[Codigo],A174),0)</f>
        <v>0</v>
      </c>
      <c r="T174" s="21">
        <f>IFERROR(SUMIFS(tblComprasPM[Costo PM CLP],tblComprasPM[Codigo],tblMaestroEquipos[[#This Row],[Codigo]]),0)</f>
        <v>0</v>
      </c>
      <c r="U174" s="21">
        <f>IFERROR(tblMaestroEquipos[[#This Row],[Costo Mantenciones CLP]]+tblMaestroEquipos[[#This Row],[Costo Compras PM CLP]],0)</f>
        <v>0</v>
      </c>
      <c r="V174" s="18" t="str">
        <f>IFERROR(_xlfn.XLOOKUP(tblMaestroEquipos[[#This Row],[Codigo]],tblEquipos[Codigo],tblEquipos[Estado Base]),"")</f>
        <v>Operativo</v>
      </c>
      <c r="W174" s="18" t="str">
        <f t="shared" si="18"/>
        <v>AL DÍA</v>
      </c>
      <c r="X174" s="18">
        <f t="shared" si="19"/>
        <v>347</v>
      </c>
      <c r="Y174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46454</v>
      </c>
      <c r="Z17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74" s="25" t="str">
        <f>IFERROR(IF(_xlfn.MAXIFS(tblBodega[Fecha],tblBodega[Codigo],tblMaestroEquipos[[#This Row],[Codigo]])=0,"",_xlfn.MAXIFS(tblBodega[Fecha],tblBodega[Codigo],tblMaestroEquipos[[#This Row],[Codigo]])),"")</f>
        <v/>
      </c>
      <c r="AB17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7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7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74" s="51" t="str">
        <f t="shared" si="17"/>
        <v>OPERATIVO</v>
      </c>
      <c r="AF174" s="18" t="str">
        <f t="shared" si="20"/>
        <v>BAJA</v>
      </c>
      <c r="AG174" s="18" t="str">
        <f t="shared" si="21"/>
        <v>Monitorear próximo vencimiento</v>
      </c>
      <c r="AH174">
        <f t="shared" si="22"/>
        <v>0</v>
      </c>
      <c r="AI174" t="str">
        <f t="shared" si="23"/>
        <v/>
      </c>
      <c r="AJ174" s="24">
        <f t="shared" si="24"/>
        <v>99</v>
      </c>
    </row>
    <row r="175" spans="1:36">
      <c r="A175" s="18" t="s">
        <v>594</v>
      </c>
      <c r="B175" s="18" t="s">
        <v>459</v>
      </c>
      <c r="C175" s="18" t="s">
        <v>1074</v>
      </c>
      <c r="D175" s="18" t="s">
        <v>589</v>
      </c>
      <c r="E175" s="19" t="s">
        <v>590</v>
      </c>
      <c r="F175" s="18">
        <v>2023</v>
      </c>
      <c r="G175" s="18" t="str" cm="1">
        <f t="array" ref="G175">IFERROR(INDEX(Lecturas!$E$4:$E$3549,MATCH(1,(Lecturas!$B$4:$B$3549=$A175)*(Lecturas!$E$4:$E$3549&lt;&gt;"")*(Lecturas!$A$4:$A$3549=_xlfn.MAXIFS(Lecturas!$A$4:$A$3549,Lecturas!$B$4:$B$3549,$A175,Lecturas!$E$4:$E$3549,"&lt;&gt;")),0)),"")</f>
        <v>Retiro</v>
      </c>
      <c r="H175" s="18" t="s">
        <v>595</v>
      </c>
      <c r="I175" s="18" t="s">
        <v>462</v>
      </c>
      <c r="J175" s="18">
        <v>15000</v>
      </c>
      <c r="K175" s="18">
        <f>IFERROR(IF($I175="KM",ROUND((_xlfn.MAXIFS(tblLecturas[Kilometraje],tblLecturas[Codigo],$A175)-_xlfn.MINIFS(tblLecturas[Kilometraje],tblLecturas[Codigo],$A175))/(MAX(1,_xlfn.MAXIFS(tblLecturas[Fecha],tblLecturas[Codigo],$A175)-_xlfn.MINIFS(tblLecturas[Fecha],tblLecturas[Codigo],$A175))),1),ROUND((_xlfn.MAXIFS(tblLecturas[Horometro],tblLecturas[Codigo],$A175)-_xlfn.MINIFS(tblLecturas[Horometro],tblLecturas[Codigo],$A175))/(MAX(1,_xlfn.MAXIFS(tblLecturas[Fecha],tblLecturas[Codigo],$A175)-_xlfn.MINIFS(tblLecturas[Fecha],tblLecturas[Codigo],$A175))),1)),"")</f>
        <v>178.8</v>
      </c>
      <c r="L175" s="20">
        <f>IFERROR(_xlfn.MAXIFS(tblLecturas[Fecha],tblLecturas[Codigo],$A175),"")</f>
        <v>46133</v>
      </c>
      <c r="M175" s="26">
        <f>IFERROR(_xlfn.MAXIFS(Lecturas!$C:$C,Lecturas!$B:$B,$A175,Lecturas!$C:$C,"&gt;0"),"")</f>
        <v>0</v>
      </c>
      <c r="N175" s="78">
        <f>IFERROR(_xlfn.MAXIFS(tblLecturas[Kilometraje],tblLecturas[Codigo],$A175,tblLecturas[Kilometraje],"&gt;0"),"")</f>
        <v>148370</v>
      </c>
      <c r="O175" s="78" cm="1">
        <f t="array" ref="O175">IFERROR(IF($I175="KM",LOOKUP(2,1/(Lecturas!$B:$B=$A175)/(Lecturas!$D:$D&gt;0),Lecturas!$D:$D),LOOKUP(2,1/(Lecturas!$B:$B=$A175)/(Lecturas!$C:$C&gt;0),Lecturas!$C:$C)),"")</f>
        <v>148370</v>
      </c>
      <c r="P175" s="20">
        <f>IFERROR(_xlfn.MAXIFS(tblMantenciones[Fecha],tblMantenciones[Codigo],tblMaestroEquipos[[#This Row],[Codigo]],tblMantenciones[EsPM],"Sí"),"")</f>
        <v>46009</v>
      </c>
      <c r="Q175" s="78">
        <f>IF(_xlfn.MAXIFS(Mantenciones!$D:$D,Mantenciones!$B:$B,A175)=0,"Sin datos de mantención registrado",_xlfn.MAXIFS(Mantenciones!$D:$D,Mantenciones!$B:$B,A175))</f>
        <v>128838</v>
      </c>
      <c r="R175" s="18">
        <f>IFERROR(IF(_xlfn.MAXIFS(Mantenciones!$D:$D,Mantenciones!$B:$B,$A175,Mantenciones!$E:$E,"Sí",Mantenciones!$D:$D,"&gt;0")=0,"Sin datos de mantención registrado",_xlfn.MAXIFS(Mantenciones!$D:$D,Mantenciones!$B:$B,$A175,Mantenciones!$E:$E,"Sí",Mantenciones!$D:$D,"&gt;0")),"Sin datos de mantención registrado")</f>
        <v>128838</v>
      </c>
      <c r="S175" s="21">
        <f>IFERROR(SUMIFS(tblMantenciones[Costo Mantencion CLP],tblMantenciones[Codigo],tblMaestroEquipos[[#This Row],[Codigo]]),0)</f>
        <v>0</v>
      </c>
      <c r="T175" s="21">
        <f>IFERROR(SUMIFS(tblComprasPM[Costo PM CLP],tblComprasPM[Codigo],tblMaestroEquipos[[#This Row],[Codigo]]),0)</f>
        <v>0</v>
      </c>
      <c r="U175" s="21">
        <f>IFERROR(tblMaestroEquipos[[#This Row],[Costo Mantenciones CLP]]+tblMaestroEquipos[[#This Row],[Costo Compras PM CLP]],0)</f>
        <v>0</v>
      </c>
      <c r="V175" s="18" t="str">
        <f>IFERROR(_xlfn.XLOOKUP(tblMaestroEquipos[[#This Row],[Codigo]],tblEquipos[Codigo],tblEquipos[Estado Base]),"")</f>
        <v>Operativo</v>
      </c>
      <c r="W175" s="18" t="str">
        <f t="shared" si="18"/>
        <v>POR RECIBIR</v>
      </c>
      <c r="X175" s="18">
        <f t="shared" si="19"/>
        <v>-4532</v>
      </c>
      <c r="Y17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41601</v>
      </c>
      <c r="Z17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75" s="25">
        <f>IFERROR(IF(_xlfn.MAXIFS(tblBodega[Fecha],tblBodega[Codigo],tblMaestroEquipos[[#This Row],[Codigo]])=0,"",_xlfn.MAXIFS(tblBodega[Fecha],tblBodega[Codigo],tblMaestroEquipos[[#This Row],[Codigo]])),"")</f>
        <v>46118</v>
      </c>
      <c r="AB17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7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7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75" s="51" t="str">
        <f t="shared" si="17"/>
        <v>OPERATIVO</v>
      </c>
      <c r="AF175" s="18" t="str">
        <f t="shared" si="20"/>
        <v>BAJA</v>
      </c>
      <c r="AG175" s="18" t="str">
        <f t="shared" si="21"/>
        <v>Monitorear próximo vencimiento</v>
      </c>
      <c r="AH175" s="27">
        <f t="shared" si="22"/>
        <v>0</v>
      </c>
      <c r="AI175" s="27" t="str">
        <f t="shared" si="23"/>
        <v/>
      </c>
      <c r="AJ175" s="24">
        <f t="shared" si="24"/>
        <v>3</v>
      </c>
    </row>
    <row r="176" spans="1:36">
      <c r="A176" s="18" t="s">
        <v>202</v>
      </c>
      <c r="B176" s="18" t="s">
        <v>203</v>
      </c>
      <c r="C176" s="18" t="s">
        <v>1070</v>
      </c>
      <c r="D176" s="18" t="s">
        <v>204</v>
      </c>
      <c r="E176" s="19" t="s">
        <v>205</v>
      </c>
      <c r="F176" s="18">
        <v>2000</v>
      </c>
      <c r="G176" s="18" t="str" cm="1">
        <f t="array" ref="G176">IFERROR(INDEX(Lecturas!$E$4:$E$3549,MATCH(1,(Lecturas!$B$4:$B$3549=$A176)*(Lecturas!$E$4:$E$3549&lt;&gt;"")*(Lecturas!$A$4:$A$3549=_xlfn.MAXIFS(Lecturas!$A$4:$A$3549,Lecturas!$B$4:$B$3549,$A176,Lecturas!$E$4:$E$3549,"&lt;&gt;")),0)),"")</f>
        <v>Ninhue</v>
      </c>
      <c r="H176" s="18" t="s">
        <v>206</v>
      </c>
      <c r="I176" s="18" t="s">
        <v>18</v>
      </c>
      <c r="J176" s="18">
        <v>250</v>
      </c>
      <c r="K176" s="18">
        <f>IFERROR(IF($I176="KM",ROUND((_xlfn.MAXIFS(tblLecturas[Kilometraje],tblLecturas[Codigo],$A176)-_xlfn.MINIFS(tblLecturas[Kilometraje],tblLecturas[Codigo],$A176))/(MAX(1,_xlfn.MAXIFS(tblLecturas[Fecha],tblLecturas[Codigo],$A176)-_xlfn.MINIFS(tblLecturas[Fecha],tblLecturas[Codigo],$A176))),1),ROUND((_xlfn.MAXIFS(tblLecturas[Horometro],tblLecturas[Codigo],$A176)-_xlfn.MINIFS(tblLecturas[Horometro],tblLecturas[Codigo],$A176))/(MAX(1,_xlfn.MAXIFS(tblLecturas[Fecha],tblLecturas[Codigo],$A176)-_xlfn.MINIFS(tblLecturas[Fecha],tblLecturas[Codigo],$A176))),1)),"")</f>
        <v>0.6</v>
      </c>
      <c r="L176" s="20">
        <f>IFERROR(_xlfn.MAXIFS(tblLecturas[Fecha],tblLecturas[Codigo],$A176),"")</f>
        <v>46101</v>
      </c>
      <c r="M176" s="26">
        <f>IFERROR(_xlfn.MAXIFS(Lecturas!$C:$C,Lecturas!$B:$B,$A176,Lecturas!$C:$C,"&gt;0"),"")</f>
        <v>1225</v>
      </c>
      <c r="N176" s="78">
        <f>IFERROR(_xlfn.MAXIFS(tblLecturas[Kilometraje],tblLecturas[Codigo],$A176,tblLecturas[Kilometraje],"&gt;0"),"")</f>
        <v>0</v>
      </c>
      <c r="O176" s="78" cm="1">
        <f t="array" ref="O176">IFERROR(IF($I176="KM",LOOKUP(2,1/(Lecturas!$B:$B=$A176)/(Lecturas!$D:$D&gt;0),Lecturas!$D:$D),LOOKUP(2,1/(Lecturas!$B:$B=$A176)/(Lecturas!$C:$C&gt;0),Lecturas!$C:$C)),"")</f>
        <v>1225</v>
      </c>
      <c r="P176" s="20">
        <f>IFERROR(_xlfn.MAXIFS(tblMantenciones[Fecha],tblMantenciones[Codigo],tblMaestroEquipos[[#This Row],[Codigo]],tblMantenciones[EsPM],"Sí"),"")</f>
        <v>46121</v>
      </c>
      <c r="Q176" s="78">
        <f>IF(_xlfn.MAXIFS(Mantenciones!$D:$D,Mantenciones!$B:$B,A176)=0,"Sin datos de mantención registrado",_xlfn.MAXIFS(Mantenciones!$D:$D,Mantenciones!$B:$B,A176))</f>
        <v>402</v>
      </c>
      <c r="R176" s="18">
        <f>IFERROR(IF(_xlfn.MAXIFS(Mantenciones!$D:$D,Mantenciones!$B:$B,$A176,Mantenciones!$E:$E,"Sí",Mantenciones!$D:$D,"&gt;0")=0,"Sin datos de mantención registrado",_xlfn.MAXIFS(Mantenciones!$D:$D,Mantenciones!$B:$B,$A176,Mantenciones!$E:$E,"Sí",Mantenciones!$D:$D,"&gt;0")),"Sin datos de mantención registrado")</f>
        <v>402</v>
      </c>
      <c r="S176" s="21">
        <f>IFERROR(SUMIFS(tblMantenciones[Costo Mantencion CLP],tblMantenciones[Codigo],A176),0)</f>
        <v>0</v>
      </c>
      <c r="T176" s="21">
        <f>IFERROR(SUMIFS(tblComprasPM[Costo PM CLP],tblComprasPM[Codigo],tblMaestroEquipos[[#This Row],[Codigo]]),0)</f>
        <v>149298.59</v>
      </c>
      <c r="U176" s="21">
        <f>IFERROR(tblMaestroEquipos[[#This Row],[Costo Mantenciones CLP]]+tblMaestroEquipos[[#This Row],[Costo Compras PM CLP]],0)</f>
        <v>149298.59</v>
      </c>
      <c r="V176" s="18" t="str">
        <f>IFERROR(_xlfn.XLOOKUP(tblMaestroEquipos[[#This Row],[Codigo]],tblEquipos[Codigo],tblEquipos[Estado Base]),"")</f>
        <v>Operativo</v>
      </c>
      <c r="W176" s="18" t="str">
        <f t="shared" si="18"/>
        <v>ATRASADA</v>
      </c>
      <c r="X176" s="18">
        <f t="shared" si="19"/>
        <v>-573</v>
      </c>
      <c r="Y176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45528</v>
      </c>
      <c r="Z176" s="25">
        <f>IFERROR(IF(_xlfn.MINIFS(tblComprasPM[Fecha],tblComprasPM[Codigo],tblMaestroEquipos[[#This Row],[Codigo]])=0,"",_xlfn.MINIFS(tblComprasPM[Fecha],tblComprasPM[Codigo],tblMaestroEquipos[[#This Row],[Codigo]])),"")</f>
        <v>46100</v>
      </c>
      <c r="AA176" s="25">
        <f>IFERROR(IF(_xlfn.MAXIFS(tblBodega[Fecha],tblBodega[Codigo],tblMaestroEquipos[[#This Row],[Codigo]])=0,"",_xlfn.MAXIFS(tblBodega[Fecha],tblBodega[Codigo],tblMaestroEquipos[[#This Row],[Codigo]])),"")</f>
        <v>46121</v>
      </c>
      <c r="AB17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21</v>
      </c>
      <c r="AC17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7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76" s="51" t="str">
        <f t="shared" si="17"/>
        <v>OPERATIVO</v>
      </c>
      <c r="AF176" s="18" t="str">
        <f t="shared" si="20"/>
        <v>BAJA</v>
      </c>
      <c r="AG176" s="18" t="str">
        <f t="shared" si="21"/>
        <v>Monitorear próximo vencimiento</v>
      </c>
      <c r="AH176">
        <f t="shared" si="22"/>
        <v>0</v>
      </c>
      <c r="AI176" t="str">
        <f t="shared" si="23"/>
        <v/>
      </c>
      <c r="AJ176" s="24">
        <f t="shared" si="24"/>
        <v>1</v>
      </c>
    </row>
    <row r="177" spans="1:36" s="27" customFormat="1">
      <c r="A177" s="18" t="s">
        <v>393</v>
      </c>
      <c r="B177" s="18" t="s">
        <v>340</v>
      </c>
      <c r="C177" s="18" t="s">
        <v>1070</v>
      </c>
      <c r="D177" s="18" t="s">
        <v>296</v>
      </c>
      <c r="E177" s="19" t="s">
        <v>394</v>
      </c>
      <c r="F177" s="18">
        <v>2015</v>
      </c>
      <c r="G177" s="18" t="str" cm="1">
        <f t="array" ref="G177">IFERROR(INDEX(Lecturas!$E$4:$E$3549,MATCH(1,(Lecturas!$B$4:$B$3549=$A177)*(Lecturas!$E$4:$E$3549&lt;&gt;"")*(Lecturas!$A$4:$A$3549=_xlfn.MAXIFS(Lecturas!$A$4:$A$3549,Lecturas!$B$4:$B$3549,$A177,Lecturas!$E$4:$E$3549,"&lt;&gt;")),0)),"")</f>
        <v>Curicó</v>
      </c>
      <c r="H177" s="18" t="s">
        <v>1097</v>
      </c>
      <c r="I177" s="18" t="s">
        <v>18</v>
      </c>
      <c r="J177" s="18">
        <v>250</v>
      </c>
      <c r="K177" s="18">
        <f>IFERROR(IF($I177="KM",ROUND((_xlfn.MAXIFS(tblLecturas[Kilometraje],tblLecturas[Codigo],$A177)-_xlfn.MINIFS(tblLecturas[Kilometraje],tblLecturas[Codigo],$A177))/(MAX(1,_xlfn.MAXIFS(tblLecturas[Fecha],tblLecturas[Codigo],$A177)-_xlfn.MINIFS(tblLecturas[Fecha],tblLecturas[Codigo],$A177))),1),ROUND((_xlfn.MAXIFS(tblLecturas[Horometro],tblLecturas[Codigo],$A177)-_xlfn.MINIFS(tblLecturas[Horometro],tblLecturas[Codigo],$A177))/(MAX(1,_xlfn.MAXIFS(tblLecturas[Fecha],tblLecturas[Codigo],$A177)-_xlfn.MINIFS(tblLecturas[Fecha],tblLecturas[Codigo],$A177))),1)),"")</f>
        <v>6.6</v>
      </c>
      <c r="L177" s="20">
        <f>IFERROR(_xlfn.MAXIFS(tblLecturas[Fecha],tblLecturas[Codigo],$A177),"")</f>
        <v>46139</v>
      </c>
      <c r="M177" s="26">
        <f>IFERROR(_xlfn.MAXIFS(Lecturas!$C:$C,Lecturas!$B:$B,$A177,Lecturas!$C:$C,"&gt;0"),"")</f>
        <v>7678</v>
      </c>
      <c r="N177" s="78">
        <f>IFERROR(_xlfn.MAXIFS(tblLecturas[Kilometraje],tblLecturas[Codigo],$A177,tblLecturas[Kilometraje],"&gt;0"),"")</f>
        <v>0</v>
      </c>
      <c r="O177" s="78" cm="1">
        <f t="array" ref="O177">IFERROR(IF($I177="KM",LOOKUP(2,1/(Lecturas!$B:$B=$A177)/(Lecturas!$D:$D&gt;0),Lecturas!$D:$D),LOOKUP(2,1/(Lecturas!$B:$B=$A177)/(Lecturas!$C:$C&gt;0),Lecturas!$C:$C)),"")</f>
        <v>169</v>
      </c>
      <c r="P177" s="20">
        <f>IFERROR(_xlfn.MAXIFS(tblMantenciones[Fecha],tblMantenciones[Codigo],tblMaestroEquipos[[#This Row],[Codigo]],tblMantenciones[EsPM],"Sí"),"")</f>
        <v>46093</v>
      </c>
      <c r="Q177" s="78">
        <f>IF(_xlfn.MAXIFS(Mantenciones!$D:$D,Mantenciones!$B:$B,A177)=0,"Sin datos de mantención registrado",_xlfn.MAXIFS(Mantenciones!$D:$D,Mantenciones!$B:$B,A177))</f>
        <v>1713</v>
      </c>
      <c r="R177" s="18">
        <f>IFERROR(IF(_xlfn.MAXIFS(Mantenciones!$D:$D,Mantenciones!$B:$B,$A177,Mantenciones!$E:$E,"Sí",Mantenciones!$D:$D,"&gt;0")=0,"Sin datos de mantención registrado",_xlfn.MAXIFS(Mantenciones!$D:$D,Mantenciones!$B:$B,$A177,Mantenciones!$E:$E,"Sí",Mantenciones!$D:$D,"&gt;0")),"Sin datos de mantención registrado")</f>
        <v>1713</v>
      </c>
      <c r="S177" s="21">
        <f>IFERROR(SUMIFS(tblMantenciones[Costo Mantencion CLP],tblMantenciones[Codigo],A177),0)</f>
        <v>133882.14000000001</v>
      </c>
      <c r="T177" s="21">
        <f>IFERROR(SUMIFS(tblComprasPM[Costo PM CLP],tblComprasPM[Codigo],tblMaestroEquipos[[#This Row],[Codigo]]),0)</f>
        <v>357653.31</v>
      </c>
      <c r="U177" s="21">
        <f>IFERROR(tblMaestroEquipos[[#This Row],[Costo Mantenciones CLP]]+tblMaestroEquipos[[#This Row],[Costo Compras PM CLP]],0)</f>
        <v>491535.45</v>
      </c>
      <c r="V177" s="18" t="str">
        <f>IFERROR(_xlfn.XLOOKUP(tblMaestroEquipos[[#This Row],[Codigo]],tblEquipos[Codigo],tblEquipos[Estado Base]),"")</f>
        <v>Operativo</v>
      </c>
      <c r="W177" s="18" t="str">
        <f t="shared" si="18"/>
        <v>AL DÍA</v>
      </c>
      <c r="X177" s="18">
        <f t="shared" si="19"/>
        <v>1794</v>
      </c>
      <c r="Y177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47933</v>
      </c>
      <c r="Z177" s="25">
        <f>IFERROR(IF(_xlfn.MINIFS(tblComprasPM[Fecha],tblComprasPM[Codigo],tblMaestroEquipos[[#This Row],[Codigo]])=0,"",_xlfn.MINIFS(tblComprasPM[Fecha],tblComprasPM[Codigo],tblMaestroEquipos[[#This Row],[Codigo]])),"")</f>
        <v>46078.424829247699</v>
      </c>
      <c r="AA177" s="25">
        <f>IFERROR(IF(_xlfn.MAXIFS(tblBodega[Fecha],tblBodega[Codigo],tblMaestroEquipos[[#This Row],[Codigo]])=0,"",_xlfn.MAXIFS(tblBodega[Fecha],tblBodega[Codigo],tblMaestroEquipos[[#This Row],[Codigo]])),"")</f>
        <v>46090</v>
      </c>
      <c r="AB17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15</v>
      </c>
      <c r="AC177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3</v>
      </c>
      <c r="AD17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77" s="51" t="str">
        <f t="shared" si="17"/>
        <v>OPERATIVO</v>
      </c>
      <c r="AF177" s="18" t="str">
        <f t="shared" si="20"/>
        <v>BAJA</v>
      </c>
      <c r="AG177" s="18" t="str">
        <f t="shared" si="21"/>
        <v>Monitorear próximo vencimiento</v>
      </c>
      <c r="AH177">
        <f t="shared" si="22"/>
        <v>0</v>
      </c>
      <c r="AI177" t="str">
        <f t="shared" si="23"/>
        <v/>
      </c>
      <c r="AJ177" s="24">
        <f t="shared" si="24"/>
        <v>99</v>
      </c>
    </row>
    <row r="178" spans="1:36">
      <c r="A178" s="18" t="s">
        <v>526</v>
      </c>
      <c r="B178" s="18" t="s">
        <v>459</v>
      </c>
      <c r="C178" s="18" t="s">
        <v>1074</v>
      </c>
      <c r="D178" s="18" t="s">
        <v>99</v>
      </c>
      <c r="E178" s="19" t="s">
        <v>524</v>
      </c>
      <c r="F178" s="18">
        <v>2025</v>
      </c>
      <c r="G178" s="18" t="str" cm="1">
        <f t="array" ref="G178">IFERROR(INDEX(Lecturas!$E$4:$E$3549,MATCH(1,(Lecturas!$B$4:$B$3549=$A178)*(Lecturas!$E$4:$E$3549&lt;&gt;"")*(Lecturas!$A$4:$A$3549=_xlfn.MAXIFS(Lecturas!$A$4:$A$3549,Lecturas!$B$4:$B$3549,$A178,Lecturas!$E$4:$E$3549,"&lt;&gt;")),0)),"")</f>
        <v>Ninhue</v>
      </c>
      <c r="H178" s="18" t="s">
        <v>1028</v>
      </c>
      <c r="I178" s="18" t="s">
        <v>462</v>
      </c>
      <c r="J178" s="18">
        <v>15000</v>
      </c>
      <c r="K178" s="18">
        <f>IFERROR(IF($I178="KM",ROUND((_xlfn.MAXIFS(tblLecturas[Kilometraje],tblLecturas[Codigo],$A178)-_xlfn.MINIFS(tblLecturas[Kilometraje],tblLecturas[Codigo],$A178))/(MAX(1,_xlfn.MAXIFS(tblLecturas[Fecha],tblLecturas[Codigo],$A178)-_xlfn.MINIFS(tblLecturas[Fecha],tblLecturas[Codigo],$A178))),1),ROUND((_xlfn.MAXIFS(tblLecturas[Horometro],tblLecturas[Codigo],$A178)-_xlfn.MINIFS(tblLecturas[Horometro],tblLecturas[Codigo],$A178))/(MAX(1,_xlfn.MAXIFS(tblLecturas[Fecha],tblLecturas[Codigo],$A178)-_xlfn.MINIFS(tblLecturas[Fecha],tblLecturas[Codigo],$A178))),1)),"")</f>
        <v>389.1</v>
      </c>
      <c r="L178" s="20">
        <f>IFERROR(_xlfn.MAXIFS(tblLecturas[Fecha],tblLecturas[Codigo],$A178),"")</f>
        <v>46133</v>
      </c>
      <c r="M178" s="26">
        <f>IFERROR(_xlfn.MAXIFS(Lecturas!$C:$C,Lecturas!$B:$B,$A178,Lecturas!$C:$C,"&gt;0"),"")</f>
        <v>0</v>
      </c>
      <c r="N178" s="78">
        <f>IFERROR(_xlfn.MAXIFS(tblLecturas[Kilometraje],tblLecturas[Codigo],$A178,tblLecturas[Kilometraje],"&gt;0"),"")</f>
        <v>69314</v>
      </c>
      <c r="O178" s="78" cm="1">
        <f t="array" ref="O178">IFERROR(IF($I178="KM",LOOKUP(2,1/(Lecturas!$B:$B=$A178)/(Lecturas!$D:$D&gt;0),Lecturas!$D:$D),LOOKUP(2,1/(Lecturas!$B:$B=$A178)/(Lecturas!$C:$C&gt;0),Lecturas!$C:$C)),"")</f>
        <v>69314</v>
      </c>
      <c r="P178" s="20">
        <f>IFERROR(_xlfn.MAXIFS(tblMantenciones[Fecha],tblMantenciones[Codigo],tblMaestroEquipos[[#This Row],[Codigo]],tblMantenciones[EsPM],"Sí"),"")</f>
        <v>42291</v>
      </c>
      <c r="Q178" s="78">
        <f>IF(_xlfn.MAXIFS(Mantenciones!$D:$D,Mantenciones!$B:$B,A178)=0,"Sin datos de mantención registrado",_xlfn.MAXIFS(Mantenciones!$D:$D,Mantenciones!$B:$B,A178))</f>
        <v>39117</v>
      </c>
      <c r="R178" s="18">
        <f>IFERROR(IF(_xlfn.MAXIFS(Mantenciones!$D:$D,Mantenciones!$B:$B,$A178,Mantenciones!$E:$E,"Sí",Mantenciones!$D:$D,"&gt;0")=0,"Sin datos de mantención registrado",_xlfn.MAXIFS(Mantenciones!$D:$D,Mantenciones!$B:$B,$A178,Mantenciones!$E:$E,"Sí",Mantenciones!$D:$D,"&gt;0")),"Sin datos de mantención registrado")</f>
        <v>39117</v>
      </c>
      <c r="S178" s="21">
        <f>IFERROR(SUMIFS(tblMantenciones[Costo Mantencion CLP],tblMantenciones[Codigo],A178),0)</f>
        <v>405603</v>
      </c>
      <c r="T178" s="21">
        <f>IFERROR(SUMIFS(tblComprasPM[Costo PM CLP],tblComprasPM[Codigo],tblMaestroEquipos[[#This Row],[Codigo]]),0)</f>
        <v>0</v>
      </c>
      <c r="U178" s="21">
        <f>IFERROR(tblMaestroEquipos[[#This Row],[Costo Mantenciones CLP]]+tblMaestroEquipos[[#This Row],[Costo Compras PM CLP]],0)</f>
        <v>405603</v>
      </c>
      <c r="V178" s="18" t="str">
        <f>IFERROR(_xlfn.XLOOKUP(tblMaestroEquipos[[#This Row],[Codigo]],tblEquipos[Codigo],tblEquipos[Estado Base]),"")</f>
        <v>Operativo</v>
      </c>
      <c r="W178" s="18" t="str">
        <f t="shared" si="18"/>
        <v>ATRASADA</v>
      </c>
      <c r="X178" s="18">
        <f t="shared" si="19"/>
        <v>-15197</v>
      </c>
      <c r="Y178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30936</v>
      </c>
      <c r="Z178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78" s="25" t="str">
        <f>IFERROR(IF(_xlfn.MAXIFS(tblBodega[Fecha],tblBodega[Codigo],tblMaestroEquipos[[#This Row],[Codigo]])=0,"",_xlfn.MAXIFS(tblBodega[Fecha],tblBodega[Codigo],tblMaestroEquipos[[#This Row],[Codigo]])),"")</f>
        <v/>
      </c>
      <c r="AB178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7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7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78" s="51" t="str">
        <f t="shared" si="17"/>
        <v>OPERATIVO</v>
      </c>
      <c r="AF178" s="18" t="str">
        <f t="shared" si="20"/>
        <v>BAJA</v>
      </c>
      <c r="AG178" s="18" t="str">
        <f t="shared" si="21"/>
        <v>Monitorear próximo vencimiento</v>
      </c>
      <c r="AH178">
        <f t="shared" si="22"/>
        <v>0</v>
      </c>
      <c r="AI178" t="str">
        <f t="shared" si="23"/>
        <v/>
      </c>
      <c r="AJ178" s="24">
        <f t="shared" si="24"/>
        <v>1</v>
      </c>
    </row>
    <row r="179" spans="1:36">
      <c r="A179" s="18" t="s">
        <v>443</v>
      </c>
      <c r="B179" s="18" t="s">
        <v>340</v>
      </c>
      <c r="C179" s="18" t="s">
        <v>1070</v>
      </c>
      <c r="D179" s="18" t="s">
        <v>280</v>
      </c>
      <c r="E179" s="19" t="s">
        <v>444</v>
      </c>
      <c r="F179" s="18">
        <v>2023</v>
      </c>
      <c r="G179" s="18" t="str" cm="1">
        <f t="array" ref="G179">IFERROR(INDEX(Lecturas!$E$4:$E$3549,MATCH(1,(Lecturas!$B$4:$B$3549=$A179)*(Lecturas!$E$4:$E$3549&lt;&gt;"")*(Lecturas!$A$4:$A$3549=_xlfn.MAXIFS(Lecturas!$A$4:$A$3549,Lecturas!$B$4:$B$3549,$A179,Lecturas!$E$4:$E$3549,"&lt;&gt;")),0)),"")</f>
        <v>Cobquecura</v>
      </c>
      <c r="H179" s="18" t="s">
        <v>446</v>
      </c>
      <c r="I179" s="18" t="s">
        <v>18</v>
      </c>
      <c r="J179" s="18">
        <v>250</v>
      </c>
      <c r="K179" s="18">
        <f>IFERROR(IF($I179="KM",ROUND((_xlfn.MAXIFS(tblLecturas[Kilometraje],tblLecturas[Codigo],$A179)-_xlfn.MINIFS(tblLecturas[Kilometraje],tblLecturas[Codigo],$A179))/(MAX(1,_xlfn.MAXIFS(tblLecturas[Fecha],tblLecturas[Codigo],$A179)-_xlfn.MINIFS(tblLecturas[Fecha],tblLecturas[Codigo],$A179))),1),ROUND((_xlfn.MAXIFS(tblLecturas[Horometro],tblLecturas[Codigo],$A179)-_xlfn.MINIFS(tblLecturas[Horometro],tblLecturas[Codigo],$A179))/(MAX(1,_xlfn.MAXIFS(tblLecturas[Fecha],tblLecturas[Codigo],$A179)-_xlfn.MINIFS(tblLecturas[Fecha],tblLecturas[Codigo],$A179))),1)),"")</f>
        <v>2.9</v>
      </c>
      <c r="L179" s="20">
        <f>IFERROR(_xlfn.MAXIFS(tblLecturas[Fecha],tblLecturas[Codigo],$A179),"")</f>
        <v>46111</v>
      </c>
      <c r="M179" s="26">
        <f>IFERROR(_xlfn.MAXIFS(Lecturas!$C:$C,Lecturas!$B:$B,$A179,Lecturas!$C:$C,"&gt;0"),"")</f>
        <v>2396</v>
      </c>
      <c r="N179" s="78">
        <f>IFERROR(_xlfn.MAXIFS(tblLecturas[Kilometraje],tblLecturas[Codigo],$A179,tblLecturas[Kilometraje],"&gt;0"),"")</f>
        <v>0</v>
      </c>
      <c r="O179" s="78" cm="1">
        <f t="array" ref="O179">IFERROR(IF($I179="KM",LOOKUP(2,1/(Lecturas!$B:$B=$A179)/(Lecturas!$D:$D&gt;0),Lecturas!$D:$D),LOOKUP(2,1/(Lecturas!$B:$B=$A179)/(Lecturas!$C:$C&gt;0),Lecturas!$C:$C)),"")</f>
        <v>2396</v>
      </c>
      <c r="P179" s="20">
        <f>IFERROR(_xlfn.MAXIFS(tblMantenciones[Fecha],tblMantenciones[Codigo],tblMaestroEquipos[[#This Row],[Codigo]],tblMantenciones[EsPM],"Sí"),"")</f>
        <v>46100</v>
      </c>
      <c r="Q179" s="78">
        <f>IF(_xlfn.MAXIFS(Mantenciones!$D:$D,Mantenciones!$B:$B,A179)=0,"Sin datos de mantención registrado",_xlfn.MAXIFS(Mantenciones!$D:$D,Mantenciones!$B:$B,A179))</f>
        <v>2360</v>
      </c>
      <c r="R179" s="18">
        <f>IFERROR(IF(_xlfn.MAXIFS(Mantenciones!$D:$D,Mantenciones!$B:$B,$A179,Mantenciones!$E:$E,"Sí",Mantenciones!$D:$D,"&gt;0")=0,"Sin datos de mantención registrado",_xlfn.MAXIFS(Mantenciones!$D:$D,Mantenciones!$B:$B,$A179,Mantenciones!$E:$E,"Sí",Mantenciones!$D:$D,"&gt;0")),"Sin datos de mantención registrado")</f>
        <v>2360</v>
      </c>
      <c r="S179" s="21">
        <f>IFERROR(SUMIFS(tblMantenciones[Costo Mantencion CLP],tblMantenciones[Codigo],A179),0)</f>
        <v>0</v>
      </c>
      <c r="T179" s="21">
        <f>IFERROR(SUMIFS(tblComprasPM[Costo PM CLP],tblComprasPM[Codigo],tblMaestroEquipos[[#This Row],[Codigo]]),0)</f>
        <v>0</v>
      </c>
      <c r="U179" s="21">
        <f>IFERROR(tblMaestroEquipos[[#This Row],[Costo Mantenciones CLP]]+tblMaestroEquipos[[#This Row],[Costo Compras PM CLP]],0)</f>
        <v>0</v>
      </c>
      <c r="V179" s="18" t="str">
        <f>IFERROR(_xlfn.XLOOKUP(tblMaestroEquipos[[#This Row],[Codigo]],tblEquipos[Codigo],tblEquipos[Estado Base]),"")</f>
        <v>Operativo</v>
      </c>
      <c r="W179" s="18" t="str">
        <f t="shared" si="18"/>
        <v>AL DÍA</v>
      </c>
      <c r="X179" s="18">
        <f t="shared" si="19"/>
        <v>214</v>
      </c>
      <c r="Y179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46325</v>
      </c>
      <c r="Z17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79" s="25">
        <f>IFERROR(IF(_xlfn.MAXIFS(tblBodega[Fecha],tblBodega[Codigo],tblMaestroEquipos[[#This Row],[Codigo]])=0,"",_xlfn.MAXIFS(tblBodega[Fecha],tblBodega[Codigo],tblMaestroEquipos[[#This Row],[Codigo]])),"")</f>
        <v>46083</v>
      </c>
      <c r="AB17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79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17</v>
      </c>
      <c r="AD17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79" s="51" t="str">
        <f t="shared" si="17"/>
        <v>OPERATIVO</v>
      </c>
      <c r="AF179" s="18" t="str">
        <f t="shared" si="20"/>
        <v>BAJA</v>
      </c>
      <c r="AG179" s="18" t="str">
        <f t="shared" si="21"/>
        <v>Monitorear próximo vencimiento</v>
      </c>
      <c r="AH179">
        <f t="shared" si="22"/>
        <v>0</v>
      </c>
      <c r="AI179" t="str">
        <f t="shared" si="23"/>
        <v/>
      </c>
      <c r="AJ179" s="24">
        <f t="shared" si="24"/>
        <v>99</v>
      </c>
    </row>
    <row r="180" spans="1:36" s="27" customFormat="1">
      <c r="A180" s="18" t="s">
        <v>449</v>
      </c>
      <c r="B180" s="18" t="s">
        <v>340</v>
      </c>
      <c r="C180" s="18" t="s">
        <v>1070</v>
      </c>
      <c r="D180" s="18" t="s">
        <v>260</v>
      </c>
      <c r="E180" s="19" t="s">
        <v>441</v>
      </c>
      <c r="F180" s="18">
        <v>2023</v>
      </c>
      <c r="G180" s="18" t="str" cm="1">
        <f t="array" ref="G180">IFERROR(INDEX(Lecturas!$E$4:$E$3549,MATCH(1,(Lecturas!$B$4:$B$3549=$A180)*(Lecturas!$E$4:$E$3549&lt;&gt;"")*(Lecturas!$A$4:$A$3549=_xlfn.MAXIFS(Lecturas!$A$4:$A$3549,Lecturas!$B$4:$B$3549,$A180,Lecturas!$E$4:$E$3549,"&lt;&gt;")),0)),"")</f>
        <v>San Carlos</v>
      </c>
      <c r="H180" s="18" t="s">
        <v>1090</v>
      </c>
      <c r="I180" s="18" t="s">
        <v>18</v>
      </c>
      <c r="J180" s="18">
        <v>250</v>
      </c>
      <c r="K180" s="18">
        <f>IFERROR(IF($I180="KM",ROUND((_xlfn.MAXIFS(tblLecturas[Kilometraje],tblLecturas[Codigo],$A180)-_xlfn.MINIFS(tblLecturas[Kilometraje],tblLecturas[Codigo],$A180))/(MAX(1,_xlfn.MAXIFS(tblLecturas[Fecha],tblLecturas[Codigo],$A180)-_xlfn.MINIFS(tblLecturas[Fecha],tblLecturas[Codigo],$A180))),1),ROUND((_xlfn.MAXIFS(tblLecturas[Horometro],tblLecturas[Codigo],$A180)-_xlfn.MINIFS(tblLecturas[Horometro],tblLecturas[Codigo],$A180))/(MAX(1,_xlfn.MAXIFS(tblLecturas[Fecha],tblLecturas[Codigo],$A180)-_xlfn.MINIFS(tblLecturas[Fecha],tblLecturas[Codigo],$A180))),1)),"")</f>
        <v>2.9</v>
      </c>
      <c r="L180" s="20">
        <f>IFERROR(_xlfn.MAXIFS(tblLecturas[Fecha],tblLecturas[Codigo],$A180),"")</f>
        <v>46129</v>
      </c>
      <c r="M180" s="26">
        <f>IFERROR(_xlfn.MAXIFS(Lecturas!$C:$C,Lecturas!$B:$B,$A180,Lecturas!$C:$C,"&gt;0"),"")</f>
        <v>1880</v>
      </c>
      <c r="N180" s="78">
        <f>IFERROR(_xlfn.MAXIFS(tblLecturas[Kilometraje],tblLecturas[Codigo],$A180,tblLecturas[Kilometraje],"&gt;0"),"")</f>
        <v>91313</v>
      </c>
      <c r="O180" s="78" cm="1">
        <f t="array" ref="O180">IFERROR(IF($I180="KM",LOOKUP(2,1/(Lecturas!$B:$B=$A180)/(Lecturas!$D:$D&gt;0),Lecturas!$D:$D),LOOKUP(2,1/(Lecturas!$B:$B=$A180)/(Lecturas!$C:$C&gt;0),Lecturas!$C:$C)),"")</f>
        <v>1861</v>
      </c>
      <c r="P180" s="20">
        <f>IFERROR(_xlfn.MAXIFS(tblMantenciones[Fecha],tblMantenciones[Codigo],tblMaestroEquipos[[#This Row],[Codigo]],tblMantenciones[EsPM],"Sí"),"")</f>
        <v>45971</v>
      </c>
      <c r="Q180" s="78">
        <f>IF(_xlfn.MAXIFS(Mantenciones!$D:$D,Mantenciones!$B:$B,A180)=0,"Sin datos de mantención registrado",_xlfn.MAXIFS(Mantenciones!$D:$D,Mantenciones!$B:$B,A180))</f>
        <v>1496</v>
      </c>
      <c r="R180" s="18">
        <f>IFERROR(IF(_xlfn.MAXIFS(Mantenciones!$D:$D,Mantenciones!$B:$B,$A180,Mantenciones!$E:$E,"Sí",Mantenciones!$D:$D,"&gt;0")=0,"Sin datos de mantención registrado",_xlfn.MAXIFS(Mantenciones!$D:$D,Mantenciones!$B:$B,$A180,Mantenciones!$E:$E,"Sí",Mantenciones!$D:$D,"&gt;0")),"Sin datos de mantención registrado")</f>
        <v>1496</v>
      </c>
      <c r="S180" s="21">
        <f>IFERROR(SUMIFS(tblMantenciones[Costo Mantencion CLP],tblMantenciones[Codigo],A180),0)</f>
        <v>0</v>
      </c>
      <c r="T180" s="21">
        <f>IFERROR(SUMIFS(tblComprasPM[Costo PM CLP],tblComprasPM[Codigo],tblMaestroEquipos[[#This Row],[Codigo]]),0)</f>
        <v>517052.62</v>
      </c>
      <c r="U180" s="21">
        <f>IFERROR(tblMaestroEquipos[[#This Row],[Costo Mantenciones CLP]]+tblMaestroEquipos[[#This Row],[Costo Compras PM CLP]],0)</f>
        <v>517052.62</v>
      </c>
      <c r="V180" s="18" t="str">
        <f>IFERROR(_xlfn.XLOOKUP(tblMaestroEquipos[[#This Row],[Codigo]],tblEquipos[Codigo],tblEquipos[Estado Base]),"")</f>
        <v>Operativo</v>
      </c>
      <c r="W180" s="18" t="str">
        <f t="shared" si="18"/>
        <v>POR RECIBIR</v>
      </c>
      <c r="X180" s="18">
        <f t="shared" si="19"/>
        <v>-115</v>
      </c>
      <c r="Y180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46014</v>
      </c>
      <c r="Z180" s="25">
        <f>IFERROR(IF(_xlfn.MINIFS(tblComprasPM[Fecha],tblComprasPM[Codigo],tblMaestroEquipos[[#This Row],[Codigo]])=0,"",_xlfn.MINIFS(tblComprasPM[Fecha],tblComprasPM[Codigo],tblMaestroEquipos[[#This Row],[Codigo]])),"")</f>
        <v>46076.736264895801</v>
      </c>
      <c r="AA180" s="25">
        <f>IFERROR(IF(_xlfn.MAXIFS(tblBodega[Fecha],tblBodega[Codigo],tblMaestroEquipos[[#This Row],[Codigo]])=0,"",_xlfn.MAXIFS(tblBodega[Fecha],tblBodega[Codigo],tblMaestroEquipos[[#This Row],[Codigo]])),"")</f>
        <v>46083</v>
      </c>
      <c r="AB180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80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8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80" s="51" t="str">
        <f t="shared" si="17"/>
        <v>OPERATIVO</v>
      </c>
      <c r="AF180" s="18" t="str">
        <f t="shared" si="20"/>
        <v>BAJA</v>
      </c>
      <c r="AG180" s="18" t="str">
        <f t="shared" si="21"/>
        <v>Monitorear próximo vencimiento</v>
      </c>
      <c r="AH180">
        <f t="shared" si="22"/>
        <v>0</v>
      </c>
      <c r="AI180" t="str">
        <f t="shared" si="23"/>
        <v/>
      </c>
      <c r="AJ180" s="24">
        <f t="shared" si="24"/>
        <v>3</v>
      </c>
    </row>
    <row r="181" spans="1:36" s="27" customFormat="1">
      <c r="A181" s="18" t="s">
        <v>523</v>
      </c>
      <c r="B181" s="18" t="s">
        <v>459</v>
      </c>
      <c r="C181" s="18" t="s">
        <v>1074</v>
      </c>
      <c r="D181" s="18" t="s">
        <v>99</v>
      </c>
      <c r="E181" s="19" t="s">
        <v>524</v>
      </c>
      <c r="F181" s="18">
        <v>2025</v>
      </c>
      <c r="G181" s="18" t="str" cm="1">
        <f t="array" ref="G181">IFERROR(INDEX(Lecturas!$E$4:$E$3549,MATCH(1,(Lecturas!$B$4:$B$3549=$A181)*(Lecturas!$E$4:$E$3549&lt;&gt;"")*(Lecturas!$A$4:$A$3549=_xlfn.MAXIFS(Lecturas!$A$4:$A$3549,Lecturas!$B$4:$B$3549,$A181,Lecturas!$E$4:$E$3549,"&lt;&gt;")),0)),"")</f>
        <v>Pelluhue</v>
      </c>
      <c r="H181" s="18" t="s">
        <v>1094</v>
      </c>
      <c r="I181" s="18" t="s">
        <v>462</v>
      </c>
      <c r="J181" s="18">
        <v>15000</v>
      </c>
      <c r="K181" s="18">
        <f>IFERROR(IF($I181="KM",ROUND((_xlfn.MAXIFS(tblLecturas[Kilometraje],tblLecturas[Codigo],$A181)-_xlfn.MINIFS(tblLecturas[Kilometraje],tblLecturas[Codigo],$A181))/(MAX(1,_xlfn.MAXIFS(tblLecturas[Fecha],tblLecturas[Codigo],$A181)-_xlfn.MINIFS(tblLecturas[Fecha],tblLecturas[Codigo],$A181))),1),ROUND((_xlfn.MAXIFS(tblLecturas[Horometro],tblLecturas[Codigo],$A181)-_xlfn.MINIFS(tblLecturas[Horometro],tblLecturas[Codigo],$A181))/(MAX(1,_xlfn.MAXIFS(tblLecturas[Fecha],tblLecturas[Codigo],$A181)-_xlfn.MINIFS(tblLecturas[Fecha],tblLecturas[Codigo],$A181))),1)),"")</f>
        <v>488.5</v>
      </c>
      <c r="L181" s="20">
        <f>IFERROR(_xlfn.MAXIFS(tblLecturas[Fecha],tblLecturas[Codigo],$A181),"")</f>
        <v>46120</v>
      </c>
      <c r="M181" s="26">
        <f>IFERROR(_xlfn.MAXIFS(Lecturas!$C:$C,Lecturas!$B:$B,$A181,Lecturas!$C:$C,"&gt;0"),"")</f>
        <v>0</v>
      </c>
      <c r="N181" s="78">
        <f>IFERROR(_xlfn.MAXIFS(tblLecturas[Kilometraje],tblLecturas[Codigo],$A181,tblLecturas[Kilometraje],"&gt;0"),"")</f>
        <v>95301</v>
      </c>
      <c r="O181" s="78" cm="1">
        <f t="array" ref="O181">IFERROR(IF($I181="KM",LOOKUP(2,1/(Lecturas!$B:$B=$A181)/(Lecturas!$D:$D&gt;0),Lecturas!$D:$D),LOOKUP(2,1/(Lecturas!$B:$B=$A181)/(Lecturas!$C:$C&gt;0),Lecturas!$C:$C)),"")</f>
        <v>67281</v>
      </c>
      <c r="P181" s="20">
        <f>IFERROR(_xlfn.MAXIFS(tblMantenciones[Fecha],tblMantenciones[Codigo],tblMaestroEquipos[[#This Row],[Codigo]],tblMantenciones[EsPM],"Sí"),"")</f>
        <v>46073</v>
      </c>
      <c r="Q181" s="26">
        <f>IF(_xlfn.MAXIFS(Mantenciones!$D:$D,Mantenciones!$B:$B,A181)=0,"Sin datos de mantención registrado",_xlfn.MAXIFS(Mantenciones!$D:$D,Mantenciones!$B:$B,A181))</f>
        <v>58306</v>
      </c>
      <c r="R181" s="18">
        <f>IFERROR(IF(_xlfn.MAXIFS(Mantenciones!$D:$D,Mantenciones!$B:$B,$A181,Mantenciones!$E:$E,"Sí",Mantenciones!$D:$D,"&gt;0")=0,"Sin datos de mantención registrado",_xlfn.MAXIFS(Mantenciones!$D:$D,Mantenciones!$B:$B,$A181,Mantenciones!$E:$E,"Sí",Mantenciones!$D:$D,"&gt;0")),"Sin datos de mantención registrado")</f>
        <v>58306</v>
      </c>
      <c r="S181" s="21">
        <f>IFERROR(SUMIFS(tblMantenciones[Costo Mantencion CLP],tblMantenciones[Codigo],A181),0)</f>
        <v>0</v>
      </c>
      <c r="T181" s="21">
        <f>IFERROR(SUMIFS(tblComprasPM[Costo PM CLP],tblComprasPM[Codigo],tblMaestroEquipos[[#This Row],[Codigo]]),0)</f>
        <v>426593.58</v>
      </c>
      <c r="U181" s="21">
        <f>IFERROR(tblMaestroEquipos[[#This Row],[Costo Mantenciones CLP]]+tblMaestroEquipos[[#This Row],[Costo Compras PM CLP]],0)</f>
        <v>426593.58</v>
      </c>
      <c r="V181" s="18" t="str">
        <f>IFERROR(_xlfn.XLOOKUP(tblMaestroEquipos[[#This Row],[Codigo]],tblEquipos[Codigo],tblEquipos[Estado Base]),"")</f>
        <v>Operativo</v>
      </c>
      <c r="W181" s="18" t="str">
        <f t="shared" si="18"/>
        <v>EN PROCESO</v>
      </c>
      <c r="X181" s="18">
        <f t="shared" si="19"/>
        <v>6025</v>
      </c>
      <c r="Y181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52145</v>
      </c>
      <c r="Z181" s="25">
        <f>IFERROR(IF(_xlfn.MINIFS(tblComprasPM[Fecha],tblComprasPM[Codigo],tblMaestroEquipos[[#This Row],[Codigo]])=0,"",_xlfn.MINIFS(tblComprasPM[Fecha],tblComprasPM[Codigo],tblMaestroEquipos[[#This Row],[Codigo]])),"")</f>
        <v>46073.685945798599</v>
      </c>
      <c r="AA181" s="25" t="str">
        <f>IFERROR(IF(_xlfn.MAXIFS(tblBodega[Fecha],tblBodega[Codigo],tblMaestroEquipos[[#This Row],[Codigo]])=0,"",_xlfn.MAXIFS(tblBodega[Fecha],tblBodega[Codigo],tblMaestroEquipos[[#This Row],[Codigo]])),"")</f>
        <v/>
      </c>
      <c r="AB18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8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8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81" s="51" t="str">
        <f t="shared" si="17"/>
        <v>EN PROCESO</v>
      </c>
      <c r="AF181" s="18" t="str">
        <f t="shared" si="20"/>
        <v>SEGUIMIENTO</v>
      </c>
      <c r="AG181" s="18" t="str">
        <f t="shared" si="21"/>
        <v>Hacer seguimiento al taller y cerrar report</v>
      </c>
      <c r="AH181">
        <f t="shared" si="22"/>
        <v>0</v>
      </c>
      <c r="AI181" t="str">
        <f t="shared" si="23"/>
        <v/>
      </c>
      <c r="AJ181" s="24">
        <f t="shared" si="24"/>
        <v>2</v>
      </c>
    </row>
    <row r="182" spans="1:36">
      <c r="A182" s="18" t="s">
        <v>475</v>
      </c>
      <c r="B182" s="18" t="s">
        <v>459</v>
      </c>
      <c r="C182" s="18" t="s">
        <v>1074</v>
      </c>
      <c r="D182" s="18" t="s">
        <v>476</v>
      </c>
      <c r="E182" s="19" t="s">
        <v>477</v>
      </c>
      <c r="F182" s="18">
        <v>2019</v>
      </c>
      <c r="G182" s="18" t="str" cm="1">
        <f t="array" ref="G182">IFERROR(INDEX(Lecturas!$E$4:$E$3549,MATCH(1,(Lecturas!$B$4:$B$3549=$A182)*(Lecturas!$E$4:$E$3549&lt;&gt;"")*(Lecturas!$A$4:$A$3549=_xlfn.MAXIFS(Lecturas!$A$4:$A$3549,Lecturas!$B$4:$B$3549,$A182,Lecturas!$E$4:$E$3549,"&lt;&gt;")),0)),"")</f>
        <v/>
      </c>
      <c r="H182" s="18" t="s">
        <v>478</v>
      </c>
      <c r="I182" s="18" t="s">
        <v>462</v>
      </c>
      <c r="J182" s="18">
        <v>15000</v>
      </c>
      <c r="K182" s="18">
        <f>IFERROR(IF($I182="KM",ROUND((_xlfn.MAXIFS(tblLecturas[Kilometraje],tblLecturas[Codigo],$A182)-_xlfn.MINIFS(tblLecturas[Kilometraje],tblLecturas[Codigo],$A182))/(MAX(1,_xlfn.MAXIFS(tblLecturas[Fecha],tblLecturas[Codigo],$A182)-_xlfn.MINIFS(tblLecturas[Fecha],tblLecturas[Codigo],$A182))),1),ROUND((_xlfn.MAXIFS(tblLecturas[Horometro],tblLecturas[Codigo],$A182)-_xlfn.MINIFS(tblLecturas[Horometro],tblLecturas[Codigo],$A182))/(MAX(1,_xlfn.MAXIFS(tblLecturas[Fecha],tblLecturas[Codigo],$A182)-_xlfn.MINIFS(tblLecturas[Fecha],tblLecturas[Codigo],$A182))),1)),"")</f>
        <v>4947.8</v>
      </c>
      <c r="L182" s="20">
        <f>IFERROR(_xlfn.MAXIFS(tblLecturas[Fecha],tblLecturas[Codigo],$A182),"")</f>
        <v>46055</v>
      </c>
      <c r="M182" s="26">
        <f>IFERROR(_xlfn.MAXIFS(Lecturas!$C:$C,Lecturas!$B:$B,$A182,Lecturas!$C:$C,"&gt;0"),"")</f>
        <v>10283</v>
      </c>
      <c r="N182" s="78">
        <f>IFERROR(_xlfn.MAXIFS(tblLecturas[Kilometraje],tblLecturas[Codigo],$A182,tblLecturas[Kilometraje],"&gt;0"),"")</f>
        <v>246005</v>
      </c>
      <c r="O182" s="78" cm="1">
        <f t="array" ref="O182">IFERROR(IF($I182="KM",LOOKUP(2,1/(Lecturas!$B:$B=$A182)/(Lecturas!$D:$D&gt;0),Lecturas!$D:$D),LOOKUP(2,1/(Lecturas!$B:$B=$A182)/(Lecturas!$C:$C&gt;0),Lecturas!$C:$C)),"")</f>
        <v>77781</v>
      </c>
      <c r="P182" s="20">
        <f>IFERROR(_xlfn.MAXIFS(tblMantenciones[Fecha],tblMantenciones[Codigo],tblMaestroEquipos[[#This Row],[Codigo]],tblMantenciones[EsPM],"Sí"),"")</f>
        <v>0</v>
      </c>
      <c r="Q182" s="78" t="str">
        <f>IF(_xlfn.MAXIFS(Mantenciones!$D:$D,Mantenciones!$B:$B,A182)=0,"Sin datos de mantención registrado",_xlfn.MAXIFS(Mantenciones!$D:$D,Mantenciones!$B:$B,A182))</f>
        <v>Sin datos de mantención registrado</v>
      </c>
      <c r="R182" s="18" t="str">
        <f>IFERROR(IF(_xlfn.MAXIFS(Mantenciones!$D:$D,Mantenciones!$B:$B,$A182,Mantenciones!$E:$E,"Sí",Mantenciones!$D:$D,"&gt;0")=0,"Sin datos de mantención registrado",_xlfn.MAXIFS(Mantenciones!$D:$D,Mantenciones!$B:$B,$A182,Mantenciones!$E:$E,"Sí",Mantenciones!$D:$D,"&gt;0")),"Sin datos de mantención registrado")</f>
        <v>Sin datos de mantención registrado</v>
      </c>
      <c r="S182" s="21">
        <f>IFERROR(SUMIFS(tblMantenciones[Costo Mantencion CLP],tblMantenciones[Codigo],A182),0)</f>
        <v>0</v>
      </c>
      <c r="T182" s="21">
        <f>IFERROR(SUMIFS(tblComprasPM[Costo PM CLP],tblComprasPM[Codigo],tblMaestroEquipos[[#This Row],[Codigo]]),0)</f>
        <v>0</v>
      </c>
      <c r="U182" s="21">
        <f>IFERROR(tblMaestroEquipos[[#This Row],[Costo Mantenciones CLP]]+tblMaestroEquipos[[#This Row],[Costo Compras PM CLP]],0)</f>
        <v>0</v>
      </c>
      <c r="V182" s="18" t="str">
        <f>IFERROR(_xlfn.XLOOKUP(tblMaestroEquipos[[#This Row],[Codigo]],tblEquipos[Codigo],tblEquipos[Estado Base]),"")</f>
        <v>Fuera de Servicio</v>
      </c>
      <c r="W182" s="18" t="str">
        <f t="shared" si="18"/>
        <v>FUERA DE SERVICIO</v>
      </c>
      <c r="X182" s="18" t="str">
        <f t="shared" si="19"/>
        <v/>
      </c>
      <c r="Y18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8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82" s="25" t="str">
        <f>IFERROR(IF(_xlfn.MAXIFS(tblBodega[Fecha],tblBodega[Codigo],tblMaestroEquipos[[#This Row],[Codigo]])=0,"",_xlfn.MAXIFS(tblBodega[Fecha],tblBodega[Codigo],tblMaestroEquipos[[#This Row],[Codigo]])),"")</f>
        <v/>
      </c>
      <c r="AB18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8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8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82" s="51" t="str">
        <f t="shared" si="17"/>
        <v>FUERA DE SERVICIO</v>
      </c>
      <c r="AF182" s="18" t="str">
        <f t="shared" si="20"/>
        <v>NO APLICA</v>
      </c>
      <c r="AG182" s="18" t="str">
        <f t="shared" si="21"/>
        <v>No programar compra</v>
      </c>
      <c r="AH182">
        <f t="shared" si="22"/>
        <v>0</v>
      </c>
      <c r="AI182" t="str">
        <f t="shared" si="23"/>
        <v/>
      </c>
      <c r="AJ182" s="24">
        <f t="shared" si="24"/>
        <v>99</v>
      </c>
    </row>
    <row r="183" spans="1:36" s="27" customFormat="1">
      <c r="A183" s="18" t="s">
        <v>169</v>
      </c>
      <c r="B183" s="18" t="s">
        <v>20</v>
      </c>
      <c r="C183" s="18" t="s">
        <v>1069</v>
      </c>
      <c r="D183" s="18" t="s">
        <v>21</v>
      </c>
      <c r="E183" s="19" t="s">
        <v>87</v>
      </c>
      <c r="F183" s="18">
        <v>2020</v>
      </c>
      <c r="G183" s="18" t="str" cm="1">
        <f t="array" ref="G183">IFERROR(INDEX(Lecturas!$E$4:$E$3549,MATCH(1,(Lecturas!$B$4:$B$3549=$A183)*(Lecturas!$E$4:$E$3549&lt;&gt;"")*(Lecturas!$A$4:$A$3549=_xlfn.MAXIFS(Lecturas!$A$4:$A$3549,Lecturas!$B$4:$B$3549,$A183,Lecturas!$E$4:$E$3549,"&lt;&gt;")),0)),"")</f>
        <v>Curicó</v>
      </c>
      <c r="H183" s="18" t="s">
        <v>1089</v>
      </c>
      <c r="I183" s="18" t="s">
        <v>18</v>
      </c>
      <c r="J183" s="18">
        <v>250</v>
      </c>
      <c r="K183" s="18">
        <f>IFERROR(IF($I183="KM",ROUND((_xlfn.MAXIFS(tblLecturas[Kilometraje],tblLecturas[Codigo],$A183)-_xlfn.MINIFS(tblLecturas[Kilometraje],tblLecturas[Codigo],$A183))/(MAX(1,_xlfn.MAXIFS(tblLecturas[Fecha],tblLecturas[Codigo],$A183)-_xlfn.MINIFS(tblLecturas[Fecha],tblLecturas[Codigo],$A183))),1),ROUND((_xlfn.MAXIFS(tblLecturas[Horometro],tblLecturas[Codigo],$A183)-_xlfn.MINIFS(tblLecturas[Horometro],tblLecturas[Codigo],$A183))/(MAX(1,_xlfn.MAXIFS(tblLecturas[Fecha],tblLecturas[Codigo],$A183)-_xlfn.MINIFS(tblLecturas[Fecha],tblLecturas[Codigo],$A183))),1)),"")</f>
        <v>4.2</v>
      </c>
      <c r="L183" s="20">
        <f>IFERROR(_xlfn.MAXIFS(tblLecturas[Fecha],tblLecturas[Codigo],$A183),"")</f>
        <v>46108</v>
      </c>
      <c r="M183" s="26">
        <f>IFERROR(_xlfn.MAXIFS(Lecturas!$C:$C,Lecturas!$B:$B,$A183,Lecturas!$C:$C,"&gt;0"),"")</f>
        <v>9933</v>
      </c>
      <c r="N183" s="78">
        <f>IFERROR(_xlfn.MAXIFS(tblLecturas[Kilometraje],tblLecturas[Codigo],$A183,tblLecturas[Kilometraje],"&gt;0"),"")</f>
        <v>199190</v>
      </c>
      <c r="O183" s="78" cm="1">
        <f t="array" ref="O183">IFERROR(IF($I183="KM",LOOKUP(2,1/(Lecturas!$B:$B=$A183)/(Lecturas!$D:$D&gt;0),Lecturas!$D:$D),LOOKUP(2,1/(Lecturas!$B:$B=$A183)/(Lecturas!$C:$C&gt;0),Lecturas!$C:$C)),"")</f>
        <v>4787</v>
      </c>
      <c r="P183" s="20">
        <f>IFERROR(_xlfn.MAXIFS(tblMantenciones[Fecha],tblMantenciones[Codigo],tblMaestroEquipos[[#This Row],[Codigo]],tblMantenciones[EsPM],"Sí"),"")</f>
        <v>46066</v>
      </c>
      <c r="Q183" s="78">
        <f>IF(_xlfn.MAXIFS(Mantenciones!$D:$D,Mantenciones!$B:$B,A183)=0,"Sin datos de mantención registrado",_xlfn.MAXIFS(Mantenciones!$D:$D,Mantenciones!$B:$B,A183))</f>
        <v>9302</v>
      </c>
      <c r="R183" s="18">
        <f>IFERROR(IF(_xlfn.MAXIFS(Mantenciones!$D:$D,Mantenciones!$B:$B,$A183,Mantenciones!$E:$E,"Sí",Mantenciones!$D:$D,"&gt;0")=0,"Sin datos de mantención registrado",_xlfn.MAXIFS(Mantenciones!$D:$D,Mantenciones!$B:$B,$A183,Mantenciones!$E:$E,"Sí",Mantenciones!$D:$D,"&gt;0")),"Sin datos de mantención registrado")</f>
        <v>9302</v>
      </c>
      <c r="S183" s="21">
        <f>IFERROR(SUMIFS(tblMantenciones[Costo Mantencion CLP],tblMantenciones[Codigo],A183),0)</f>
        <v>0</v>
      </c>
      <c r="T183" s="21">
        <f>IFERROR(SUMIFS(tblComprasPM[Costo PM CLP],tblComprasPM[Codigo],tblMaestroEquipos[[#This Row],[Codigo]]),0)</f>
        <v>63430.805899999999</v>
      </c>
      <c r="U183" s="21">
        <f>IFERROR(tblMaestroEquipos[[#This Row],[Costo Mantenciones CLP]]+tblMaestroEquipos[[#This Row],[Costo Compras PM CLP]],0)</f>
        <v>63430.805899999999</v>
      </c>
      <c r="V183" s="18" t="str">
        <f>IFERROR(_xlfn.XLOOKUP(tblMaestroEquipos[[#This Row],[Codigo]],tblEquipos[Codigo],tblEquipos[Estado Base]),"")</f>
        <v>Operativo</v>
      </c>
      <c r="W183" s="18" t="str">
        <f t="shared" si="18"/>
        <v>POR RECIBIR</v>
      </c>
      <c r="X183" s="18">
        <f t="shared" si="19"/>
        <v>4765</v>
      </c>
      <c r="Y18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50873</v>
      </c>
      <c r="Z183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183" s="25">
        <f>IFERROR(IF(_xlfn.MAXIFS(tblBodega[Fecha],tblBodega[Codigo],tblMaestroEquipos[[#This Row],[Codigo]])=0,"",_xlfn.MAXIFS(tblBodega[Fecha],tblBodega[Codigo],tblMaestroEquipos[[#This Row],[Codigo]])),"")</f>
        <v>46077</v>
      </c>
      <c r="AB18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83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8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83" s="51" t="str">
        <f t="shared" si="17"/>
        <v>OPERATIVO</v>
      </c>
      <c r="AF183" s="18" t="str">
        <f t="shared" si="20"/>
        <v>BAJA</v>
      </c>
      <c r="AG183" s="18" t="str">
        <f t="shared" si="21"/>
        <v>Monitorear próximo vencimiento</v>
      </c>
      <c r="AH183">
        <f t="shared" si="22"/>
        <v>0</v>
      </c>
      <c r="AI183" t="str">
        <f t="shared" si="23"/>
        <v/>
      </c>
      <c r="AJ183" s="24">
        <f t="shared" si="24"/>
        <v>3</v>
      </c>
    </row>
    <row r="184" spans="1:36" s="27" customFormat="1">
      <c r="A184" s="18" t="s">
        <v>290</v>
      </c>
      <c r="B184" s="18" t="s">
        <v>291</v>
      </c>
      <c r="C184" s="18" t="s">
        <v>1070</v>
      </c>
      <c r="D184" s="18" t="s">
        <v>292</v>
      </c>
      <c r="E184" s="19" t="s">
        <v>293</v>
      </c>
      <c r="F184" s="18">
        <v>2008</v>
      </c>
      <c r="G184" s="18" t="str" cm="1">
        <f t="array" ref="G184">IFERROR(INDEX(Lecturas!$E$4:$E$3549,MATCH(1,(Lecturas!$B$4:$B$3549=$A184)*(Lecturas!$E$4:$E$3549&lt;&gt;"")*(Lecturas!$A$4:$A$3549=_xlfn.MAXIFS(Lecturas!$A$4:$A$3549,Lecturas!$B$4:$B$3549,$A184,Lecturas!$E$4:$E$3549,"&lt;&gt;")),0)),"")</f>
        <v>San Carlos</v>
      </c>
      <c r="H184" s="18"/>
      <c r="I184" s="18" t="s">
        <v>18</v>
      </c>
      <c r="J184" s="18">
        <v>250</v>
      </c>
      <c r="K184" s="18">
        <f>IFERROR(IF($I184="KM",ROUND((_xlfn.MAXIFS(tblLecturas[Kilometraje],tblLecturas[Codigo],$A184)-_xlfn.MINIFS(tblLecturas[Kilometraje],tblLecturas[Codigo],$A184))/(MAX(1,_xlfn.MAXIFS(tblLecturas[Fecha],tblLecturas[Codigo],$A184)-_xlfn.MINIFS(tblLecturas[Fecha],tblLecturas[Codigo],$A184))),1),ROUND((_xlfn.MAXIFS(tblLecturas[Horometro],tblLecturas[Codigo],$A184)-_xlfn.MINIFS(tblLecturas[Horometro],tblLecturas[Codigo],$A184))/(MAX(1,_xlfn.MAXIFS(tblLecturas[Fecha],tblLecturas[Codigo],$A184)-_xlfn.MINIFS(tblLecturas[Fecha],tblLecturas[Codigo],$A184))),1)),"")</f>
        <v>79</v>
      </c>
      <c r="L184" s="20">
        <f>IFERROR(_xlfn.MAXIFS(tblLecturas[Fecha],tblLecturas[Codigo],$A184),"")</f>
        <v>46099</v>
      </c>
      <c r="M184" s="26">
        <f>IFERROR(_xlfn.MAXIFS(Lecturas!$C:$C,Lecturas!$B:$B,$A184,Lecturas!$C:$C,"&gt;0"),"")</f>
        <v>5326</v>
      </c>
      <c r="N184" s="78">
        <f>IFERROR(_xlfn.MAXIFS(tblLecturas[Kilometraje],tblLecturas[Codigo],$A184,tblLecturas[Kilometraje],"&gt;0"),"")</f>
        <v>0</v>
      </c>
      <c r="O184" s="78" cm="1">
        <f t="array" ref="O184">IFERROR(IF($I184="KM",LOOKUP(2,1/(Lecturas!$B:$B=$A184)/(Lecturas!$D:$D&gt;0),Lecturas!$D:$D),LOOKUP(2,1/(Lecturas!$B:$B=$A184)/(Lecturas!$C:$C&gt;0),Lecturas!$C:$C)),"")</f>
        <v>5326</v>
      </c>
      <c r="P184" s="20">
        <f>IFERROR(_xlfn.MAXIFS(tblMantenciones[Fecha],tblMantenciones[Codigo],tblMaestroEquipos[[#This Row],[Codigo]],tblMantenciones[EsPM],"Sí"),"")</f>
        <v>0</v>
      </c>
      <c r="Q184" s="78" t="str">
        <f>IF(_xlfn.MAXIFS(Mantenciones!$D:$D,Mantenciones!$B:$B,A184)=0,"Sin datos de mantención registrado",_xlfn.MAXIFS(Mantenciones!$D:$D,Mantenciones!$B:$B,A184))</f>
        <v>Sin datos de mantención registrado</v>
      </c>
      <c r="R184" s="18" t="str">
        <f>IFERROR(IF(_xlfn.MAXIFS(Mantenciones!$D:$D,Mantenciones!$B:$B,$A184,Mantenciones!$E:$E,"Sí",Mantenciones!$D:$D,"&gt;0")=0,"Sin datos de mantención registrado",_xlfn.MAXIFS(Mantenciones!$D:$D,Mantenciones!$B:$B,$A184,Mantenciones!$E:$E,"Sí",Mantenciones!$D:$D,"&gt;0")),"Sin datos de mantención registrado")</f>
        <v>Sin datos de mantención registrado</v>
      </c>
      <c r="S184" s="21">
        <f>IFERROR(SUMIFS(tblMantenciones[Costo Mantencion CLP],tblMantenciones[Codigo],A184),0)</f>
        <v>0</v>
      </c>
      <c r="T184" s="21">
        <f>IFERROR(SUMIFS(tblComprasPM[Costo PM CLP],tblComprasPM[Codigo],tblMaestroEquipos[[#This Row],[Codigo]]),0)</f>
        <v>0</v>
      </c>
      <c r="U184" s="21">
        <f>IFERROR(tblMaestroEquipos[[#This Row],[Costo Mantenciones CLP]]+tblMaestroEquipos[[#This Row],[Costo Compras PM CLP]],0)</f>
        <v>0</v>
      </c>
      <c r="V184" s="18" t="str">
        <f>IFERROR(_xlfn.XLOOKUP(tblMaestroEquipos[[#This Row],[Codigo]],tblEquipos[Codigo],tblEquipos[Estado Base]),"")</f>
        <v>Operativo</v>
      </c>
      <c r="W184" s="18" t="str">
        <f t="shared" si="18"/>
        <v>EN PROCESO</v>
      </c>
      <c r="X184" s="18" t="str">
        <f t="shared" si="19"/>
        <v/>
      </c>
      <c r="Y18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84" s="25">
        <f>IFERROR(IF(_xlfn.MINIFS(tblComprasPM[Fecha],tblComprasPM[Codigo],tblMaestroEquipos[[#This Row],[Codigo]])=0,"",_xlfn.MINIFS(tblComprasPM[Fecha],tblComprasPM[Codigo],tblMaestroEquipos[[#This Row],[Codigo]])),"")</f>
        <v>46106</v>
      </c>
      <c r="AA184" s="25" t="str">
        <f>IFERROR(IF(_xlfn.MAXIFS(tblBodega[Fecha],tblBodega[Codigo],tblMaestroEquipos[[#This Row],[Codigo]])=0,"",_xlfn.MAXIFS(tblBodega[Fecha],tblBodega[Codigo],tblMaestroEquipos[[#This Row],[Codigo]])),"")</f>
        <v/>
      </c>
      <c r="AB184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39</v>
      </c>
      <c r="AC18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8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84" s="51" t="str">
        <f t="shared" ref="AE184:AE247" si="25">IF(TRIM(V184)="Fuera de servicio","FUERA DE SERVICIO",
IF(OR(TRIM(V184)="Taller",TRIM(V184)="En taller"),"EN TALLER",
IF(W184="ATRASADO","ATRASADO",
IF(W184="EN PROCESO","EN PROCESO",
IF(W184="PRÓXIMO","PRÓXIMO",
"OPERATIVO")))))</f>
        <v>EN PROCESO</v>
      </c>
      <c r="AF184" s="18" t="str">
        <f t="shared" si="20"/>
        <v>SEGUIMIENTO</v>
      </c>
      <c r="AG184" s="18" t="str">
        <f t="shared" si="21"/>
        <v>Hacer seguimiento al taller y cerrar report</v>
      </c>
      <c r="AH184">
        <f t="shared" si="22"/>
        <v>0</v>
      </c>
      <c r="AI184" t="str">
        <f t="shared" si="23"/>
        <v/>
      </c>
      <c r="AJ184" s="24">
        <f t="shared" si="24"/>
        <v>2</v>
      </c>
    </row>
    <row r="185" spans="1:36" s="27" customFormat="1">
      <c r="A185" s="18" t="s">
        <v>387</v>
      </c>
      <c r="B185" s="18" t="s">
        <v>264</v>
      </c>
      <c r="C185" s="18" t="s">
        <v>1070</v>
      </c>
      <c r="D185" s="18" t="s">
        <v>317</v>
      </c>
      <c r="E185" s="19" t="s">
        <v>388</v>
      </c>
      <c r="F185" s="18">
        <v>2007</v>
      </c>
      <c r="G185" s="18" t="str" cm="1">
        <f t="array" ref="G185">IFERROR(INDEX(Lecturas!$E$4:$E$3549,MATCH(1,(Lecturas!$B$4:$B$3549=$A185)*(Lecturas!$E$4:$E$3549&lt;&gt;"")*(Lecturas!$A$4:$A$3549=_xlfn.MAXIFS(Lecturas!$A$4:$A$3549,Lecturas!$B$4:$B$3549,$A185,Lecturas!$E$4:$E$3549,"&lt;&gt;")),0)),"")</f>
        <v>Curicó</v>
      </c>
      <c r="H185" s="18" t="s">
        <v>1091</v>
      </c>
      <c r="I185" s="18" t="s">
        <v>18</v>
      </c>
      <c r="J185" s="18">
        <v>250</v>
      </c>
      <c r="K185" s="18">
        <f>IFERROR(IF($I185="KM",ROUND((_xlfn.MAXIFS(tblLecturas[Kilometraje],tblLecturas[Codigo],$A185)-_xlfn.MINIFS(tblLecturas[Kilometraje],tblLecturas[Codigo],$A185))/(MAX(1,_xlfn.MAXIFS(tblLecturas[Fecha],tblLecturas[Codigo],$A185)-_xlfn.MINIFS(tblLecturas[Fecha],tblLecturas[Codigo],$A185))),1),ROUND((_xlfn.MAXIFS(tblLecturas[Horometro],tblLecturas[Codigo],$A185)-_xlfn.MINIFS(tblLecturas[Horometro],tblLecturas[Codigo],$A185))/(MAX(1,_xlfn.MAXIFS(tblLecturas[Fecha],tblLecturas[Codigo],$A185)-_xlfn.MINIFS(tblLecturas[Fecha],tblLecturas[Codigo],$A185))),1)),"")</f>
        <v>2.8</v>
      </c>
      <c r="L185" s="20">
        <f>IFERROR(_xlfn.MAXIFS(tblLecturas[Fecha],tblLecturas[Codigo],$A185),"")</f>
        <v>46114</v>
      </c>
      <c r="M185" s="26">
        <f>IFERROR(_xlfn.MAXIFS(Lecturas!$C:$C,Lecturas!$B:$B,$A185,Lecturas!$C:$C,"&gt;0"),"")</f>
        <v>17345</v>
      </c>
      <c r="N185" s="78">
        <f>IFERROR(_xlfn.MAXIFS(tblLecturas[Kilometraje],tblLecturas[Codigo],$A185,tblLecturas[Kilometraje],"&gt;0"),"")</f>
        <v>0</v>
      </c>
      <c r="O185" s="78" cm="1">
        <f t="array" ref="O185">IFERROR(IF($I185="KM",LOOKUP(2,1/(Lecturas!$B:$B=$A185)/(Lecturas!$D:$D&gt;0),Lecturas!$D:$D),LOOKUP(2,1/(Lecturas!$B:$B=$A185)/(Lecturas!$C:$C&gt;0),Lecturas!$C:$C)),"")</f>
        <v>17345</v>
      </c>
      <c r="P185" s="20">
        <f>IFERROR(_xlfn.MAXIFS(tblMantenciones[Fecha],tblMantenciones[Codigo],tblMaestroEquipos[[#This Row],[Codigo]],tblMantenciones[EsPM],"Sí"),"")</f>
        <v>46098</v>
      </c>
      <c r="Q185" s="26">
        <f>IF(_xlfn.MAXIFS(Mantenciones!$D:$D,Mantenciones!$B:$B,A185)=0,"Sin datos de mantención registrado",_xlfn.MAXIFS(Mantenciones!$D:$D,Mantenciones!$B:$B,A185))</f>
        <v>17296</v>
      </c>
      <c r="R185" s="18">
        <f>IFERROR(IF(_xlfn.MAXIFS(Mantenciones!$D:$D,Mantenciones!$B:$B,$A185,Mantenciones!$E:$E,"Sí",Mantenciones!$D:$D,"&gt;0")=0,"Sin datos de mantención registrado",_xlfn.MAXIFS(Mantenciones!$D:$D,Mantenciones!$B:$B,$A185,Mantenciones!$E:$E,"Sí",Mantenciones!$D:$D,"&gt;0")),"Sin datos de mantención registrado")</f>
        <v>17296</v>
      </c>
      <c r="S185" s="21">
        <f>IFERROR(SUMIFS(tblMantenciones[Costo Mantencion CLP],tblMantenciones[Codigo],A185),0)</f>
        <v>289773.33</v>
      </c>
      <c r="T185" s="21">
        <f>IFERROR(SUMIFS(tblComprasPM[Costo PM CLP],tblComprasPM[Codigo],tblMaestroEquipos[[#This Row],[Codigo]]),0)</f>
        <v>289773.33</v>
      </c>
      <c r="U185" s="21">
        <f>IFERROR(tblMaestroEquipos[[#This Row],[Costo Mantenciones CLP]]+tblMaestroEquipos[[#This Row],[Costo Compras PM CLP]],0)</f>
        <v>579546.66</v>
      </c>
      <c r="V185" s="18" t="str">
        <f>IFERROR(_xlfn.XLOOKUP(tblMaestroEquipos[[#This Row],[Codigo]],tblEquipos[Codigo],tblEquipos[Estado Base]),"")</f>
        <v>Operativo</v>
      </c>
      <c r="W185" s="18" t="str">
        <f t="shared" si="18"/>
        <v>AL DÍA</v>
      </c>
      <c r="X185" s="18">
        <f t="shared" si="19"/>
        <v>201</v>
      </c>
      <c r="Y18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46315</v>
      </c>
      <c r="Z185" s="25">
        <f>IFERROR(IF(_xlfn.MINIFS(tblComprasPM[Fecha],tblComprasPM[Codigo],tblMaestroEquipos[[#This Row],[Codigo]])=0,"",_xlfn.MINIFS(tblComprasPM[Fecha],tblComprasPM[Codigo],tblMaestroEquipos[[#This Row],[Codigo]])),"")</f>
        <v>46085.559944872701</v>
      </c>
      <c r="AA185" s="25">
        <f>IFERROR(IF(_xlfn.MAXIFS(tblBodega[Fecha],tblBodega[Codigo],tblMaestroEquipos[[#This Row],[Codigo]])=0,"",_xlfn.MAXIFS(tblBodega[Fecha],tblBodega[Codigo],tblMaestroEquipos[[#This Row],[Codigo]])),"")</f>
        <v>46098</v>
      </c>
      <c r="AB185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13</v>
      </c>
      <c r="AC18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8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85" s="51" t="str">
        <f t="shared" si="25"/>
        <v>OPERATIVO</v>
      </c>
      <c r="AF185" s="18" t="str">
        <f t="shared" si="20"/>
        <v>BAJA</v>
      </c>
      <c r="AG185" s="18" t="str">
        <f t="shared" si="21"/>
        <v>Monitorear próximo vencimiento</v>
      </c>
      <c r="AH185">
        <f t="shared" si="22"/>
        <v>0</v>
      </c>
      <c r="AI185" t="str">
        <f t="shared" si="23"/>
        <v/>
      </c>
      <c r="AJ185" s="24">
        <f t="shared" si="24"/>
        <v>99</v>
      </c>
    </row>
    <row r="186" spans="1:36" s="27" customFormat="1">
      <c r="A186" s="18" t="s">
        <v>365</v>
      </c>
      <c r="B186" s="18" t="s">
        <v>366</v>
      </c>
      <c r="C186" s="18" t="s">
        <v>1070</v>
      </c>
      <c r="D186" s="18" t="s">
        <v>367</v>
      </c>
      <c r="E186" s="19" t="s">
        <v>368</v>
      </c>
      <c r="F186" s="18">
        <v>2006</v>
      </c>
      <c r="G186" s="18" t="str" cm="1">
        <f t="array" ref="G186">IFERROR(INDEX(Lecturas!$E$4:$E$3549,MATCH(1,(Lecturas!$B$4:$B$3549=$A186)*(Lecturas!$E$4:$E$3549&lt;&gt;"")*(Lecturas!$A$4:$A$3549=_xlfn.MAXIFS(Lecturas!$A$4:$A$3549,Lecturas!$B$4:$B$3549,$A186,Lecturas!$E$4:$E$3549,"&lt;&gt;")),0)),"")</f>
        <v>Curicó</v>
      </c>
      <c r="H186" s="18" t="s">
        <v>57</v>
      </c>
      <c r="I186" s="18" t="s">
        <v>18</v>
      </c>
      <c r="J186" s="18">
        <v>250</v>
      </c>
      <c r="K186" s="18">
        <f>IFERROR(IF($I186="KM",ROUND((_xlfn.MAXIFS(tblLecturas[Kilometraje],tblLecturas[Codigo],$A186)-_xlfn.MINIFS(tblLecturas[Kilometraje],tblLecturas[Codigo],$A186))/(MAX(1,_xlfn.MAXIFS(tblLecturas[Fecha],tblLecturas[Codigo],$A186)-_xlfn.MINIFS(tblLecturas[Fecha],tblLecturas[Codigo],$A186))),1),ROUND((_xlfn.MAXIFS(tblLecturas[Horometro],tblLecturas[Codigo],$A186)-_xlfn.MINIFS(tblLecturas[Horometro],tblLecturas[Codigo],$A186))/(MAX(1,_xlfn.MAXIFS(tblLecturas[Fecha],tblLecturas[Codigo],$A186)-_xlfn.MINIFS(tblLecturas[Fecha],tblLecturas[Codigo],$A186))),1)),"")</f>
        <v>47.2</v>
      </c>
      <c r="L186" s="20">
        <f>IFERROR(_xlfn.MAXIFS(tblLecturas[Fecha],tblLecturas[Codigo],$A186),"")</f>
        <v>46113</v>
      </c>
      <c r="M186" s="26">
        <f>IFERROR(_xlfn.MAXIFS(Lecturas!$C:$C,Lecturas!$B:$B,$A186,Lecturas!$C:$C,"&gt;0"),"")</f>
        <v>48716</v>
      </c>
      <c r="N186" s="78">
        <f>IFERROR(_xlfn.MAXIFS(tblLecturas[Kilometraje],tblLecturas[Codigo],$A186,tblLecturas[Kilometraje],"&gt;0"),"")</f>
        <v>0</v>
      </c>
      <c r="O186" s="78" cm="1">
        <f t="array" ref="O186">IFERROR(IF($I186="KM",LOOKUP(2,1/(Lecturas!$B:$B=$A186)/(Lecturas!$D:$D&gt;0),Lecturas!$D:$D),LOOKUP(2,1/(Lecturas!$B:$B=$A186)/(Lecturas!$C:$C&gt;0),Lecturas!$C:$C)),"")</f>
        <v>3458</v>
      </c>
      <c r="P186" s="20">
        <f>IFERROR(_xlfn.MAXIFS(tblMantenciones[Fecha],tblMantenciones[Codigo],tblMaestroEquipos[[#This Row],[Codigo]],tblMantenciones[EsPM],"Sí"),"")</f>
        <v>46094</v>
      </c>
      <c r="Q186" s="78">
        <f>IF(_xlfn.MAXIFS(Mantenciones!$D:$D,Mantenciones!$B:$B,A186)=0,"Sin datos de mantención registrado",_xlfn.MAXIFS(Mantenciones!$D:$D,Mantenciones!$B:$B,A186))</f>
        <v>17152</v>
      </c>
      <c r="R186" s="18">
        <f>IFERROR(IF(_xlfn.MAXIFS(Mantenciones!$D:$D,Mantenciones!$B:$B,$A186,Mantenciones!$E:$E,"Sí",Mantenciones!$D:$D,"&gt;0")=0,"Sin datos de mantención registrado",_xlfn.MAXIFS(Mantenciones!$D:$D,Mantenciones!$B:$B,$A186,Mantenciones!$E:$E,"Sí",Mantenciones!$D:$D,"&gt;0")),"Sin datos de mantención registrado")</f>
        <v>17152</v>
      </c>
      <c r="S186" s="21">
        <f>IFERROR(SUMIFS(tblMantenciones[Costo Mantencion CLP],tblMantenciones[Codigo],A186),0)</f>
        <v>277000</v>
      </c>
      <c r="T186" s="21">
        <f>IFERROR(SUMIFS(tblComprasPM[Costo PM CLP],tblComprasPM[Codigo],tblMaestroEquipos[[#This Row],[Codigo]]),0)</f>
        <v>0</v>
      </c>
      <c r="U186" s="21">
        <f>IFERROR(tblMaestroEquipos[[#This Row],[Costo Mantenciones CLP]]+tblMaestroEquipos[[#This Row],[Costo Compras PM CLP]],0)</f>
        <v>277000</v>
      </c>
      <c r="V186" s="18" t="str">
        <f>IFERROR(_xlfn.XLOOKUP(tblMaestroEquipos[[#This Row],[Codigo]],tblEquipos[Codigo],tblEquipos[Estado Base]),"")</f>
        <v>Operativo</v>
      </c>
      <c r="W186" s="18" t="str">
        <f t="shared" si="18"/>
        <v>AL DÍA</v>
      </c>
      <c r="X186" s="18">
        <f t="shared" si="19"/>
        <v>13944</v>
      </c>
      <c r="Y186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60057</v>
      </c>
      <c r="Z18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86" s="25">
        <f>IFERROR(IF(_xlfn.MAXIFS(tblBodega[Fecha],tblBodega[Codigo],tblMaestroEquipos[[#This Row],[Codigo]])=0,"",_xlfn.MAXIFS(tblBodega[Fecha],tblBodega[Codigo],tblMaestroEquipos[[#This Row],[Codigo]])),"")</f>
        <v>46079</v>
      </c>
      <c r="AB18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8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15</v>
      </c>
      <c r="AD18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86" s="51" t="str">
        <f t="shared" si="25"/>
        <v>OPERATIVO</v>
      </c>
      <c r="AF186" s="18" t="str">
        <f t="shared" si="20"/>
        <v>BAJA</v>
      </c>
      <c r="AG186" s="18" t="str">
        <f t="shared" si="21"/>
        <v>Monitorear próximo vencimiento</v>
      </c>
      <c r="AH186">
        <f t="shared" si="22"/>
        <v>0</v>
      </c>
      <c r="AI186" t="str">
        <f t="shared" si="23"/>
        <v/>
      </c>
      <c r="AJ186" s="24">
        <f t="shared" si="24"/>
        <v>99</v>
      </c>
    </row>
    <row r="187" spans="1:36">
      <c r="A187" s="18" t="s">
        <v>515</v>
      </c>
      <c r="B187" s="18" t="s">
        <v>502</v>
      </c>
      <c r="C187" s="18" t="s">
        <v>1074</v>
      </c>
      <c r="D187" s="18" t="s">
        <v>503</v>
      </c>
      <c r="E187" s="19" t="s">
        <v>504</v>
      </c>
      <c r="F187" s="18">
        <v>2025</v>
      </c>
      <c r="G187" s="18" t="str" cm="1">
        <f t="array" ref="G187">IFERROR(INDEX(Lecturas!$E$4:$E$3549,MATCH(1,(Lecturas!$B$4:$B$3549=$A187)*(Lecturas!$E$4:$E$3549&lt;&gt;"")*(Lecturas!$A$4:$A$3549=_xlfn.MAXIFS(Lecturas!$A$4:$A$3549,Lecturas!$B$4:$B$3549,$A187,Lecturas!$E$4:$E$3549,"&lt;&gt;")),0)),"")</f>
        <v>San Carlos</v>
      </c>
      <c r="H187" s="18" t="s">
        <v>36</v>
      </c>
      <c r="I187" s="18" t="s">
        <v>462</v>
      </c>
      <c r="J187" s="18">
        <v>10000</v>
      </c>
      <c r="K187" s="18">
        <f>IFERROR(IF($I187="KM",ROUND((_xlfn.MAXIFS(tblLecturas[Kilometraje],tblLecturas[Codigo],$A187)-_xlfn.MINIFS(tblLecturas[Kilometraje],tblLecturas[Codigo],$A187))/(MAX(1,_xlfn.MAXIFS(tblLecturas[Fecha],tblLecturas[Codigo],$A187)-_xlfn.MINIFS(tblLecturas[Fecha],tblLecturas[Codigo],$A187))),1),ROUND((_xlfn.MAXIFS(tblLecturas[Horometro],tblLecturas[Codigo],$A187)-_xlfn.MINIFS(tblLecturas[Horometro],tblLecturas[Codigo],$A187))/(MAX(1,_xlfn.MAXIFS(tblLecturas[Fecha],tblLecturas[Codigo],$A187)-_xlfn.MINIFS(tblLecturas[Fecha],tblLecturas[Codigo],$A187))),1)),"")</f>
        <v>871.5</v>
      </c>
      <c r="L187" s="20">
        <f>IFERROR(_xlfn.MAXIFS(tblLecturas[Fecha],tblLecturas[Codigo],$A187),"")</f>
        <v>46133</v>
      </c>
      <c r="M187" s="26">
        <f>IFERROR(_xlfn.MAXIFS(Lecturas!$C:$C,Lecturas!$B:$B,$A187,Lecturas!$C:$C,"&gt;0"),"")</f>
        <v>14477</v>
      </c>
      <c r="N187" s="78">
        <f>IFERROR(_xlfn.MAXIFS(tblLecturas[Kilometraje],tblLecturas[Codigo],$A187,tblLecturas[Kilometraje],"&gt;0"),"")</f>
        <v>175279</v>
      </c>
      <c r="O187" s="78" cm="1">
        <f t="array" ref="O187">IFERROR(IF($I187="KM",LOOKUP(2,1/(Lecturas!$B:$B=$A187)/(Lecturas!$D:$D&gt;0),Lecturas!$D:$D),LOOKUP(2,1/(Lecturas!$B:$B=$A187)/(Lecturas!$C:$C&gt;0),Lecturas!$C:$C)),"")</f>
        <v>80272</v>
      </c>
      <c r="P187" s="20">
        <f>IFERROR(_xlfn.MAXIFS(tblMantenciones[Fecha],tblMantenciones[Codigo],tblMaestroEquipos[[#This Row],[Codigo]],tblMantenciones[EsPM],"Sí"),"")</f>
        <v>46087</v>
      </c>
      <c r="Q187" s="78">
        <f>IF(_xlfn.MAXIFS(Mantenciones!$D:$D,Mantenciones!$B:$B,A187)=0,"Sin datos de mantención registrado",_xlfn.MAXIFS(Mantenciones!$D:$D,Mantenciones!$B:$B,A187))</f>
        <v>71838</v>
      </c>
      <c r="R187" s="18">
        <f>IFERROR(IF(_xlfn.MAXIFS(Mantenciones!$D:$D,Mantenciones!$B:$B,$A187,Mantenciones!$E:$E,"Sí",Mantenciones!$D:$D,"&gt;0")=0,"Sin datos de mantención registrado",_xlfn.MAXIFS(Mantenciones!$D:$D,Mantenciones!$B:$B,$A187,Mantenciones!$E:$E,"Sí",Mantenciones!$D:$D,"&gt;0")),"Sin datos de mantención registrado")</f>
        <v>71838</v>
      </c>
      <c r="S187" s="21">
        <f>IFERROR(SUMIFS(tblMantenciones[Costo Mantencion CLP],tblMantenciones[Codigo],A187),0)</f>
        <v>0</v>
      </c>
      <c r="T187" s="21">
        <f>IFERROR(SUMIFS(tblComprasPM[Costo PM CLP],tblComprasPM[Codigo],tblMaestroEquipos[[#This Row],[Codigo]]),0)</f>
        <v>24399.973999999998</v>
      </c>
      <c r="U187" s="21">
        <f>IFERROR(tblMaestroEquipos[[#This Row],[Costo Mantenciones CLP]]+tblMaestroEquipos[[#This Row],[Costo Compras PM CLP]],0)</f>
        <v>24399.973999999998</v>
      </c>
      <c r="V187" s="18" t="str">
        <f>IFERROR(_xlfn.XLOOKUP(tblMaestroEquipos[[#This Row],[Codigo]],tblEquipos[Codigo],tblEquipos[Estado Base]),"")</f>
        <v>Operativo</v>
      </c>
      <c r="W187" s="18" t="str">
        <f t="shared" si="18"/>
        <v>AL DÍA</v>
      </c>
      <c r="X187" s="18">
        <f t="shared" si="19"/>
        <v>1566</v>
      </c>
      <c r="Y187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47699</v>
      </c>
      <c r="Z187" s="25">
        <f>IFERROR(IF(_xlfn.MINIFS(tblComprasPM[Fecha],tblComprasPM[Codigo],tblMaestroEquipos[[#This Row],[Codigo]])=0,"",_xlfn.MINIFS(tblComprasPM[Fecha],tblComprasPM[Codigo],tblMaestroEquipos[[#This Row],[Codigo]])),"")</f>
        <v>46118</v>
      </c>
      <c r="AA187" s="25">
        <f>IFERROR(IF(_xlfn.MAXIFS(tblBodega[Fecha],tblBodega[Codigo],tblMaestroEquipos[[#This Row],[Codigo]])=0,"",_xlfn.MAXIFS(tblBodega[Fecha],tblBodega[Codigo],tblMaestroEquipos[[#This Row],[Codigo]])),"")</f>
        <v>46087</v>
      </c>
      <c r="AB18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87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8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87" s="51" t="str">
        <f t="shared" si="25"/>
        <v>OPERATIVO</v>
      </c>
      <c r="AF187" s="18" t="str">
        <f t="shared" si="20"/>
        <v>BAJA</v>
      </c>
      <c r="AG187" s="18" t="str">
        <f t="shared" si="21"/>
        <v>Monitorear próximo vencimiento</v>
      </c>
      <c r="AH187">
        <f t="shared" si="22"/>
        <v>0</v>
      </c>
      <c r="AI187" t="str">
        <f t="shared" si="23"/>
        <v/>
      </c>
      <c r="AJ187" s="24">
        <f t="shared" si="24"/>
        <v>99</v>
      </c>
    </row>
    <row r="188" spans="1:36" s="27" customFormat="1">
      <c r="A188" s="18" t="s">
        <v>81</v>
      </c>
      <c r="B188" s="18" t="s">
        <v>82</v>
      </c>
      <c r="C188" s="18" t="s">
        <v>1069</v>
      </c>
      <c r="D188" s="18" t="s">
        <v>46</v>
      </c>
      <c r="E188" s="19" t="s">
        <v>83</v>
      </c>
      <c r="F188" s="18">
        <v>2013</v>
      </c>
      <c r="G188" s="18" t="str" cm="1">
        <f t="array" ref="G188">IFERROR(INDEX(Lecturas!$E$4:$E$3549,MATCH(1,(Lecturas!$B$4:$B$3549=$A188)*(Lecturas!$E$4:$E$3549&lt;&gt;"")*(Lecturas!$A$4:$A$3549=_xlfn.MAXIFS(Lecturas!$A$4:$A$3549,Lecturas!$B$4:$B$3549,$A188,Lecturas!$E$4:$E$3549,"&lt;&gt;")),0)),"")</f>
        <v>Quirihue</v>
      </c>
      <c r="H188" s="18" t="s">
        <v>1099</v>
      </c>
      <c r="I188" s="18" t="s">
        <v>462</v>
      </c>
      <c r="J188" s="18">
        <v>10000</v>
      </c>
      <c r="K188" s="18">
        <f>IFERROR(IF($I188="KM",ROUND((_xlfn.MAXIFS(tblLecturas[Kilometraje],tblLecturas[Codigo],$A188)-_xlfn.MINIFS(tblLecturas[Kilometraje],tblLecturas[Codigo],$A188))/(MAX(1,_xlfn.MAXIFS(tblLecturas[Fecha],tblLecturas[Codigo],$A188)-_xlfn.MINIFS(tblLecturas[Fecha],tblLecturas[Codigo],$A188))),1),ROUND((_xlfn.MAXIFS(tblLecturas[Horometro],tblLecturas[Codigo],$A188)-_xlfn.MINIFS(tblLecturas[Horometro],tblLecturas[Codigo],$A188))/(MAX(1,_xlfn.MAXIFS(tblLecturas[Fecha],tblLecturas[Codigo],$A188)-_xlfn.MINIFS(tblLecturas[Fecha],tblLecturas[Codigo],$A188))),1)),"")</f>
        <v>645.79999999999995</v>
      </c>
      <c r="L188" s="20">
        <f>IFERROR(_xlfn.MAXIFS(tblLecturas[Fecha],tblLecturas[Codigo],$A188),"")</f>
        <v>46115</v>
      </c>
      <c r="M188" s="26">
        <f>IFERROR(_xlfn.MAXIFS(Lecturas!$C:$C,Lecturas!$B:$B,$A188,Lecturas!$C:$C,"&gt;0"),"")</f>
        <v>8693</v>
      </c>
      <c r="N188" s="78">
        <f>IFERROR(_xlfn.MAXIFS(tblLecturas[Kilometraje],tblLecturas[Codigo],$A188,tblLecturas[Kilometraje],"&gt;0"),"")</f>
        <v>195800</v>
      </c>
      <c r="O188" s="78" cm="1">
        <f t="array" ref="O188">IFERROR(IF($I188="KM",LOOKUP(2,1/(Lecturas!$B:$B=$A188)/(Lecturas!$D:$D&gt;0),Lecturas!$D:$D),LOOKUP(2,1/(Lecturas!$B:$B=$A188)/(Lecturas!$C:$C&gt;0),Lecturas!$C:$C)),"")</f>
        <v>194120</v>
      </c>
      <c r="P188" s="20">
        <f>IFERROR(_xlfn.MAXIFS(tblMantenciones[Fecha],tblMantenciones[Codigo],tblMaestroEquipos[[#This Row],[Codigo]],tblMantenciones[EsPM],"Sí"),"")</f>
        <v>46099</v>
      </c>
      <c r="Q188" s="78">
        <f>IF(_xlfn.MAXIFS(Mantenciones!$D:$D,Mantenciones!$B:$B,A188)=0,"Sin datos de mantención registrado",_xlfn.MAXIFS(Mantenciones!$D:$D,Mantenciones!$B:$B,A188))</f>
        <v>195600</v>
      </c>
      <c r="R188" s="18">
        <f>IFERROR(IF(_xlfn.MAXIFS(Mantenciones!$D:$D,Mantenciones!$B:$B,$A188,Mantenciones!$E:$E,"Sí",Mantenciones!$D:$D,"&gt;0")=0,"Sin datos de mantención registrado",_xlfn.MAXIFS(Mantenciones!$D:$D,Mantenciones!$B:$B,$A188,Mantenciones!$E:$E,"Sí",Mantenciones!$D:$D,"&gt;0")),"Sin datos de mantención registrado")</f>
        <v>195600</v>
      </c>
      <c r="S188" s="21">
        <f>IFERROR(SUMIFS(tblMantenciones[Costo Mantencion CLP],tblMantenciones[Codigo],A188),0)</f>
        <v>313653.99</v>
      </c>
      <c r="T188" s="21">
        <f>IFERROR(SUMIFS(tblComprasPM[Costo PM CLP],tblComprasPM[Codigo],tblMaestroEquipos[[#This Row],[Codigo]]),0)</f>
        <v>372096.33999999997</v>
      </c>
      <c r="U188" s="21">
        <f>IFERROR(tblMaestroEquipos[[#This Row],[Costo Mantenciones CLP]]+tblMaestroEquipos[[#This Row],[Costo Compras PM CLP]],0)</f>
        <v>685750.33</v>
      </c>
      <c r="V188" s="18" t="str">
        <f>IFERROR(_xlfn.XLOOKUP(tblMaestroEquipos[[#This Row],[Codigo]],tblEquipos[Codigo],tblEquipos[Estado Base]),"")</f>
        <v>Operativo</v>
      </c>
      <c r="W188" s="18" t="str">
        <f t="shared" si="18"/>
        <v>AL DÍA</v>
      </c>
      <c r="X188" s="18">
        <f t="shared" si="19"/>
        <v>11480</v>
      </c>
      <c r="Y188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57595</v>
      </c>
      <c r="Z188" s="25">
        <f>IFERROR(IF(_xlfn.MINIFS(tblComprasPM[Fecha],tblComprasPM[Codigo],tblMaestroEquipos[[#This Row],[Codigo]])=0,"",_xlfn.MINIFS(tblComprasPM[Fecha],tblComprasPM[Codigo],tblMaestroEquipos[[#This Row],[Codigo]])),"")</f>
        <v>46071.627082372703</v>
      </c>
      <c r="AA188" s="25">
        <f>IFERROR(IF(_xlfn.MAXIFS(tblBodega[Fecha],tblBodega[Codigo],tblMaestroEquipos[[#This Row],[Codigo]])=0,"",_xlfn.MAXIFS(tblBodega[Fecha],tblBodega[Codigo],tblMaestroEquipos[[#This Row],[Codigo]])),"")</f>
        <v>46099</v>
      </c>
      <c r="AB18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28</v>
      </c>
      <c r="AC188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8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88" s="51" t="str">
        <f t="shared" si="25"/>
        <v>OPERATIVO</v>
      </c>
      <c r="AF188" s="18" t="str">
        <f t="shared" si="20"/>
        <v>BAJA</v>
      </c>
      <c r="AG188" s="18" t="str">
        <f t="shared" si="21"/>
        <v>Monitorear próximo vencimiento</v>
      </c>
      <c r="AH188">
        <f t="shared" si="22"/>
        <v>0</v>
      </c>
      <c r="AI188" t="str">
        <f t="shared" si="23"/>
        <v/>
      </c>
      <c r="AJ188" s="24">
        <f t="shared" si="24"/>
        <v>99</v>
      </c>
    </row>
    <row r="189" spans="1:36" s="27" customFormat="1">
      <c r="A189" s="18" t="s">
        <v>249</v>
      </c>
      <c r="B189" s="18" t="s">
        <v>230</v>
      </c>
      <c r="C189" s="18" t="s">
        <v>1070</v>
      </c>
      <c r="D189" s="18" t="s">
        <v>241</v>
      </c>
      <c r="E189" s="19" t="s">
        <v>250</v>
      </c>
      <c r="F189" s="18">
        <v>2019</v>
      </c>
      <c r="G189" s="18" t="str" cm="1">
        <f t="array" ref="G189">IFERROR(INDEX(Lecturas!$E$4:$E$3549,MATCH(1,(Lecturas!$B$4:$B$3549=$A189)*(Lecturas!$E$4:$E$3549&lt;&gt;"")*(Lecturas!$A$4:$A$3549=_xlfn.MAXIFS(Lecturas!$A$4:$A$3549,Lecturas!$B$4:$B$3549,$A189,Lecturas!$E$4:$E$3549,"&lt;&gt;")),0)),"")</f>
        <v/>
      </c>
      <c r="H189" s="18"/>
      <c r="I189" s="18" t="s">
        <v>18</v>
      </c>
      <c r="J189" s="18">
        <v>250</v>
      </c>
      <c r="K189" s="18">
        <f>IFERROR(IF($I189="KM",ROUND((_xlfn.MAXIFS(tblLecturas[Kilometraje],tblLecturas[Codigo],$A189)-_xlfn.MINIFS(tblLecturas[Kilometraje],tblLecturas[Codigo],$A189))/(MAX(1,_xlfn.MAXIFS(tblLecturas[Fecha],tblLecturas[Codigo],$A189)-_xlfn.MINIFS(tblLecturas[Fecha],tblLecturas[Codigo],$A189))),1),ROUND((_xlfn.MAXIFS(tblLecturas[Horometro],tblLecturas[Codigo],$A189)-_xlfn.MINIFS(tblLecturas[Horometro],tblLecturas[Codigo],$A189))/(MAX(1,_xlfn.MAXIFS(tblLecturas[Fecha],tblLecturas[Codigo],$A189)-_xlfn.MINIFS(tblLecturas[Fecha],tblLecturas[Codigo],$A189))),1)),"")</f>
        <v>24.2</v>
      </c>
      <c r="L189" s="20">
        <f>IFERROR(_xlfn.MAXIFS(tblLecturas[Fecha],tblLecturas[Codigo],$A189),"")</f>
        <v>46107</v>
      </c>
      <c r="M189" s="26">
        <f>IFERROR(_xlfn.MAXIFS(Lecturas!$C:$C,Lecturas!$B:$B,$A189,Lecturas!$C:$C,"&gt;0"),"")</f>
        <v>7453</v>
      </c>
      <c r="N189" s="78">
        <f>IFERROR(_xlfn.MAXIFS(tblLecturas[Kilometraje],tblLecturas[Codigo],$A189,tblLecturas[Kilometraje],"&gt;0"),"")</f>
        <v>0</v>
      </c>
      <c r="O189" s="78" cm="1">
        <f t="array" ref="O189">IFERROR(IF($I189="KM",LOOKUP(2,1/(Lecturas!$B:$B=$A189)/(Lecturas!$D:$D&gt;0),Lecturas!$D:$D),LOOKUP(2,1/(Lecturas!$B:$B=$A189)/(Lecturas!$C:$C&gt;0),Lecturas!$C:$C)),"")</f>
        <v>4916</v>
      </c>
      <c r="P189" s="20">
        <f>IFERROR(_xlfn.MAXIFS(tblMantenciones[Fecha],tblMantenciones[Codigo],tblMaestroEquipos[[#This Row],[Codigo]],tblMantenciones[EsPM],"Sí"),"")</f>
        <v>46111</v>
      </c>
      <c r="Q189" s="78">
        <f>IF(_xlfn.MAXIFS(Mantenciones!$D:$D,Mantenciones!$B:$B,A189)=0,"Sin datos de mantención registrado",_xlfn.MAXIFS(Mantenciones!$D:$D,Mantenciones!$B:$B,A189))</f>
        <v>4924</v>
      </c>
      <c r="R189" s="18">
        <f>IFERROR(IF(_xlfn.MAXIFS(Mantenciones!$D:$D,Mantenciones!$B:$B,$A189,Mantenciones!$E:$E,"Sí",Mantenciones!$D:$D,"&gt;0")=0,"Sin datos de mantención registrado",_xlfn.MAXIFS(Mantenciones!$D:$D,Mantenciones!$B:$B,$A189,Mantenciones!$E:$E,"Sí",Mantenciones!$D:$D,"&gt;0")),"Sin datos de mantención registrado")</f>
        <v>4924</v>
      </c>
      <c r="S189" s="21">
        <f>IFERROR(SUMIFS(tblMantenciones[Costo Mantencion CLP],tblMantenciones[Codigo],A189),0)</f>
        <v>0</v>
      </c>
      <c r="T189" s="21">
        <f>IFERROR(SUMIFS(tblComprasPM[Costo PM CLP],tblComprasPM[Codigo],tblMaestroEquipos[[#This Row],[Codigo]]),0)</f>
        <v>319799.99310000002</v>
      </c>
      <c r="U189" s="21">
        <f>IFERROR(tblMaestroEquipos[[#This Row],[Costo Mantenciones CLP]]+tblMaestroEquipos[[#This Row],[Costo Compras PM CLP]],0)</f>
        <v>319799.99310000002</v>
      </c>
      <c r="V189" s="18" t="str">
        <f>IFERROR(_xlfn.XLOOKUP(tblMaestroEquipos[[#This Row],[Codigo]],tblEquipos[Codigo],tblEquipos[Estado Base]),"")</f>
        <v>Operativo</v>
      </c>
      <c r="W189" s="18" t="str">
        <f t="shared" si="18"/>
        <v>AL DÍA</v>
      </c>
      <c r="X189" s="18">
        <f t="shared" si="19"/>
        <v>258</v>
      </c>
      <c r="Y189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46365</v>
      </c>
      <c r="Z189" s="25">
        <f>IFERROR(IF(_xlfn.MINIFS(tblComprasPM[Fecha],tblComprasPM[Codigo],tblMaestroEquipos[[#This Row],[Codigo]])=0,"",_xlfn.MINIFS(tblComprasPM[Fecha],tblComprasPM[Codigo],tblMaestroEquipos[[#This Row],[Codigo]])),"")</f>
        <v>46093.717566053201</v>
      </c>
      <c r="AA189" s="25">
        <f>IFERROR(IF(_xlfn.MAXIFS(tblBodega[Fecha],tblBodega[Codigo],tblMaestroEquipos[[#This Row],[Codigo]])=0,"",_xlfn.MAXIFS(tblBodega[Fecha],tblBodega[Codigo],tblMaestroEquipos[[#This Row],[Codigo]])),"")</f>
        <v>46105</v>
      </c>
      <c r="AB18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18</v>
      </c>
      <c r="AC189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</v>
      </c>
      <c r="AD18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89" s="51" t="str">
        <f t="shared" si="25"/>
        <v>OPERATIVO</v>
      </c>
      <c r="AF189" s="18" t="str">
        <f t="shared" si="20"/>
        <v>BAJA</v>
      </c>
      <c r="AG189" s="18" t="str">
        <f t="shared" si="21"/>
        <v>Monitorear próximo vencimiento</v>
      </c>
      <c r="AH189">
        <f t="shared" si="22"/>
        <v>0</v>
      </c>
      <c r="AI189" t="str">
        <f t="shared" si="23"/>
        <v/>
      </c>
      <c r="AJ189" s="24">
        <f t="shared" si="24"/>
        <v>99</v>
      </c>
    </row>
    <row r="190" spans="1:36" s="27" customFormat="1">
      <c r="A190" s="18" t="s">
        <v>243</v>
      </c>
      <c r="B190" s="18" t="s">
        <v>235</v>
      </c>
      <c r="C190" s="18" t="s">
        <v>1070</v>
      </c>
      <c r="D190" s="18" t="s">
        <v>244</v>
      </c>
      <c r="E190" s="19" t="s">
        <v>245</v>
      </c>
      <c r="F190" s="18">
        <v>2020</v>
      </c>
      <c r="G190" s="18" t="str" cm="1">
        <f t="array" ref="G190">IFERROR(INDEX(Lecturas!$E$4:$E$3549,MATCH(1,(Lecturas!$B$4:$B$3549=$A190)*(Lecturas!$E$4:$E$3549&lt;&gt;"")*(Lecturas!$A$4:$A$3549=_xlfn.MAXIFS(Lecturas!$A$4:$A$3549,Lecturas!$B$4:$B$3549,$A190,Lecturas!$E$4:$E$3549,"&lt;&gt;")),0)),"")</f>
        <v/>
      </c>
      <c r="H190" s="18" t="s">
        <v>57</v>
      </c>
      <c r="I190" s="18" t="s">
        <v>18</v>
      </c>
      <c r="J190" s="18">
        <v>250</v>
      </c>
      <c r="K190" s="18">
        <f>IFERROR(IF($I190="KM",ROUND((_xlfn.MAXIFS(tblLecturas[Kilometraje],tblLecturas[Codigo],$A190)-_xlfn.MINIFS(tblLecturas[Kilometraje],tblLecturas[Codigo],$A190))/(MAX(1,_xlfn.MAXIFS(tblLecturas[Fecha],tblLecturas[Codigo],$A190)-_xlfn.MINIFS(tblLecturas[Fecha],tblLecturas[Codigo],$A190))),1),ROUND((_xlfn.MAXIFS(tblLecturas[Horometro],tblLecturas[Codigo],$A190)-_xlfn.MINIFS(tblLecturas[Horometro],tblLecturas[Codigo],$A190))/(MAX(1,_xlfn.MAXIFS(tblLecturas[Fecha],tblLecturas[Codigo],$A190)-_xlfn.MINIFS(tblLecturas[Fecha],tblLecturas[Codigo],$A190))),1)),"")</f>
        <v>4739.6000000000004</v>
      </c>
      <c r="L190" s="20">
        <f>IFERROR(_xlfn.MAXIFS(tblLecturas[Fecha],tblLecturas[Codigo],$A190),"")</f>
        <v>46100</v>
      </c>
      <c r="M190" s="26">
        <f>IFERROR(_xlfn.MAXIFS(Lecturas!$C:$C,Lecturas!$B:$B,$A190,Lecturas!$C:$C,"&gt;0"),"")</f>
        <v>512195</v>
      </c>
      <c r="N190" s="78">
        <f>IFERROR(_xlfn.MAXIFS(tblLecturas[Kilometraje],tblLecturas[Codigo],$A190,tblLecturas[Kilometraje],"&gt;0"),"")</f>
        <v>0</v>
      </c>
      <c r="O190" s="78" cm="1">
        <f t="array" ref="O190">IFERROR(IF($I190="KM",LOOKUP(2,1/(Lecturas!$B:$B=$A190)/(Lecturas!$D:$D&gt;0),Lecturas!$D:$D),LOOKUP(2,1/(Lecturas!$B:$B=$A190)/(Lecturas!$C:$C&gt;0),Lecturas!$C:$C)),"")</f>
        <v>5170</v>
      </c>
      <c r="P190" s="20">
        <f>IFERROR(_xlfn.MAXIFS(tblMantenciones[Fecha],tblMantenciones[Codigo],tblMaestroEquipos[[#This Row],[Codigo]],tblMantenciones[EsPM],"Sí"),"")</f>
        <v>0</v>
      </c>
      <c r="Q190" s="78" t="str">
        <f>IF(_xlfn.MAXIFS(Mantenciones!$D:$D,Mantenciones!$B:$B,A190)=0,"Sin datos de mantención registrado",_xlfn.MAXIFS(Mantenciones!$D:$D,Mantenciones!$B:$B,A190))</f>
        <v>Sin datos de mantención registrado</v>
      </c>
      <c r="R190" s="18" t="str">
        <f>IFERROR(IF(_xlfn.MAXIFS(Mantenciones!$D:$D,Mantenciones!$B:$B,$A190,Mantenciones!$E:$E,"Sí",Mantenciones!$D:$D,"&gt;0")=0,"Sin datos de mantención registrado",_xlfn.MAXIFS(Mantenciones!$D:$D,Mantenciones!$B:$B,$A190,Mantenciones!$E:$E,"Sí",Mantenciones!$D:$D,"&gt;0")),"Sin datos de mantención registrado")</f>
        <v>Sin datos de mantención registrado</v>
      </c>
      <c r="S190" s="21">
        <f>IFERROR(SUMIFS(tblMantenciones[Costo Mantencion CLP],tblMantenciones[Codigo],A190),0)</f>
        <v>0</v>
      </c>
      <c r="T190" s="21">
        <f>IFERROR(SUMIFS(tblComprasPM[Costo PM CLP],tblComprasPM[Codigo],tblMaestroEquipos[[#This Row],[Codigo]]),0)</f>
        <v>0</v>
      </c>
      <c r="U190" s="21">
        <f>IFERROR(tblMaestroEquipos[[#This Row],[Costo Mantenciones CLP]]+tblMaestroEquipos[[#This Row],[Costo Compras PM CLP]],0)</f>
        <v>0</v>
      </c>
      <c r="V190" s="18" t="str">
        <f>IFERROR(_xlfn.XLOOKUP(tblMaestroEquipos[[#This Row],[Codigo]],tblEquipos[Codigo],tblEquipos[Estado Base]),"")</f>
        <v>Fuera de Servicio</v>
      </c>
      <c r="W190" s="18" t="str">
        <f t="shared" si="18"/>
        <v>FUERA DE SERVICIO</v>
      </c>
      <c r="X190" s="18" t="str">
        <f t="shared" si="19"/>
        <v/>
      </c>
      <c r="Y19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9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90" s="25" t="str">
        <f>IFERROR(IF(_xlfn.MAXIFS(tblBodega[Fecha],tblBodega[Codigo],tblMaestroEquipos[[#This Row],[Codigo]])=0,"",_xlfn.MAXIFS(tblBodega[Fecha],tblBodega[Codigo],tblMaestroEquipos[[#This Row],[Codigo]])),"")</f>
        <v/>
      </c>
      <c r="AB19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9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9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90" s="51" t="str">
        <f t="shared" si="25"/>
        <v>FUERA DE SERVICIO</v>
      </c>
      <c r="AF190" s="18" t="str">
        <f t="shared" si="20"/>
        <v>NO APLICA</v>
      </c>
      <c r="AG190" s="18" t="str">
        <f t="shared" si="21"/>
        <v>No programar compra</v>
      </c>
      <c r="AH190">
        <f t="shared" si="22"/>
        <v>0</v>
      </c>
      <c r="AI190" t="str">
        <f t="shared" si="23"/>
        <v/>
      </c>
      <c r="AJ190" s="24">
        <f t="shared" si="24"/>
        <v>99</v>
      </c>
    </row>
    <row r="191" spans="1:36" s="27" customFormat="1">
      <c r="A191" s="18" t="s">
        <v>518</v>
      </c>
      <c r="B191" s="18" t="s">
        <v>502</v>
      </c>
      <c r="C191" s="18" t="s">
        <v>1074</v>
      </c>
      <c r="D191" s="18" t="s">
        <v>503</v>
      </c>
      <c r="E191" s="19" t="s">
        <v>504</v>
      </c>
      <c r="F191" s="18">
        <v>2025</v>
      </c>
      <c r="G191" s="18" t="str" cm="1">
        <f t="array" ref="G191">IFERROR(INDEX(Lecturas!$E$4:$E$3549,MATCH(1,(Lecturas!$B$4:$B$3549=$A191)*(Lecturas!$E$4:$E$3549&lt;&gt;"")*(Lecturas!$A$4:$A$3549=_xlfn.MAXIFS(Lecturas!$A$4:$A$3549,Lecturas!$B$4:$B$3549,$A191,Lecturas!$E$4:$E$3549,"&lt;&gt;")),0)),"")</f>
        <v>Curicó</v>
      </c>
      <c r="H191" s="18" t="s">
        <v>1087</v>
      </c>
      <c r="I191" s="18" t="s">
        <v>462</v>
      </c>
      <c r="J191" s="18">
        <v>10000</v>
      </c>
      <c r="K191" s="18">
        <f>IFERROR(IF($I191="KM",ROUND((_xlfn.MAXIFS(tblLecturas[Kilometraje],tblLecturas[Codigo],$A191)-_xlfn.MINIFS(tblLecturas[Kilometraje],tblLecturas[Codigo],$A191))/(MAX(1,_xlfn.MAXIFS(tblLecturas[Fecha],tblLecturas[Codigo],$A191)-_xlfn.MINIFS(tblLecturas[Fecha],tblLecturas[Codigo],$A191))),1),ROUND((_xlfn.MAXIFS(tblLecturas[Horometro],tblLecturas[Codigo],$A191)-_xlfn.MINIFS(tblLecturas[Horometro],tblLecturas[Codigo],$A191))/(MAX(1,_xlfn.MAXIFS(tblLecturas[Fecha],tblLecturas[Codigo],$A191)-_xlfn.MINIFS(tblLecturas[Fecha],tblLecturas[Codigo],$A191))),1)),"")</f>
        <v>5424.9</v>
      </c>
      <c r="L191" s="20">
        <f>IFERROR(_xlfn.MAXIFS(tblLecturas[Fecha],tblLecturas[Codigo],$A191),"")</f>
        <v>46133</v>
      </c>
      <c r="M191" s="26">
        <f>IFERROR(_xlfn.MAXIFS(Lecturas!$C:$C,Lecturas!$B:$B,$A191,Lecturas!$C:$C,"&gt;0"),"")</f>
        <v>0</v>
      </c>
      <c r="N191" s="78">
        <f>IFERROR(_xlfn.MAXIFS(tblLecturas[Kilometraje],tblLecturas[Codigo],$A191,tblLecturas[Kilometraje],"&gt;0"),"")</f>
        <v>812781</v>
      </c>
      <c r="O191" s="78" cm="1">
        <f t="array" ref="O191">IFERROR(IF($I191="KM",LOOKUP(2,1/(Lecturas!$B:$B=$A191)/(Lecturas!$D:$D&gt;0),Lecturas!$D:$D),LOOKUP(2,1/(Lecturas!$B:$B=$A191)/(Lecturas!$C:$C&gt;0),Lecturas!$C:$C)),"")</f>
        <v>84545</v>
      </c>
      <c r="P191" s="20">
        <f>IFERROR(_xlfn.MAXIFS(tblMantenciones[Fecha],tblMantenciones[Codigo],tblMaestroEquipos[[#This Row],[Codigo]],tblMantenciones[EsPM],"Sí"),"")</f>
        <v>46099</v>
      </c>
      <c r="Q191" s="78">
        <f>IF(_xlfn.MAXIFS(Mantenciones!$D:$D,Mantenciones!$B:$B,A191)=0,"Sin datos de mantención registrado",_xlfn.MAXIFS(Mantenciones!$D:$D,Mantenciones!$B:$B,A191))</f>
        <v>78795</v>
      </c>
      <c r="R191" s="18">
        <f>IFERROR(IF(_xlfn.MAXIFS(Mantenciones!$D:$D,Mantenciones!$B:$B,$A191,Mantenciones!$E:$E,"Sí",Mantenciones!$D:$D,"&gt;0")=0,"Sin datos de mantención registrado",_xlfn.MAXIFS(Mantenciones!$D:$D,Mantenciones!$B:$B,$A191,Mantenciones!$E:$E,"Sí",Mantenciones!$D:$D,"&gt;0")),"Sin datos de mantención registrado")</f>
        <v>78795</v>
      </c>
      <c r="S191" s="21">
        <f>IFERROR(SUMIFS(tblMantenciones[Costo Mantencion CLP],tblMantenciones[Codigo],A191),0)</f>
        <v>32014</v>
      </c>
      <c r="T191" s="21">
        <f>IFERROR(SUMIFS(tblComprasPM[Costo PM CLP],tblComprasPM[Codigo],tblMaestroEquipos[[#This Row],[Codigo]]),0)</f>
        <v>24399.973999999998</v>
      </c>
      <c r="U191" s="21">
        <f>IFERROR(tblMaestroEquipos[[#This Row],[Costo Mantenciones CLP]]+tblMaestroEquipos[[#This Row],[Costo Compras PM CLP]],0)</f>
        <v>56413.974000000002</v>
      </c>
      <c r="V191" s="18" t="str">
        <f>IFERROR(_xlfn.XLOOKUP(tblMaestroEquipos[[#This Row],[Codigo]],tblEquipos[Codigo],tblEquipos[Estado Base]),"")</f>
        <v>Operativo</v>
      </c>
      <c r="W191" s="18" t="str">
        <f t="shared" si="18"/>
        <v>AL DÍA</v>
      </c>
      <c r="X191" s="18">
        <f t="shared" si="19"/>
        <v>4250</v>
      </c>
      <c r="Y191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50383</v>
      </c>
      <c r="Z191" s="25">
        <f>IFERROR(IF(_xlfn.MINIFS(tblComprasPM[Fecha],tblComprasPM[Codigo],tblMaestroEquipos[[#This Row],[Codigo]])=0,"",_xlfn.MINIFS(tblComprasPM[Fecha],tblComprasPM[Codigo],tblMaestroEquipos[[#This Row],[Codigo]])),"")</f>
        <v>46118</v>
      </c>
      <c r="AA191" s="25">
        <f>IFERROR(IF(_xlfn.MAXIFS(tblBodega[Fecha],tblBodega[Codigo],tblMaestroEquipos[[#This Row],[Codigo]])=0,"",_xlfn.MAXIFS(tblBodega[Fecha],tblBodega[Codigo],tblMaestroEquipos[[#This Row],[Codigo]])),"")</f>
        <v>46099</v>
      </c>
      <c r="AB19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91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9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91" s="51" t="str">
        <f t="shared" si="25"/>
        <v>OPERATIVO</v>
      </c>
      <c r="AF191" s="18" t="str">
        <f t="shared" si="20"/>
        <v>BAJA</v>
      </c>
      <c r="AG191" s="18" t="str">
        <f t="shared" si="21"/>
        <v>Monitorear próximo vencimiento</v>
      </c>
      <c r="AH191">
        <f t="shared" si="22"/>
        <v>0</v>
      </c>
      <c r="AI191" t="str">
        <f t="shared" si="23"/>
        <v/>
      </c>
      <c r="AJ191" s="24">
        <f t="shared" si="24"/>
        <v>99</v>
      </c>
    </row>
    <row r="192" spans="1:36">
      <c r="A192" s="18" t="s">
        <v>535</v>
      </c>
      <c r="B192" s="18" t="s">
        <v>459</v>
      </c>
      <c r="C192" s="18" t="s">
        <v>1074</v>
      </c>
      <c r="D192" s="18" t="s">
        <v>99</v>
      </c>
      <c r="E192" s="19" t="s">
        <v>524</v>
      </c>
      <c r="F192" s="18">
        <v>2025</v>
      </c>
      <c r="G192" s="18" t="str" cm="1">
        <f t="array" ref="G192">IFERROR(INDEX(Lecturas!$E$4:$E$3549,MATCH(1,(Lecturas!$B$4:$B$3549=$A192)*(Lecturas!$E$4:$E$3549&lt;&gt;"")*(Lecturas!$A$4:$A$3549=_xlfn.MAXIFS(Lecturas!$A$4:$A$3549,Lecturas!$B$4:$B$3549,$A192,Lecturas!$E$4:$E$3549,"&lt;&gt;")),0)),"")</f>
        <v>Curicó</v>
      </c>
      <c r="H192" s="18" t="s">
        <v>36</v>
      </c>
      <c r="I192" s="18" t="s">
        <v>462</v>
      </c>
      <c r="J192" s="18">
        <v>15000</v>
      </c>
      <c r="K192" s="18">
        <f>IFERROR(IF($I192="KM",ROUND((_xlfn.MAXIFS(tblLecturas[Kilometraje],tblLecturas[Codigo],$A192)-_xlfn.MINIFS(tblLecturas[Kilometraje],tblLecturas[Codigo],$A192))/(MAX(1,_xlfn.MAXIFS(tblLecturas[Fecha],tblLecturas[Codigo],$A192)-_xlfn.MINIFS(tblLecturas[Fecha],tblLecturas[Codigo],$A192))),1),ROUND((_xlfn.MAXIFS(tblLecturas[Horometro],tblLecturas[Codigo],$A192)-_xlfn.MINIFS(tblLecturas[Horometro],tblLecturas[Codigo],$A192))/(MAX(1,_xlfn.MAXIFS(tblLecturas[Fecha],tblLecturas[Codigo],$A192)-_xlfn.MINIFS(tblLecturas[Fecha],tblLecturas[Codigo],$A192))),1)),"")</f>
        <v>5507.1</v>
      </c>
      <c r="L192" s="20">
        <f>IFERROR(_xlfn.MAXIFS(tblLecturas[Fecha],tblLecturas[Codigo],$A192),"")</f>
        <v>46133</v>
      </c>
      <c r="M192" s="26">
        <f>IFERROR(_xlfn.MAXIFS(Lecturas!$C:$C,Lecturas!$B:$B,$A192,Lecturas!$C:$C,"&gt;0"),"")</f>
        <v>0</v>
      </c>
      <c r="N192" s="78">
        <f>IFERROR(_xlfn.MAXIFS(tblLecturas[Kilometraje],tblLecturas[Codigo],$A192,tblLecturas[Kilometraje],"&gt;0"),"")</f>
        <v>820891</v>
      </c>
      <c r="O192" s="78" cm="1">
        <f t="array" ref="O192">IFERROR(IF($I192="KM",LOOKUP(2,1/(Lecturas!$B:$B=$A192)/(Lecturas!$D:$D&gt;0),Lecturas!$D:$D),LOOKUP(2,1/(Lecturas!$B:$B=$A192)/(Lecturas!$C:$C&gt;0),Lecturas!$C:$C)),"")</f>
        <v>87236</v>
      </c>
      <c r="P192" s="20">
        <f>IFERROR(_xlfn.MAXIFS(tblMantenciones[Fecha],tblMantenciones[Codigo],tblMaestroEquipos[[#This Row],[Codigo]],tblMantenciones[EsPM],"Sí"),"")</f>
        <v>46099</v>
      </c>
      <c r="Q192" s="78">
        <f>IF(_xlfn.MAXIFS(Mantenciones!$D:$D,Mantenciones!$B:$B,A192)=0,"Sin datos de mantención registrado",_xlfn.MAXIFS(Mantenciones!$D:$D,Mantenciones!$B:$B,A192))</f>
        <v>78670</v>
      </c>
      <c r="R192" s="18">
        <f>IFERROR(IF(_xlfn.MAXIFS(Mantenciones!$D:$D,Mantenciones!$B:$B,$A192,Mantenciones!$E:$E,"Sí",Mantenciones!$D:$D,"&gt;0")=0,"Sin datos de mantención registrado",_xlfn.MAXIFS(Mantenciones!$D:$D,Mantenciones!$B:$B,$A192,Mantenciones!$E:$E,"Sí",Mantenciones!$D:$D,"&gt;0")),"Sin datos de mantención registrado")</f>
        <v>78670</v>
      </c>
      <c r="S192" s="21">
        <f>IFERROR(SUMIFS(tblMantenciones[Costo Mantencion CLP],tblMantenciones[Codigo],A192),0)</f>
        <v>487719</v>
      </c>
      <c r="T192" s="21">
        <f>IFERROR(SUMIFS(tblComprasPM[Costo PM CLP],tblComprasPM[Codigo],tblMaestroEquipos[[#This Row],[Codigo]]),0)</f>
        <v>580385.61</v>
      </c>
      <c r="U192" s="21">
        <f>IFERROR(tblMaestroEquipos[[#This Row],[Costo Mantenciones CLP]]+tblMaestroEquipos[[#This Row],[Costo Compras PM CLP]],0)</f>
        <v>1068104.6099999999</v>
      </c>
      <c r="V192" s="18" t="str">
        <f>IFERROR(_xlfn.XLOOKUP(tblMaestroEquipos[[#This Row],[Codigo]],tblEquipos[Codigo],tblEquipos[Estado Base]),"")</f>
        <v>Operativo</v>
      </c>
      <c r="W192" s="18" t="str">
        <f t="shared" si="18"/>
        <v>EN PROCESO</v>
      </c>
      <c r="X192" s="18">
        <f t="shared" si="19"/>
        <v>6434</v>
      </c>
      <c r="Y192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52567</v>
      </c>
      <c r="Z192" s="25">
        <f>IFERROR(IF(_xlfn.MINIFS(tblComprasPM[Fecha],tblComprasPM[Codigo],tblMaestroEquipos[[#This Row],[Codigo]])=0,"",_xlfn.MINIFS(tblComprasPM[Fecha],tblComprasPM[Codigo],tblMaestroEquipos[[#This Row],[Codigo]])),"")</f>
        <v>46100</v>
      </c>
      <c r="AA192" s="25" t="str">
        <f>IFERROR(IF(_xlfn.MAXIFS(tblBodega[Fecha],tblBodega[Codigo],tblMaestroEquipos[[#This Row],[Codigo]])=0,"",_xlfn.MAXIFS(tblBodega[Fecha],tblBodega[Codigo],tblMaestroEquipos[[#This Row],[Codigo]])),"")</f>
        <v/>
      </c>
      <c r="AB192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9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9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92" s="51" t="str">
        <f t="shared" si="25"/>
        <v>EN PROCESO</v>
      </c>
      <c r="AF192" s="18" t="str">
        <f t="shared" si="20"/>
        <v>SEGUIMIENTO</v>
      </c>
      <c r="AG192" s="18" t="str">
        <f t="shared" si="21"/>
        <v>Hacer seguimiento al taller y cerrar report</v>
      </c>
      <c r="AH192">
        <f t="shared" si="22"/>
        <v>0</v>
      </c>
      <c r="AI192" t="str">
        <f t="shared" si="23"/>
        <v/>
      </c>
      <c r="AJ192" s="24">
        <f t="shared" si="24"/>
        <v>2</v>
      </c>
    </row>
    <row r="193" spans="1:36">
      <c r="A193" s="18" t="s">
        <v>624</v>
      </c>
      <c r="B193" s="18" t="s">
        <v>459</v>
      </c>
      <c r="C193" s="18" t="s">
        <v>1074</v>
      </c>
      <c r="D193" s="18" t="s">
        <v>99</v>
      </c>
      <c r="E193" s="19" t="s">
        <v>566</v>
      </c>
      <c r="F193" s="18">
        <v>2023</v>
      </c>
      <c r="G193" s="18" t="str" cm="1">
        <f t="array" ref="G193">IFERROR(INDEX(Lecturas!$E$4:$E$3549,MATCH(1,(Lecturas!$B$4:$B$3549=$A193)*(Lecturas!$E$4:$E$3549&lt;&gt;"")*(Lecturas!$A$4:$A$3549=_xlfn.MAXIFS(Lecturas!$A$4:$A$3549,Lecturas!$B$4:$B$3549,$A193,Lecturas!$E$4:$E$3549,"&lt;&gt;")),0)),"")</f>
        <v>Cobquecura</v>
      </c>
      <c r="H193" s="18" t="s">
        <v>625</v>
      </c>
      <c r="I193" s="18" t="s">
        <v>462</v>
      </c>
      <c r="J193" s="18">
        <v>15000</v>
      </c>
      <c r="K193" s="18">
        <f>IFERROR(IF($I193="KM",ROUND((_xlfn.MAXIFS(tblLecturas[Kilometraje],tblLecturas[Codigo],$A193)-_xlfn.MINIFS(tblLecturas[Kilometraje],tblLecturas[Codigo],$A193))/(MAX(1,_xlfn.MAXIFS(tblLecturas[Fecha],tblLecturas[Codigo],$A193)-_xlfn.MINIFS(tblLecturas[Fecha],tblLecturas[Codigo],$A193))),1),ROUND((_xlfn.MAXIFS(tblLecturas[Horometro],tblLecturas[Codigo],$A193)-_xlfn.MINIFS(tblLecturas[Horometro],tblLecturas[Codigo],$A193))/(MAX(1,_xlfn.MAXIFS(tblLecturas[Fecha],tblLecturas[Codigo],$A193)-_xlfn.MINIFS(tblLecturas[Fecha],tblLecturas[Codigo],$A193))),1)),"")</f>
        <v>7946.7</v>
      </c>
      <c r="L193" s="20">
        <f>IFERROR(_xlfn.MAXIFS(tblLecturas[Fecha],tblLecturas[Codigo],$A193),"")</f>
        <v>46111</v>
      </c>
      <c r="M193" s="26">
        <f>IFERROR(_xlfn.MAXIFS(Lecturas!$C:$C,Lecturas!$B:$B,$A193,Lecturas!$C:$C,"&gt;0"),"")</f>
        <v>0</v>
      </c>
      <c r="N193" s="78">
        <f>IFERROR(_xlfn.MAXIFS(tblLecturas[Kilometraje],tblLecturas[Codigo],$A193,tblLecturas[Kilometraje],"&gt;0"),"")</f>
        <v>953095</v>
      </c>
      <c r="O193" s="78" cm="1">
        <f t="array" ref="O193">IFERROR(IF($I193="KM",LOOKUP(2,1/(Lecturas!$B:$B=$A193)/(Lecturas!$D:$D&gt;0),Lecturas!$D:$D),LOOKUP(2,1/(Lecturas!$B:$B=$A193)/(Lecturas!$C:$C&gt;0),Lecturas!$C:$C)),"")</f>
        <v>95862</v>
      </c>
      <c r="P193" s="20">
        <f>IFERROR(_xlfn.MAXIFS(tblMantenciones[Fecha],tblMantenciones[Codigo],tblMaestroEquipos[[#This Row],[Codigo]],tblMantenciones[EsPM],"Sí"),"")</f>
        <v>46126</v>
      </c>
      <c r="Q193" s="78">
        <f>IF(_xlfn.MAXIFS(Mantenciones!$D:$D,Mantenciones!$B:$B,A193)=0,"Sin datos de mantención registrado",_xlfn.MAXIFS(Mantenciones!$D:$D,Mantenciones!$B:$B,A193))</f>
        <v>98151</v>
      </c>
      <c r="R193" s="18">
        <f>IFERROR(IF(_xlfn.MAXIFS(Mantenciones!$D:$D,Mantenciones!$B:$B,$A193,Mantenciones!$E:$E,"Sí",Mantenciones!$D:$D,"&gt;0")=0,"Sin datos de mantención registrado",_xlfn.MAXIFS(Mantenciones!$D:$D,Mantenciones!$B:$B,$A193,Mantenciones!$E:$E,"Sí",Mantenciones!$D:$D,"&gt;0")),"Sin datos de mantención registrado")</f>
        <v>98151</v>
      </c>
      <c r="S193" s="21">
        <f>IFERROR(SUMIFS(tblMantenciones[Costo Mantencion CLP],tblMantenciones[Codigo],tblMaestroEquipos[[#This Row],[Codigo]]),0)</f>
        <v>0</v>
      </c>
      <c r="T193" s="21">
        <f>IFERROR(SUMIFS(tblComprasPM[Costo PM CLP],tblComprasPM[Codigo],tblMaestroEquipos[[#This Row],[Codigo]]),0)</f>
        <v>24499.97</v>
      </c>
      <c r="U193" s="21">
        <f>IFERROR(tblMaestroEquipos[[#This Row],[Costo Mantenciones CLP]]+tblMaestroEquipos[[#This Row],[Costo Compras PM CLP]],0)</f>
        <v>24499.97</v>
      </c>
      <c r="V193" s="18" t="str">
        <f>IFERROR(_xlfn.XLOOKUP(tblMaestroEquipos[[#This Row],[Codigo]],tblEquipos[Codigo],tblEquipos[Estado Base]),"")</f>
        <v>Operativo</v>
      </c>
      <c r="W193" s="18" t="str">
        <f t="shared" si="18"/>
        <v>AL DÍA</v>
      </c>
      <c r="X193" s="18">
        <f t="shared" si="19"/>
        <v>17289</v>
      </c>
      <c r="Y19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63400</v>
      </c>
      <c r="Z193" s="25">
        <f>IFERROR(IF(_xlfn.MINIFS(tblComprasPM[Fecha],tblComprasPM[Codigo],tblMaestroEquipos[[#This Row],[Codigo]])=0,"",_xlfn.MINIFS(tblComprasPM[Fecha],tblComprasPM[Codigo],tblMaestroEquipos[[#This Row],[Codigo]])),"")</f>
        <v>46127</v>
      </c>
      <c r="AA193" s="25">
        <f>IFERROR(IF(_xlfn.MAXIFS(tblBodega[Fecha],tblBodega[Codigo],tblMaestroEquipos[[#This Row],[Codigo]])=0,"",_xlfn.MAXIFS(tblBodega[Fecha],tblBodega[Codigo],tblMaestroEquipos[[#This Row],[Codigo]])),"")</f>
        <v>46126</v>
      </c>
      <c r="AB19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93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9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93" s="51" t="str">
        <f t="shared" si="25"/>
        <v>OPERATIVO</v>
      </c>
      <c r="AF193" s="18" t="str">
        <f t="shared" si="20"/>
        <v>BAJA</v>
      </c>
      <c r="AG193" s="18" t="str">
        <f t="shared" si="21"/>
        <v>Monitorear próximo vencimiento</v>
      </c>
      <c r="AH193">
        <f t="shared" si="22"/>
        <v>0</v>
      </c>
      <c r="AI193" t="str">
        <f t="shared" si="23"/>
        <v/>
      </c>
      <c r="AJ193" s="24">
        <f t="shared" si="24"/>
        <v>99</v>
      </c>
    </row>
    <row r="194" spans="1:36" s="27" customFormat="1">
      <c r="A194" s="18" t="s">
        <v>246</v>
      </c>
      <c r="B194" s="18" t="s">
        <v>230</v>
      </c>
      <c r="C194" s="18" t="s">
        <v>1070</v>
      </c>
      <c r="D194" s="18" t="s">
        <v>231</v>
      </c>
      <c r="E194" s="19" t="s">
        <v>239</v>
      </c>
      <c r="F194" s="18">
        <v>2010</v>
      </c>
      <c r="G194" s="18" t="str" cm="1">
        <f t="array" ref="G194">IFERROR(INDEX(Lecturas!$E$4:$E$3549,MATCH(1,(Lecturas!$B$4:$B$3549=$A194)*(Lecturas!$E$4:$E$3549&lt;&gt;"")*(Lecturas!$A$4:$A$3549=_xlfn.MAXIFS(Lecturas!$A$4:$A$3549,Lecturas!$B$4:$B$3549,$A194,Lecturas!$E$4:$E$3549,"&lt;&gt;")),0)),"")</f>
        <v/>
      </c>
      <c r="H194" s="18"/>
      <c r="I194" s="18" t="s">
        <v>18</v>
      </c>
      <c r="J194" s="18">
        <v>250</v>
      </c>
      <c r="K194" s="18">
        <f>IFERROR(IF($I194="KM",ROUND((_xlfn.MAXIFS(tblLecturas[Kilometraje],tblLecturas[Codigo],$A194)-_xlfn.MINIFS(tblLecturas[Kilometraje],tblLecturas[Codigo],$A194))/(MAX(1,_xlfn.MAXIFS(tblLecturas[Fecha],tblLecturas[Codigo],$A194)-_xlfn.MINIFS(tblLecturas[Fecha],tblLecturas[Codigo],$A194))),1),ROUND((_xlfn.MAXIFS(tblLecturas[Horometro],tblLecturas[Codigo],$A194)-_xlfn.MINIFS(tblLecturas[Horometro],tblLecturas[Codigo],$A194))/(MAX(1,_xlfn.MAXIFS(tblLecturas[Fecha],tblLecturas[Codigo],$A194)-_xlfn.MINIFS(tblLecturas[Fecha],tblLecturas[Codigo],$A194))),1)),"")</f>
        <v>89.4</v>
      </c>
      <c r="L194" s="20">
        <f>IFERROR(_xlfn.MAXIFS(tblLecturas[Fecha],tblLecturas[Codigo],$A194),"")</f>
        <v>46107</v>
      </c>
      <c r="M194" s="26">
        <f>IFERROR(_xlfn.MAXIFS(Lecturas!$C:$C,Lecturas!$B:$B,$A194,Lecturas!$C:$C,"&gt;0"),"")</f>
        <v>16523</v>
      </c>
      <c r="N194" s="78">
        <f>IFERROR(_xlfn.MAXIFS(tblLecturas[Kilometraje],tblLecturas[Codigo],$A194,tblLecturas[Kilometraje],"&gt;0"),"")</f>
        <v>0</v>
      </c>
      <c r="O194" s="78" cm="1">
        <f t="array" ref="O194">IFERROR(IF($I194="KM",LOOKUP(2,1/(Lecturas!$B:$B=$A194)/(Lecturas!$D:$D&gt;0),Lecturas!$D:$D),LOOKUP(2,1/(Lecturas!$B:$B=$A194)/(Lecturas!$C:$C&gt;0),Lecturas!$C:$C)),"")</f>
        <v>6556</v>
      </c>
      <c r="P194" s="20">
        <f>IFERROR(_xlfn.MAXIFS(tblMantenciones[Fecha],tblMantenciones[Codigo],tblMaestroEquipos[[#This Row],[Codigo]],tblMantenciones[EsPM],"Sí"),"")</f>
        <v>0</v>
      </c>
      <c r="Q194" s="78" t="str">
        <f>IF(_xlfn.MAXIFS(Mantenciones!$D:$D,Mantenciones!$B:$B,A194)=0,"Sin datos de mantención registrado",_xlfn.MAXIFS(Mantenciones!$D:$D,Mantenciones!$B:$B,A194))</f>
        <v>Sin datos de mantención registrado</v>
      </c>
      <c r="R194" s="18" t="str">
        <f>IFERROR(IF(_xlfn.MAXIFS(Mantenciones!$D:$D,Mantenciones!$B:$B,$A194,Mantenciones!$E:$E,"Sí",Mantenciones!$D:$D,"&gt;0")=0,"Sin datos de mantención registrado",_xlfn.MAXIFS(Mantenciones!$D:$D,Mantenciones!$B:$B,$A194,Mantenciones!$E:$E,"Sí",Mantenciones!$D:$D,"&gt;0")),"Sin datos de mantención registrado")</f>
        <v>Sin datos de mantención registrado</v>
      </c>
      <c r="S194" s="21">
        <f>IFERROR(SUMIFS(tblMantenciones[Costo Mantencion CLP],tblMantenciones[Codigo],A194),0)</f>
        <v>0</v>
      </c>
      <c r="T194" s="21">
        <f>IFERROR(SUMIFS(tblComprasPM[Costo PM CLP],tblComprasPM[Codigo],tblMaestroEquipos[[#This Row],[Codigo]]),0)</f>
        <v>77369.039999999994</v>
      </c>
      <c r="U194" s="21">
        <f>IFERROR(tblMaestroEquipos[[#This Row],[Costo Mantenciones CLP]]+tblMaestroEquipos[[#This Row],[Costo Compras PM CLP]],0)</f>
        <v>77369.039999999994</v>
      </c>
      <c r="V194" s="18" t="str">
        <f>IFERROR(_xlfn.XLOOKUP(tblMaestroEquipos[[#This Row],[Codigo]],tblEquipos[Codigo],tblEquipos[Estado Base]),"")</f>
        <v>Fuera de Servicio</v>
      </c>
      <c r="W194" s="18" t="str">
        <f t="shared" si="18"/>
        <v>FUERA DE SERVICIO</v>
      </c>
      <c r="X194" s="18" t="str">
        <f t="shared" si="19"/>
        <v/>
      </c>
      <c r="Y19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94" s="25">
        <f>IFERROR(IF(_xlfn.MINIFS(tblComprasPM[Fecha],tblComprasPM[Codigo],tblMaestroEquipos[[#This Row],[Codigo]])=0,"",_xlfn.MINIFS(tblComprasPM[Fecha],tblComprasPM[Codigo],tblMaestroEquipos[[#This Row],[Codigo]])),"")</f>
        <v>46104.729813854203</v>
      </c>
      <c r="AA194" s="25" t="str">
        <f>IFERROR(IF(_xlfn.MAXIFS(tblBodega[Fecha],tblBodega[Codigo],tblMaestroEquipos[[#This Row],[Codigo]])=0,"",_xlfn.MAXIFS(tblBodega[Fecha],tblBodega[Codigo],tblMaestroEquipos[[#This Row],[Codigo]])),"")</f>
        <v/>
      </c>
      <c r="AB194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41</v>
      </c>
      <c r="AC19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9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94" s="51" t="str">
        <f t="shared" si="25"/>
        <v>FUERA DE SERVICIO</v>
      </c>
      <c r="AF194" s="18" t="str">
        <f t="shared" si="20"/>
        <v>NO APLICA</v>
      </c>
      <c r="AG194" s="18" t="str">
        <f t="shared" si="21"/>
        <v>No programar compra</v>
      </c>
      <c r="AH194">
        <f t="shared" si="22"/>
        <v>0</v>
      </c>
      <c r="AI194" t="str">
        <f t="shared" si="23"/>
        <v/>
      </c>
      <c r="AJ194" s="24">
        <f t="shared" si="24"/>
        <v>99</v>
      </c>
    </row>
    <row r="195" spans="1:36">
      <c r="A195" s="18" t="s">
        <v>608</v>
      </c>
      <c r="B195" s="18" t="s">
        <v>502</v>
      </c>
      <c r="C195" s="18" t="s">
        <v>1074</v>
      </c>
      <c r="D195" s="18" t="s">
        <v>118</v>
      </c>
      <c r="E195" s="19" t="s">
        <v>609</v>
      </c>
      <c r="F195" s="18">
        <v>2017</v>
      </c>
      <c r="G195" s="18" t="str" cm="1">
        <f t="array" ref="G195">IFERROR(INDEX(Lecturas!$E$4:$E$3549,MATCH(1,(Lecturas!$B$4:$B$3549=$A195)*(Lecturas!$E$4:$E$3549&lt;&gt;"")*(Lecturas!$A$4:$A$3549=_xlfn.MAXIFS(Lecturas!$A$4:$A$3549,Lecturas!$B$4:$B$3549,$A195,Lecturas!$E$4:$E$3549,"&lt;&gt;")),0)),"")</f>
        <v>Oficina Central</v>
      </c>
      <c r="H195" s="18" t="s">
        <v>57</v>
      </c>
      <c r="I195" s="18" t="s">
        <v>462</v>
      </c>
      <c r="J195" s="18">
        <v>15000</v>
      </c>
      <c r="K195" s="18">
        <f>IFERROR(IF($I195="KM",ROUND((_xlfn.MAXIFS(tblLecturas[Kilometraje],tblLecturas[Codigo],$A195)-_xlfn.MINIFS(tblLecturas[Kilometraje],tblLecturas[Codigo],$A195))/(MAX(1,_xlfn.MAXIFS(tblLecturas[Fecha],tblLecturas[Codigo],$A195)-_xlfn.MINIFS(tblLecturas[Fecha],tblLecturas[Codigo],$A195))),1),ROUND((_xlfn.MAXIFS(tblLecturas[Horometro],tblLecturas[Codigo],$A195)-_xlfn.MINIFS(tblLecturas[Horometro],tblLecturas[Codigo],$A195))/(MAX(1,_xlfn.MAXIFS(tblLecturas[Fecha],tblLecturas[Codigo],$A195)-_xlfn.MINIFS(tblLecturas[Fecha],tblLecturas[Codigo],$A195))),1)),"")</f>
        <v>139.30000000000001</v>
      </c>
      <c r="L195" s="20">
        <f>IFERROR(_xlfn.MAXIFS(tblLecturas[Fecha],tblLecturas[Codigo],$A195),"")</f>
        <v>46114</v>
      </c>
      <c r="M195" s="26">
        <f>IFERROR(_xlfn.MAXIFS(Lecturas!$C:$C,Lecturas!$B:$B,$A195,Lecturas!$C:$C,"&gt;0"),"")</f>
        <v>0</v>
      </c>
      <c r="N195" s="78">
        <f>IFERROR(_xlfn.MAXIFS(tblLecturas[Kilometraje],tblLecturas[Codigo],$A195,tblLecturas[Kilometraje],"&gt;0"),"")</f>
        <v>306341</v>
      </c>
      <c r="O195" s="78" cm="1">
        <f t="array" ref="O195">IFERROR(IF($I195="KM",LOOKUP(2,1/(Lecturas!$B:$B=$A195)/(Lecturas!$D:$D&gt;0),Lecturas!$D:$D),LOOKUP(2,1/(Lecturas!$B:$B=$A195)/(Lecturas!$C:$C&gt;0),Lecturas!$C:$C)),"")</f>
        <v>306341</v>
      </c>
      <c r="P195" s="20">
        <f>IFERROR(_xlfn.MAXIFS(tblMantenciones[Fecha],tblMantenciones[Codigo],tblMaestroEquipos[[#This Row],[Codigo]],tblMantenciones[EsPM],"Sí"),"")</f>
        <v>46034</v>
      </c>
      <c r="Q195" s="78">
        <f>IF(_xlfn.MAXIFS(Mantenciones!$D:$D,Mantenciones!$B:$B,A195)=0,"Sin datos de mantención registrado",_xlfn.MAXIFS(Mantenciones!$D:$D,Mantenciones!$B:$B,A195))</f>
        <v>118530</v>
      </c>
      <c r="R195" s="18">
        <f>IFERROR(IF(_xlfn.MAXIFS(Mantenciones!$D:$D,Mantenciones!$B:$B,$A195,Mantenciones!$E:$E,"Sí",Mantenciones!$D:$D,"&gt;0")=0,"Sin datos de mantención registrado",_xlfn.MAXIFS(Mantenciones!$D:$D,Mantenciones!$B:$B,$A195,Mantenciones!$E:$E,"Sí",Mantenciones!$D:$D,"&gt;0")),"Sin datos de mantención registrado")</f>
        <v>118530</v>
      </c>
      <c r="S195" s="21">
        <f>IFERROR(SUMIFS(tblMantenciones[Costo Mantencion CLP],tblMantenciones[Codigo],tblMaestroEquipos[[#This Row],[Codigo]]),0)</f>
        <v>0</v>
      </c>
      <c r="T195" s="21">
        <f>IFERROR(SUMIFS(tblComprasPM[Costo PM CLP],tblComprasPM[Codigo],tblMaestroEquipos[[#This Row],[Codigo]]),0)</f>
        <v>71949.510999999999</v>
      </c>
      <c r="U195" s="21">
        <f>IFERROR(tblMaestroEquipos[[#This Row],[Costo Mantenciones CLP]]+tblMaestroEquipos[[#This Row],[Costo Compras PM CLP]],0)</f>
        <v>71949.510999999999</v>
      </c>
      <c r="V195" s="18" t="str">
        <f>IFERROR(_xlfn.XLOOKUP(tblMaestroEquipos[[#This Row],[Codigo]],tblEquipos[Codigo],tblEquipos[Estado Base]),"")</f>
        <v>Operativo</v>
      </c>
      <c r="W195" s="18" t="str">
        <f t="shared" si="18"/>
        <v>POR RECIBIR</v>
      </c>
      <c r="X195" s="18">
        <f t="shared" si="19"/>
        <v>-172811</v>
      </c>
      <c r="Y19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-126697</v>
      </c>
      <c r="Z195" s="25">
        <f>IFERROR(IF(_xlfn.MINIFS(tblComprasPM[Fecha],tblComprasPM[Codigo],tblMaestroEquipos[[#This Row],[Codigo]])=0,"",_xlfn.MINIFS(tblComprasPM[Fecha],tblComprasPM[Codigo],tblMaestroEquipos[[#This Row],[Codigo]])),"")</f>
        <v>46093.472586689801</v>
      </c>
      <c r="AA195" s="25">
        <f>IFERROR(IF(_xlfn.MAXIFS(tblBodega[Fecha],tblBodega[Codigo],tblMaestroEquipos[[#This Row],[Codigo]])=0,"",_xlfn.MAXIFS(tblBodega[Fecha],tblBodega[Codigo],tblMaestroEquipos[[#This Row],[Codigo]])),"")</f>
        <v>46118</v>
      </c>
      <c r="AB195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9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9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95" s="51" t="str">
        <f t="shared" si="25"/>
        <v>OPERATIVO</v>
      </c>
      <c r="AF195" s="18" t="str">
        <f t="shared" si="20"/>
        <v>BAJA</v>
      </c>
      <c r="AG195" s="18" t="str">
        <f t="shared" si="21"/>
        <v>Monitorear próximo vencimiento</v>
      </c>
      <c r="AH195">
        <f t="shared" si="22"/>
        <v>0</v>
      </c>
      <c r="AI195" t="str">
        <f t="shared" si="23"/>
        <v/>
      </c>
      <c r="AJ195" s="24">
        <f t="shared" si="24"/>
        <v>3</v>
      </c>
    </row>
    <row r="196" spans="1:36" s="27" customFormat="1">
      <c r="A196" s="18" t="s">
        <v>463</v>
      </c>
      <c r="B196" s="18" t="s">
        <v>459</v>
      </c>
      <c r="C196" s="18" t="s">
        <v>1074</v>
      </c>
      <c r="D196" s="18" t="s">
        <v>99</v>
      </c>
      <c r="E196" s="19" t="s">
        <v>460</v>
      </c>
      <c r="F196" s="18">
        <v>2023</v>
      </c>
      <c r="G196" s="18" t="str" cm="1">
        <f t="array" ref="G196">IFERROR(INDEX(Lecturas!$E$4:$E$3549,MATCH(1,(Lecturas!$B$4:$B$3549=$A196)*(Lecturas!$E$4:$E$3549&lt;&gt;"")*(Lecturas!$A$4:$A$3549=_xlfn.MAXIFS(Lecturas!$A$4:$A$3549,Lecturas!$B$4:$B$3549,$A196,Lecturas!$E$4:$E$3549,"&lt;&gt;")),0)),"")</f>
        <v/>
      </c>
      <c r="H196" s="18" t="s">
        <v>464</v>
      </c>
      <c r="I196" s="18" t="s">
        <v>462</v>
      </c>
      <c r="J196" s="18">
        <v>15000</v>
      </c>
      <c r="K196" s="18">
        <f>IFERROR(IF($I196="KM",ROUND((_xlfn.MAXIFS(tblLecturas[Kilometraje],tblLecturas[Codigo],$A196)-_xlfn.MINIFS(tblLecturas[Kilometraje],tblLecturas[Codigo],$A196))/(MAX(1,_xlfn.MAXIFS(tblLecturas[Fecha],tblLecturas[Codigo],$A196)-_xlfn.MINIFS(tblLecturas[Fecha],tblLecturas[Codigo],$A196))),1),ROUND((_xlfn.MAXIFS(tblLecturas[Horometro],tblLecturas[Codigo],$A196)-_xlfn.MINIFS(tblLecturas[Horometro],tblLecturas[Codigo],$A196))/(MAX(1,_xlfn.MAXIFS(tblLecturas[Fecha],tblLecturas[Codigo],$A196)-_xlfn.MINIFS(tblLecturas[Fecha],tblLecturas[Codigo],$A196))),1)),"")</f>
        <v>469</v>
      </c>
      <c r="L196" s="20">
        <f>IFERROR(_xlfn.MAXIFS(tblLecturas[Fecha],tblLecturas[Codigo],$A196),"")</f>
        <v>46073</v>
      </c>
      <c r="M196" s="26">
        <f>IFERROR(_xlfn.MAXIFS(Lecturas!$C:$C,Lecturas!$B:$B,$A196,Lecturas!$C:$C,"&gt;0"),"")</f>
        <v>0</v>
      </c>
      <c r="N196" s="78">
        <f>IFERROR(_xlfn.MAXIFS(tblLecturas[Kilometraje],tblLecturas[Codigo],$A196,tblLecturas[Kilometraje],"&gt;0"),"")</f>
        <v>104779</v>
      </c>
      <c r="O196" s="78" cm="1">
        <f t="array" ref="O196">IFERROR(IF($I196="KM",LOOKUP(2,1/(Lecturas!$B:$B=$A196)/(Lecturas!$D:$D&gt;0),Lecturas!$D:$D),LOOKUP(2,1/(Lecturas!$B:$B=$A196)/(Lecturas!$C:$C&gt;0),Lecturas!$C:$C)),"")</f>
        <v>104779</v>
      </c>
      <c r="P196" s="20">
        <f>IFERROR(_xlfn.MAXIFS(tblMantenciones[Fecha],tblMantenciones[Codigo],tblMaestroEquipos[[#This Row],[Codigo]],tblMantenciones[EsPM],"Sí"),"")</f>
        <v>0</v>
      </c>
      <c r="Q196" s="78" t="str">
        <f>IF(_xlfn.MAXIFS(Mantenciones!$D:$D,Mantenciones!$B:$B,A196)=0,"Sin datos de mantención registrado",_xlfn.MAXIFS(Mantenciones!$D:$D,Mantenciones!$B:$B,A196))</f>
        <v>Sin datos de mantención registrado</v>
      </c>
      <c r="R196" s="18" t="str">
        <f>IFERROR(IF(_xlfn.MAXIFS(Mantenciones!$D:$D,Mantenciones!$B:$B,$A196,Mantenciones!$E:$E,"Sí",Mantenciones!$D:$D,"&gt;0")=0,"Sin datos de mantención registrado",_xlfn.MAXIFS(Mantenciones!$D:$D,Mantenciones!$B:$B,$A196,Mantenciones!$E:$E,"Sí",Mantenciones!$D:$D,"&gt;0")),"Sin datos de mantención registrado")</f>
        <v>Sin datos de mantención registrado</v>
      </c>
      <c r="S196" s="21">
        <f>IFERROR(SUMIFS(tblMantenciones[Costo Mantencion CLP],tblMantenciones[Codigo],A196),0)</f>
        <v>0</v>
      </c>
      <c r="T196" s="21">
        <f>IFERROR(SUMIFS(tblComprasPM[Costo PM CLP],tblComprasPM[Codigo],tblMaestroEquipos[[#This Row],[Codigo]]),0)</f>
        <v>0</v>
      </c>
      <c r="U196" s="21">
        <f>IFERROR(tblMaestroEquipos[[#This Row],[Costo Mantenciones CLP]]+tblMaestroEquipos[[#This Row],[Costo Compras PM CLP]],0)</f>
        <v>0</v>
      </c>
      <c r="V196" s="18" t="str">
        <f>IFERROR(_xlfn.XLOOKUP(tblMaestroEquipos[[#This Row],[Codigo]],tblEquipos[Codigo],tblEquipos[Estado Base]),"")</f>
        <v>Operativo</v>
      </c>
      <c r="W196" s="18" t="str">
        <f t="shared" ref="W196:W247" si="26">IF(OR(TRIM($V196)="Fuera de Servicio",TRIM($V196)="Fuera de servicio"),"FUERA DE SERVICIO",IF(OR(TRIM($V196)="Taller",TRIM($V196)="En taller",TRIM($V196)="EN TALLER"),"EN TALLER",IF($AD196="PENDIENTE","POR RECIBIR",IF(AND($Z196&lt;&gt;"",$AA196=""),"EN PROCESO",IF(AND(ISNUMBER($X196),$X196&lt;0),"ATRASADA",IF(AND(ISNUMBER($X196),$X196&lt;=30),"PRÓXIMA","AL DÍA"))))))</f>
        <v>AL DÍA</v>
      </c>
      <c r="X196" s="18" t="str">
        <f t="shared" ref="X196:X247" si="27">IF(OR(NOT(ISNUMBER(R196)),NOT(ISNUMBER(J196)),NOT(ISNUMBER(O196))),"",
(R196+J196)-O196)</f>
        <v/>
      </c>
      <c r="Y19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9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96" s="25" t="str">
        <f>IFERROR(IF(_xlfn.MAXIFS(tblBodega[Fecha],tblBodega[Codigo],tblMaestroEquipos[[#This Row],[Codigo]])=0,"",_xlfn.MAXIFS(tblBodega[Fecha],tblBodega[Codigo],tblMaestroEquipos[[#This Row],[Codigo]])),"")</f>
        <v/>
      </c>
      <c r="AB19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9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9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96" s="51" t="str">
        <f t="shared" si="25"/>
        <v>OPERATIVO</v>
      </c>
      <c r="AF196" s="18" t="str">
        <f t="shared" ref="AF196:AF247" si="28">IF($AE196="ATRASADA",IF($X196&lt;=-15,"CRÍTICA","ALTA"),IF($AE196="PRÓXIMA","MEDIA",IF(OR($AE196="EN PROCESO",$AE196="POR RECIBIR"),"SEGUIMIENTO",IF($AE196="FUERA DE SERVICIO","NO APLICA","BAJA"))))</f>
        <v>BAJA</v>
      </c>
      <c r="AG196" s="18" t="str">
        <f t="shared" ref="AG196:AG247" si="29">IF($AE196="FUERA DE SERVICIO","No programar compra",IF($AE196="CERRADO","Cerrar ciclo y preparar siguiente PM",IF($AE196="EN PROCESO","Hacer seguimiento al taller y cerrar report",IF($AE196="POR RECIBIR","Acelerar recepción de repuestos",IF($AE196="ATRASADA","Comprar kit PM y coordinar ejecución",IF($AE196="PRÓXIMA","Planificar compra preventiva","Monitorear próximo vencimiento"))))))</f>
        <v>Monitorear próximo vencimiento</v>
      </c>
      <c r="AH196">
        <f t="shared" ref="AH196:AH247" si="30">IF(AND(OR($AE196="ATRASADA",$AE196="PRÓXIMA"),$Z196="",$AA196=""),1,0)</f>
        <v>0</v>
      </c>
      <c r="AI196" t="str">
        <f t="shared" ref="AI196:AI247" si="31">IF(OR($AH196=0,$Y196=""),"",SUMPRODUCT(($AH$4:$AH$247=1)*(($Y$4:$Y$247&lt;$Y196)+(($Y$4:$Y$247=$Y196)*(ROW($Y$4:$Y$247)&lt;=ROW())))))</f>
        <v/>
      </c>
      <c r="AJ196" s="24">
        <f t="shared" ref="AJ196:AJ247" si="32">IF(W196="ATRASADA",1,IF(W196="EN PROCESO",2,IF(W196="POR RECIBIR",3,99)))</f>
        <v>99</v>
      </c>
    </row>
    <row r="197" spans="1:36" s="27" customFormat="1">
      <c r="A197" s="18" t="s">
        <v>539</v>
      </c>
      <c r="B197" s="18" t="s">
        <v>459</v>
      </c>
      <c r="C197" s="18" t="s">
        <v>1074</v>
      </c>
      <c r="D197" s="18" t="s">
        <v>99</v>
      </c>
      <c r="E197" s="19" t="s">
        <v>524</v>
      </c>
      <c r="F197" s="18">
        <v>2025</v>
      </c>
      <c r="G197" s="18" t="str" cm="1">
        <f t="array" ref="G197">IFERROR(INDEX(Lecturas!$E$4:$E$3549,MATCH(1,(Lecturas!$B$4:$B$3549=$A197)*(Lecturas!$E$4:$E$3549&lt;&gt;"")*(Lecturas!$A$4:$A$3549=_xlfn.MAXIFS(Lecturas!$A$4:$A$3549,Lecturas!$B$4:$B$3549,$A197,Lecturas!$E$4:$E$3549,"&lt;&gt;")),0)),"")</f>
        <v>San Carlos</v>
      </c>
      <c r="H197" s="18" t="s">
        <v>1084</v>
      </c>
      <c r="I197" s="18" t="s">
        <v>462</v>
      </c>
      <c r="J197" s="18">
        <v>15000</v>
      </c>
      <c r="K197" s="18">
        <f>IFERROR(IF($I197="KM",ROUND((_xlfn.MAXIFS(tblLecturas[Kilometraje],tblLecturas[Codigo],$A197)-_xlfn.MINIFS(tblLecturas[Kilometraje],tblLecturas[Codigo],$A197))/(MAX(1,_xlfn.MAXIFS(tblLecturas[Fecha],tblLecturas[Codigo],$A197)-_xlfn.MINIFS(tblLecturas[Fecha],tblLecturas[Codigo],$A197))),1),ROUND((_xlfn.MAXIFS(tblLecturas[Horometro],tblLecturas[Codigo],$A197)-_xlfn.MINIFS(tblLecturas[Horometro],tblLecturas[Codigo],$A197))/(MAX(1,_xlfn.MAXIFS(tblLecturas[Fecha],tblLecturas[Codigo],$A197)-_xlfn.MINIFS(tblLecturas[Fecha],tblLecturas[Codigo],$A197))),1)),"")</f>
        <v>143.4</v>
      </c>
      <c r="L197" s="20">
        <f>IFERROR(_xlfn.MAXIFS(tblLecturas[Fecha],tblLecturas[Codigo],$A197),"")</f>
        <v>46133</v>
      </c>
      <c r="M197" s="26">
        <f>IFERROR(_xlfn.MAXIFS(Lecturas!$C:$C,Lecturas!$B:$B,$A197,Lecturas!$C:$C,"&gt;0"),"")</f>
        <v>0</v>
      </c>
      <c r="N197" s="78">
        <f>IFERROR(_xlfn.MAXIFS(tblLecturas[Kilometraje],tblLecturas[Codigo],$A197,tblLecturas[Kilometraje],"&gt;0"),"")</f>
        <v>52162</v>
      </c>
      <c r="O197" s="78" cm="1">
        <f t="array" ref="O197">IFERROR(IF($I197="KM",LOOKUP(2,1/(Lecturas!$B:$B=$A197)/(Lecturas!$D:$D&gt;0),Lecturas!$D:$D),LOOKUP(2,1/(Lecturas!$B:$B=$A197)/(Lecturas!$C:$C&gt;0),Lecturas!$C:$C)),"")</f>
        <v>48159</v>
      </c>
      <c r="P197" s="20">
        <f>IFERROR(_xlfn.MAXIFS(tblMantenciones[Fecha],tblMantenciones[Codigo],tblMaestroEquipos[[#This Row],[Codigo]],tblMantenciones[EsPM],"Sí"),"")</f>
        <v>0</v>
      </c>
      <c r="Q197" s="78" t="str">
        <f>IF(_xlfn.MAXIFS(Mantenciones!$D:$D,Mantenciones!$B:$B,A197)=0,"Sin datos de mantención registrado",_xlfn.MAXIFS(Mantenciones!$D:$D,Mantenciones!$B:$B,A197))</f>
        <v>Sin datos de mantención registrado</v>
      </c>
      <c r="R197" s="18" t="str">
        <f>IFERROR(IF(_xlfn.MAXIFS(Mantenciones!$D:$D,Mantenciones!$B:$B,$A197,Mantenciones!$E:$E,"Sí",Mantenciones!$D:$D,"&gt;0")=0,"Sin datos de mantención registrado",_xlfn.MAXIFS(Mantenciones!$D:$D,Mantenciones!$B:$B,$A197,Mantenciones!$E:$E,"Sí",Mantenciones!$D:$D,"&gt;0")),"Sin datos de mantención registrado")</f>
        <v>Sin datos de mantención registrado</v>
      </c>
      <c r="S197" s="21">
        <f>IFERROR(SUMIFS(tblMantenciones[Costo Mantencion CLP],tblMantenciones[Codigo],A197),0)</f>
        <v>0</v>
      </c>
      <c r="T197" s="21">
        <f>IFERROR(SUMIFS(tblComprasPM[Costo PM CLP],tblComprasPM[Codigo],tblMaestroEquipos[[#This Row],[Codigo]]),0)</f>
        <v>0</v>
      </c>
      <c r="U197" s="21">
        <f>IFERROR(tblMaestroEquipos[[#This Row],[Costo Mantenciones CLP]]+tblMaestroEquipos[[#This Row],[Costo Compras PM CLP]],0)</f>
        <v>0</v>
      </c>
      <c r="V197" s="18" t="str">
        <f>IFERROR(_xlfn.XLOOKUP(tblMaestroEquipos[[#This Row],[Codigo]],tblEquipos[Codigo],tblEquipos[Estado Base]),"")</f>
        <v>Operativo</v>
      </c>
      <c r="W197" s="18" t="str">
        <f t="shared" si="26"/>
        <v>AL DÍA</v>
      </c>
      <c r="X197" s="18" t="str">
        <f t="shared" si="27"/>
        <v/>
      </c>
      <c r="Y19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9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97" s="25" t="str">
        <f>IFERROR(IF(_xlfn.MAXIFS(tblBodega[Fecha],tblBodega[Codigo],tblMaestroEquipos[[#This Row],[Codigo]])=0,"",_xlfn.MAXIFS(tblBodega[Fecha],tblBodega[Codigo],tblMaestroEquipos[[#This Row],[Codigo]])),"")</f>
        <v/>
      </c>
      <c r="AB19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9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9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97" s="51" t="str">
        <f t="shared" si="25"/>
        <v>OPERATIVO</v>
      </c>
      <c r="AF197" s="18" t="str">
        <f t="shared" si="28"/>
        <v>BAJA</v>
      </c>
      <c r="AG197" s="18" t="str">
        <f t="shared" si="29"/>
        <v>Monitorear próximo vencimiento</v>
      </c>
      <c r="AH197">
        <f t="shared" si="30"/>
        <v>0</v>
      </c>
      <c r="AI197" t="str">
        <f t="shared" si="31"/>
        <v/>
      </c>
      <c r="AJ197" s="24">
        <f t="shared" si="32"/>
        <v>99</v>
      </c>
    </row>
    <row r="198" spans="1:36" s="27" customFormat="1">
      <c r="A198" s="18" t="s">
        <v>636</v>
      </c>
      <c r="B198" s="18" t="s">
        <v>459</v>
      </c>
      <c r="C198" s="18" t="s">
        <v>1074</v>
      </c>
      <c r="D198" s="18" t="s">
        <v>99</v>
      </c>
      <c r="E198" s="19" t="s">
        <v>460</v>
      </c>
      <c r="F198" s="18">
        <v>2023</v>
      </c>
      <c r="G198" s="18" t="str" cm="1">
        <f t="array" ref="G198">IFERROR(INDEX(Lecturas!$E$4:$E$3549,MATCH(1,(Lecturas!$B$4:$B$3549=$A198)*(Lecturas!$E$4:$E$3549&lt;&gt;"")*(Lecturas!$A$4:$A$3549=_xlfn.MAXIFS(Lecturas!$A$4:$A$3549,Lecturas!$B$4:$B$3549,$A198,Lecturas!$E$4:$E$3549,"&lt;&gt;")),0)),"")</f>
        <v/>
      </c>
      <c r="H198" s="18" t="s">
        <v>57</v>
      </c>
      <c r="I198" s="18" t="s">
        <v>462</v>
      </c>
      <c r="J198" s="18">
        <v>15000</v>
      </c>
      <c r="K198" s="18">
        <f>IFERROR(IF($I198="KM",ROUND((_xlfn.MAXIFS(tblLecturas[Kilometraje],tblLecturas[Codigo],$A198)-_xlfn.MINIFS(tblLecturas[Kilometraje],tblLecturas[Codigo],$A198))/(MAX(1,_xlfn.MAXIFS(tblLecturas[Fecha],tblLecturas[Codigo],$A198)-_xlfn.MINIFS(tblLecturas[Fecha],tblLecturas[Codigo],$A198))),1),ROUND((_xlfn.MAXIFS(tblLecturas[Horometro],tblLecturas[Codigo],$A198)-_xlfn.MINIFS(tblLecturas[Horometro],tblLecturas[Codigo],$A198))/(MAX(1,_xlfn.MAXIFS(tblLecturas[Fecha],tblLecturas[Codigo],$A198)-_xlfn.MINIFS(tblLecturas[Fecha],tblLecturas[Codigo],$A198))),1)),"")</f>
        <v>446.2</v>
      </c>
      <c r="L198" s="20">
        <f>IFERROR(_xlfn.MAXIFS(tblLecturas[Fecha],tblLecturas[Codigo],$A198),"")</f>
        <v>46015</v>
      </c>
      <c r="M198" s="26">
        <f>IFERROR(_xlfn.MAXIFS(Lecturas!$C:$C,Lecturas!$B:$B,$A198,Lecturas!$C:$C,"&gt;0"),"")</f>
        <v>0</v>
      </c>
      <c r="N198" s="78">
        <f>IFERROR(_xlfn.MAXIFS(tblLecturas[Kilometraje],tblLecturas[Codigo],$A198,tblLecturas[Kilometraje],"&gt;0"),"")</f>
        <v>110259</v>
      </c>
      <c r="O198" s="78" cm="1">
        <f t="array" ref="O198">IFERROR(IF($I198="KM",LOOKUP(2,1/(Lecturas!$B:$B=$A198)/(Lecturas!$D:$D&gt;0),Lecturas!$D:$D),LOOKUP(2,1/(Lecturas!$B:$B=$A198)/(Lecturas!$C:$C&gt;0),Lecturas!$C:$C)),"")</f>
        <v>110259</v>
      </c>
      <c r="P198" s="20">
        <f>IFERROR(_xlfn.MAXIFS(tblMantenciones[Fecha],tblMantenciones[Codigo],tblMaestroEquipos[[#This Row],[Codigo]],tblMantenciones[EsPM],"Sí"),"")</f>
        <v>0</v>
      </c>
      <c r="Q198" s="78" t="str">
        <f>IF(_xlfn.MAXIFS(Mantenciones!$D:$D,Mantenciones!$B:$B,A198)=0,"Sin datos de mantención registrado",_xlfn.MAXIFS(Mantenciones!$D:$D,Mantenciones!$B:$B,A198))</f>
        <v>Sin datos de mantención registrado</v>
      </c>
      <c r="R198" s="18" t="str">
        <f>IFERROR(IF(_xlfn.MAXIFS(Mantenciones!$D:$D,Mantenciones!$B:$B,$A198,Mantenciones!$E:$E,"Sí",Mantenciones!$D:$D,"&gt;0")=0,"Sin datos de mantención registrado",_xlfn.MAXIFS(Mantenciones!$D:$D,Mantenciones!$B:$B,$A198,Mantenciones!$E:$E,"Sí",Mantenciones!$D:$D,"&gt;0")),"Sin datos de mantención registrado")</f>
        <v>Sin datos de mantención registrado</v>
      </c>
      <c r="S198" s="21">
        <f>IFERROR(SUMIFS(tblMantenciones[Costo Mantencion CLP],tblMantenciones[Codigo],tblMaestroEquipos[[#This Row],[Codigo]]),0)</f>
        <v>0</v>
      </c>
      <c r="T198" s="21">
        <f>IFERROR(SUMIFS(tblComprasPM[Costo PM CLP],tblComprasPM[Codigo],tblMaestroEquipos[[#This Row],[Codigo]]),0)</f>
        <v>0</v>
      </c>
      <c r="U198" s="21">
        <f>IFERROR(tblMaestroEquipos[[#This Row],[Costo Mantenciones CLP]]+tblMaestroEquipos[[#This Row],[Costo Compras PM CLP]],0)</f>
        <v>0</v>
      </c>
      <c r="V198" s="18" t="str">
        <f>IFERROR(_xlfn.XLOOKUP(tblMaestroEquipos[[#This Row],[Codigo]],tblEquipos[Codigo],tblEquipos[Estado Base]),"")</f>
        <v>Fuera de Servicio</v>
      </c>
      <c r="W198" s="18" t="str">
        <f t="shared" si="26"/>
        <v>FUERA DE SERVICIO</v>
      </c>
      <c r="X198" s="18" t="str">
        <f t="shared" si="27"/>
        <v/>
      </c>
      <c r="Y19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98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98" s="25" t="str">
        <f>IFERROR(IF(_xlfn.MAXIFS(tblBodega[Fecha],tblBodega[Codigo],tblMaestroEquipos[[#This Row],[Codigo]])=0,"",_xlfn.MAXIFS(tblBodega[Fecha],tblBodega[Codigo],tblMaestroEquipos[[#This Row],[Codigo]])),"")</f>
        <v/>
      </c>
      <c r="AB198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9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9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98" s="51" t="str">
        <f t="shared" si="25"/>
        <v>FUERA DE SERVICIO</v>
      </c>
      <c r="AF198" s="18" t="str">
        <f t="shared" si="28"/>
        <v>NO APLICA</v>
      </c>
      <c r="AG198" s="18" t="str">
        <f t="shared" si="29"/>
        <v>No programar compra</v>
      </c>
      <c r="AH198">
        <f t="shared" si="30"/>
        <v>0</v>
      </c>
      <c r="AI198" t="str">
        <f t="shared" si="31"/>
        <v/>
      </c>
      <c r="AJ198" s="24">
        <f t="shared" si="32"/>
        <v>99</v>
      </c>
    </row>
    <row r="199" spans="1:36">
      <c r="A199" s="18" t="s">
        <v>613</v>
      </c>
      <c r="B199" s="18" t="s">
        <v>502</v>
      </c>
      <c r="C199" s="18" t="s">
        <v>1074</v>
      </c>
      <c r="D199" s="18" t="s">
        <v>118</v>
      </c>
      <c r="E199" s="19" t="s">
        <v>609</v>
      </c>
      <c r="F199" s="18">
        <v>2017</v>
      </c>
      <c r="G199" s="18" t="str" cm="1">
        <f t="array" ref="G199">IFERROR(INDEX(Lecturas!$E$4:$E$3549,MATCH(1,(Lecturas!$B$4:$B$3549=$A199)*(Lecturas!$E$4:$E$3549&lt;&gt;"")*(Lecturas!$A$4:$A$3549=_xlfn.MAXIFS(Lecturas!$A$4:$A$3549,Lecturas!$B$4:$B$3549,$A199,Lecturas!$E$4:$E$3549,"&lt;&gt;")),0)),"")</f>
        <v/>
      </c>
      <c r="H199" s="18" t="s">
        <v>1104</v>
      </c>
      <c r="I199" s="18" t="s">
        <v>462</v>
      </c>
      <c r="J199" s="18">
        <v>15000</v>
      </c>
      <c r="K199" s="18">
        <f>IFERROR(IF($I199="KM",ROUND((_xlfn.MAXIFS(tblLecturas[Kilometraje],tblLecturas[Codigo],$A199)-_xlfn.MINIFS(tblLecturas[Kilometraje],tblLecturas[Codigo],$A199))/(MAX(1,_xlfn.MAXIFS(tblLecturas[Fecha],tblLecturas[Codigo],$A199)-_xlfn.MINIFS(tblLecturas[Fecha],tblLecturas[Codigo],$A199))),1),ROUND((_xlfn.MAXIFS(tblLecturas[Horometro],tblLecturas[Codigo],$A199)-_xlfn.MINIFS(tblLecturas[Horometro],tblLecturas[Codigo],$A199))/(MAX(1,_xlfn.MAXIFS(tblLecturas[Fecha],tblLecturas[Codigo],$A199)-_xlfn.MINIFS(tblLecturas[Fecha],tblLecturas[Codigo],$A199))),1)),"")</f>
        <v>1168.4000000000001</v>
      </c>
      <c r="L199" s="20">
        <f>IFERROR(_xlfn.MAXIFS(tblLecturas[Fecha],tblLecturas[Codigo],$A199),"")</f>
        <v>46104</v>
      </c>
      <c r="M199" s="26">
        <f>IFERROR(_xlfn.MAXIFS(Lecturas!$C:$C,Lecturas!$B:$B,$A199,Lecturas!$C:$C,"&gt;0"),"")</f>
        <v>0</v>
      </c>
      <c r="N199" s="78">
        <f>IFERROR(_xlfn.MAXIFS(tblLecturas[Kilometraje],tblLecturas[Codigo],$A199,tblLecturas[Kilometraje],"&gt;0"),"")</f>
        <v>263620</v>
      </c>
      <c r="O199" s="78" cm="1">
        <f t="array" ref="O199">IFERROR(IF($I199="KM",LOOKUP(2,1/(Lecturas!$B:$B=$A199)/(Lecturas!$D:$D&gt;0),Lecturas!$D:$D),LOOKUP(2,1/(Lecturas!$B:$B=$A199)/(Lecturas!$C:$C&gt;0),Lecturas!$C:$C)),"")</f>
        <v>263620</v>
      </c>
      <c r="P199" s="20">
        <f>IFERROR(_xlfn.MAXIFS(tblMantenciones[Fecha],tblMantenciones[Codigo],tblMaestroEquipos[[#This Row],[Codigo]],tblMantenciones[EsPM],"Sí"),"")</f>
        <v>0</v>
      </c>
      <c r="Q199" s="78" t="str">
        <f>IF(_xlfn.MAXIFS(Mantenciones!$D:$D,Mantenciones!$B:$B,A199)=0,"Sin datos de mantención registrado",_xlfn.MAXIFS(Mantenciones!$D:$D,Mantenciones!$B:$B,A199))</f>
        <v>Sin datos de mantención registrado</v>
      </c>
      <c r="R199" s="18" t="str">
        <f>IFERROR(IF(_xlfn.MAXIFS(Mantenciones!$D:$D,Mantenciones!$B:$B,$A199,Mantenciones!$E:$E,"Sí",Mantenciones!$D:$D,"&gt;0")=0,"Sin datos de mantención registrado",_xlfn.MAXIFS(Mantenciones!$D:$D,Mantenciones!$B:$B,$A199,Mantenciones!$E:$E,"Sí",Mantenciones!$D:$D,"&gt;0")),"Sin datos de mantención registrado")</f>
        <v>Sin datos de mantención registrado</v>
      </c>
      <c r="S199" s="21">
        <f>IFERROR(SUMIFS(tblMantenciones[Costo Mantencion CLP],tblMantenciones[Codigo],tblMaestroEquipos[[#This Row],[Codigo]]),0)</f>
        <v>0</v>
      </c>
      <c r="T199" s="21">
        <f>IFERROR(SUMIFS(tblComprasPM[Costo PM CLP],tblComprasPM[Codigo],tblMaestroEquipos[[#This Row],[Codigo]]),0)</f>
        <v>0</v>
      </c>
      <c r="U199" s="21">
        <f>IFERROR(tblMaestroEquipos[[#This Row],[Costo Mantenciones CLP]]+tblMaestroEquipos[[#This Row],[Costo Compras PM CLP]],0)</f>
        <v>0</v>
      </c>
      <c r="V199" s="18" t="str">
        <f>IFERROR(_xlfn.XLOOKUP(tblMaestroEquipos[[#This Row],[Codigo]],tblEquipos[Codigo],tblEquipos[Estado Base]),"")</f>
        <v>Fuera de Servicio</v>
      </c>
      <c r="W199" s="18" t="str">
        <f t="shared" si="26"/>
        <v>FUERA DE SERVICIO</v>
      </c>
      <c r="X199" s="18" t="str">
        <f t="shared" si="27"/>
        <v/>
      </c>
      <c r="Y19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9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99" s="25" t="str">
        <f>IFERROR(IF(_xlfn.MAXIFS(tblBodega[Fecha],tblBodega[Codigo],tblMaestroEquipos[[#This Row],[Codigo]])=0,"",_xlfn.MAXIFS(tblBodega[Fecha],tblBodega[Codigo],tblMaestroEquipos[[#This Row],[Codigo]])),"")</f>
        <v/>
      </c>
      <c r="AB19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9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9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99" s="51" t="str">
        <f t="shared" si="25"/>
        <v>FUERA DE SERVICIO</v>
      </c>
      <c r="AF199" s="18" t="str">
        <f t="shared" si="28"/>
        <v>NO APLICA</v>
      </c>
      <c r="AG199" s="18" t="str">
        <f t="shared" si="29"/>
        <v>No programar compra</v>
      </c>
      <c r="AH199" s="27">
        <f t="shared" si="30"/>
        <v>0</v>
      </c>
      <c r="AI199" s="27" t="str">
        <f t="shared" si="31"/>
        <v/>
      </c>
      <c r="AJ199" s="24">
        <f t="shared" si="32"/>
        <v>99</v>
      </c>
    </row>
    <row r="200" spans="1:36">
      <c r="A200" s="18" t="s">
        <v>424</v>
      </c>
      <c r="B200" s="18" t="s">
        <v>264</v>
      </c>
      <c r="C200" s="18" t="s">
        <v>1070</v>
      </c>
      <c r="D200" s="18" t="s">
        <v>296</v>
      </c>
      <c r="E200" s="19" t="s">
        <v>425</v>
      </c>
      <c r="F200" s="18">
        <v>2009</v>
      </c>
      <c r="G200" s="18" t="str" cm="1">
        <f t="array" ref="G200">IFERROR(INDEX(Lecturas!$E$4:$E$3549,MATCH(1,(Lecturas!$B$4:$B$3549=$A200)*(Lecturas!$E$4:$E$3549&lt;&gt;"")*(Lecturas!$A$4:$A$3549=_xlfn.MAXIFS(Lecturas!$A$4:$A$3549,Lecturas!$B$4:$B$3549,$A200,Lecturas!$E$4:$E$3549,"&lt;&gt;")),0)),"")</f>
        <v>Ninhue</v>
      </c>
      <c r="H200" s="18" t="s">
        <v>1082</v>
      </c>
      <c r="I200" s="18" t="s">
        <v>18</v>
      </c>
      <c r="J200" s="18">
        <v>250</v>
      </c>
      <c r="K200" s="18">
        <f>IFERROR(IF($I200="KM",ROUND((_xlfn.MAXIFS(tblLecturas[Kilometraje],tblLecturas[Codigo],$A200)-_xlfn.MINIFS(tblLecturas[Kilometraje],tblLecturas[Codigo],$A200))/(MAX(1,_xlfn.MAXIFS(tblLecturas[Fecha],tblLecturas[Codigo],$A200)-_xlfn.MINIFS(tblLecturas[Fecha],tblLecturas[Codigo],$A200))),1),ROUND((_xlfn.MAXIFS(tblLecturas[Horometro],tblLecturas[Codigo],$A200)-_xlfn.MINIFS(tblLecturas[Horometro],tblLecturas[Codigo],$A200))/(MAX(1,_xlfn.MAXIFS(tblLecturas[Fecha],tblLecturas[Codigo],$A200)-_xlfn.MINIFS(tblLecturas[Fecha],tblLecturas[Codigo],$A200))),1)),"")</f>
        <v>1.4</v>
      </c>
      <c r="L200" s="20">
        <f>IFERROR(_xlfn.MAXIFS(tblLecturas[Fecha],tblLecturas[Codigo],$A200),"")</f>
        <v>46129</v>
      </c>
      <c r="M200" s="26">
        <f>IFERROR(_xlfn.MAXIFS(Lecturas!$C:$C,Lecturas!$B:$B,$A200,Lecturas!$C:$C,"&gt;0"),"")</f>
        <v>589</v>
      </c>
      <c r="N200" s="78">
        <f>IFERROR(_xlfn.MAXIFS(tblLecturas[Kilometraje],tblLecturas[Codigo],$A200,tblLecturas[Kilometraje],"&gt;0"),"")</f>
        <v>0</v>
      </c>
      <c r="O200" s="78" cm="1">
        <f t="array" ref="O200">IFERROR(IF($I200="KM",LOOKUP(2,1/(Lecturas!$B:$B=$A200)/(Lecturas!$D:$D&gt;0),Lecturas!$D:$D),LOOKUP(2,1/(Lecturas!$B:$B=$A200)/(Lecturas!$C:$C&gt;0),Lecturas!$C:$C)),"")</f>
        <v>589</v>
      </c>
      <c r="P200" s="20">
        <f>IFERROR(_xlfn.MAXIFS(tblMantenciones[Fecha],tblMantenciones[Codigo],tblMaestroEquipos[[#This Row],[Codigo]],tblMantenciones[EsPM],"Sí"),"")</f>
        <v>0</v>
      </c>
      <c r="Q200" s="78" t="str">
        <f>IF(_xlfn.MAXIFS(Mantenciones!$D:$D,Mantenciones!$B:$B,A200)=0,"Sin datos de mantención registrado",_xlfn.MAXIFS(Mantenciones!$D:$D,Mantenciones!$B:$B,A200))</f>
        <v>Sin datos de mantención registrado</v>
      </c>
      <c r="R200" s="18" t="str">
        <f>IFERROR(IF(_xlfn.MAXIFS(Mantenciones!$D:$D,Mantenciones!$B:$B,$A200,Mantenciones!$E:$E,"Sí",Mantenciones!$D:$D,"&gt;0")=0,"Sin datos de mantención registrado",_xlfn.MAXIFS(Mantenciones!$D:$D,Mantenciones!$B:$B,$A200,Mantenciones!$E:$E,"Sí",Mantenciones!$D:$D,"&gt;0")),"Sin datos de mantención registrado")</f>
        <v>Sin datos de mantención registrado</v>
      </c>
      <c r="S200" s="21">
        <f>IFERROR(SUMIFS(tblMantenciones[Costo Mantencion CLP],tblMantenciones[Codigo],A200),0)</f>
        <v>0</v>
      </c>
      <c r="T200" s="21">
        <f>IFERROR(SUMIFS(tblComprasPM[Costo PM CLP],tblComprasPM[Codigo],tblMaestroEquipos[[#This Row],[Codigo]]),0)</f>
        <v>306326.23</v>
      </c>
      <c r="U200" s="21">
        <f>IFERROR(tblMaestroEquipos[[#This Row],[Costo Mantenciones CLP]]+tblMaestroEquipos[[#This Row],[Costo Compras PM CLP]],0)</f>
        <v>306326.23</v>
      </c>
      <c r="V200" s="18" t="str">
        <f>IFERROR(_xlfn.XLOOKUP(tblMaestroEquipos[[#This Row],[Codigo]],tblEquipos[Codigo],tblEquipos[Estado Base]),"")</f>
        <v>Operativo</v>
      </c>
      <c r="W200" s="18" t="str">
        <f t="shared" si="26"/>
        <v>EN PROCESO</v>
      </c>
      <c r="X200" s="18" t="str">
        <f t="shared" si="27"/>
        <v/>
      </c>
      <c r="Y20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00" s="25">
        <f>IFERROR(IF(_xlfn.MINIFS(tblComprasPM[Fecha],tblComprasPM[Codigo],tblMaestroEquipos[[#This Row],[Codigo]])=0,"",_xlfn.MINIFS(tblComprasPM[Fecha],tblComprasPM[Codigo],tblMaestroEquipos[[#This Row],[Codigo]])),"")</f>
        <v>46086.750033020799</v>
      </c>
      <c r="AA200" s="25" t="str">
        <f>IFERROR(IF(_xlfn.MAXIFS(tblBodega[Fecha],tblBodega[Codigo],tblMaestroEquipos[[#This Row],[Codigo]])=0,"",_xlfn.MAXIFS(tblBodega[Fecha],tblBodega[Codigo],tblMaestroEquipos[[#This Row],[Codigo]])),"")</f>
        <v/>
      </c>
      <c r="AB200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59</v>
      </c>
      <c r="AC20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0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00" s="51" t="str">
        <f t="shared" si="25"/>
        <v>EN PROCESO</v>
      </c>
      <c r="AF200" s="18" t="str">
        <f t="shared" si="28"/>
        <v>SEGUIMIENTO</v>
      </c>
      <c r="AG200" s="18" t="str">
        <f t="shared" si="29"/>
        <v>Hacer seguimiento al taller y cerrar report</v>
      </c>
      <c r="AH200">
        <f t="shared" si="30"/>
        <v>0</v>
      </c>
      <c r="AI200" t="str">
        <f t="shared" si="31"/>
        <v/>
      </c>
      <c r="AJ200" s="24">
        <f t="shared" si="32"/>
        <v>2</v>
      </c>
    </row>
    <row r="201" spans="1:36">
      <c r="A201" s="18" t="s">
        <v>41</v>
      </c>
      <c r="B201" s="18" t="s">
        <v>13</v>
      </c>
      <c r="C201" s="18" t="s">
        <v>1069</v>
      </c>
      <c r="D201" s="18" t="s">
        <v>42</v>
      </c>
      <c r="E201" s="19">
        <v>7600</v>
      </c>
      <c r="F201" s="18">
        <v>2008</v>
      </c>
      <c r="G201" s="18" t="str" cm="1">
        <f t="array" ref="G201">IFERROR(INDEX(Lecturas!$E$4:$E$3549,MATCH(1,(Lecturas!$B$4:$B$3549=$A201)*(Lecturas!$E$4:$E$3549&lt;&gt;"")*(Lecturas!$A$4:$A$3549=_xlfn.MAXIFS(Lecturas!$A$4:$A$3549,Lecturas!$B$4:$B$3549,$A201,Lecturas!$E$4:$E$3549,"&lt;&gt;")),0)),"")</f>
        <v>Palmucho</v>
      </c>
      <c r="H201" s="18" t="s">
        <v>43</v>
      </c>
      <c r="I201" s="18" t="s">
        <v>462</v>
      </c>
      <c r="J201" s="18">
        <v>250</v>
      </c>
      <c r="K201" s="18">
        <f>IFERROR(IF($I201="KM",ROUND((_xlfn.MAXIFS(tblLecturas[Kilometraje],tblLecturas[Codigo],$A201)-_xlfn.MINIFS(tblLecturas[Kilometraje],tblLecturas[Codigo],$A201))/(MAX(1,_xlfn.MAXIFS(tblLecturas[Fecha],tblLecturas[Codigo],$A201)-_xlfn.MINIFS(tblLecturas[Fecha],tblLecturas[Codigo],$A201))),1),ROUND((_xlfn.MAXIFS(tblLecturas[Horometro],tblLecturas[Codigo],$A201)-_xlfn.MINIFS(tblLecturas[Horometro],tblLecturas[Codigo],$A201))/(MAX(1,_xlfn.MAXIFS(tblLecturas[Fecha],tblLecturas[Codigo],$A201)-_xlfn.MINIFS(tblLecturas[Fecha],tblLecturas[Codigo],$A201))),1)),"")</f>
        <v>445.3</v>
      </c>
      <c r="L201" s="20">
        <f>IFERROR(_xlfn.MAXIFS(tblLecturas[Fecha],tblLecturas[Codigo],$A201),"")</f>
        <v>46107</v>
      </c>
      <c r="M201" s="26">
        <f>IFERROR(_xlfn.MAXIFS(Lecturas!$C:$C,Lecturas!$B:$B,$A201,Lecturas!$C:$C,"&gt;0"),"")</f>
        <v>0</v>
      </c>
      <c r="N201" s="78">
        <f>IFERROR(_xlfn.MAXIFS(tblLecturas[Kilometraje],tblLecturas[Codigo],$A201,tblLecturas[Kilometraje],"&gt;0"),"")</f>
        <v>98639</v>
      </c>
      <c r="O201" s="78" cm="1">
        <f t="array" ref="O201">IFERROR(IF($I201="KM",LOOKUP(2,1/(Lecturas!$B:$B=$A201)/(Lecturas!$D:$D&gt;0),Lecturas!$D:$D),LOOKUP(2,1/(Lecturas!$B:$B=$A201)/(Lecturas!$C:$C&gt;0),Lecturas!$C:$C)),"")</f>
        <v>48763</v>
      </c>
      <c r="P201" s="20">
        <f>IFERROR(_xlfn.MAXIFS(tblMantenciones[Fecha],tblMantenciones[Codigo],tblMaestroEquipos[[#This Row],[Codigo]],tblMantenciones[EsPM],"Sí"),"")</f>
        <v>0</v>
      </c>
      <c r="Q201" s="78" t="str">
        <f>IF(_xlfn.MAXIFS(Mantenciones!$D:$D,Mantenciones!$B:$B,A201)=0,"Sin datos de mantención registrado",_xlfn.MAXIFS(Mantenciones!$D:$D,Mantenciones!$B:$B,A201))</f>
        <v>Sin datos de mantención registrado</v>
      </c>
      <c r="R201" s="18" t="str">
        <f>IFERROR(IF(_xlfn.MAXIFS(Mantenciones!$D:$D,Mantenciones!$B:$B,$A201,Mantenciones!$E:$E,"Sí",Mantenciones!$D:$D,"&gt;0")=0,"Sin datos de mantención registrado",_xlfn.MAXIFS(Mantenciones!$D:$D,Mantenciones!$B:$B,$A201,Mantenciones!$E:$E,"Sí",Mantenciones!$D:$D,"&gt;0")),"Sin datos de mantención registrado")</f>
        <v>Sin datos de mantención registrado</v>
      </c>
      <c r="S201" s="21">
        <f>IFERROR(SUMIFS(tblMantenciones[Costo Mantencion CLP],tblMantenciones[Codigo],A201),0)</f>
        <v>0</v>
      </c>
      <c r="T201" s="21">
        <f>IFERROR(SUMIFS(tblComprasPM[Costo PM CLP],tblComprasPM[Codigo],tblMaestroEquipos[[#This Row],[Codigo]]),0)</f>
        <v>178599.96356999999</v>
      </c>
      <c r="U201" s="21">
        <f>IFERROR(tblMaestroEquipos[[#This Row],[Costo Mantenciones CLP]]+tblMaestroEquipos[[#This Row],[Costo Compras PM CLP]],0)</f>
        <v>178599.96356999999</v>
      </c>
      <c r="V201" s="18" t="str">
        <f>IFERROR(_xlfn.XLOOKUP(tblMaestroEquipos[[#This Row],[Codigo]],tblEquipos[Codigo],tblEquipos[Estado Base]),"")</f>
        <v>Operativo</v>
      </c>
      <c r="W201" s="18" t="str">
        <f t="shared" si="26"/>
        <v>EN PROCESO</v>
      </c>
      <c r="X201" s="18" t="str">
        <f t="shared" si="27"/>
        <v/>
      </c>
      <c r="Y20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01" s="25">
        <f>IFERROR(IF(_xlfn.MINIFS(tblComprasPM[Fecha],tblComprasPM[Codigo],tblMaestroEquipos[[#This Row],[Codigo]])=0,"",_xlfn.MINIFS(tblComprasPM[Fecha],tblComprasPM[Codigo],tblMaestroEquipos[[#This Row],[Codigo]])),"")</f>
        <v>46128.371488044002</v>
      </c>
      <c r="AA201" s="25" t="str">
        <f>IFERROR(IF(_xlfn.MAXIFS(tblBodega[Fecha],tblBodega[Codigo],tblMaestroEquipos[[#This Row],[Codigo]])=0,"",_xlfn.MAXIFS(tblBodega[Fecha],tblBodega[Codigo],tblMaestroEquipos[[#This Row],[Codigo]])),"")</f>
        <v/>
      </c>
      <c r="AB20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17</v>
      </c>
      <c r="AC20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0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01" s="51" t="str">
        <f t="shared" si="25"/>
        <v>EN PROCESO</v>
      </c>
      <c r="AF201" s="18" t="str">
        <f t="shared" si="28"/>
        <v>SEGUIMIENTO</v>
      </c>
      <c r="AG201" s="18" t="str">
        <f t="shared" si="29"/>
        <v>Hacer seguimiento al taller y cerrar report</v>
      </c>
      <c r="AH201">
        <f t="shared" si="30"/>
        <v>0</v>
      </c>
      <c r="AI201" t="str">
        <f t="shared" si="31"/>
        <v/>
      </c>
      <c r="AJ201" s="24">
        <f t="shared" si="32"/>
        <v>2</v>
      </c>
    </row>
    <row r="202" spans="1:36">
      <c r="A202" s="18" t="s">
        <v>353</v>
      </c>
      <c r="B202" s="18" t="s">
        <v>351</v>
      </c>
      <c r="C202" s="18" t="s">
        <v>1070</v>
      </c>
      <c r="D202" s="18" t="s">
        <v>347</v>
      </c>
      <c r="E202" s="19" t="s">
        <v>352</v>
      </c>
      <c r="F202" s="18">
        <v>2001</v>
      </c>
      <c r="G202" s="18" t="str" cm="1">
        <f t="array" ref="G202">IFERROR(INDEX(Lecturas!$E$4:$E$3549,MATCH(1,(Lecturas!$B$4:$B$3549=$A202)*(Lecturas!$E$4:$E$3549&lt;&gt;"")*(Lecturas!$A$4:$A$3549=_xlfn.MAXIFS(Lecturas!$A$4:$A$3549,Lecturas!$B$4:$B$3549,$A202,Lecturas!$E$4:$E$3549,"&lt;&gt;")),0)),"")</f>
        <v>Ninhue</v>
      </c>
      <c r="H202" s="18" t="s">
        <v>53</v>
      </c>
      <c r="I202" s="18" t="s">
        <v>18</v>
      </c>
      <c r="J202" s="18">
        <v>250</v>
      </c>
      <c r="K202" s="18">
        <f>IFERROR(IF($I202="KM",ROUND((_xlfn.MAXIFS(tblLecturas[Kilometraje],tblLecturas[Codigo],$A202)-_xlfn.MINIFS(tblLecturas[Kilometraje],tblLecturas[Codigo],$A202))/(MAX(1,_xlfn.MAXIFS(tblLecturas[Fecha],tblLecturas[Codigo],$A202)-_xlfn.MINIFS(tblLecturas[Fecha],tblLecturas[Codigo],$A202))),1),ROUND((_xlfn.MAXIFS(tblLecturas[Horometro],tblLecturas[Codigo],$A202)-_xlfn.MINIFS(tblLecturas[Horometro],tblLecturas[Codigo],$A202))/(MAX(1,_xlfn.MAXIFS(tblLecturas[Fecha],tblLecturas[Codigo],$A202)-_xlfn.MINIFS(tblLecturas[Fecha],tblLecturas[Codigo],$A202))),1)),"")</f>
        <v>31.5</v>
      </c>
      <c r="L202" s="20">
        <f>IFERROR(_xlfn.MAXIFS(tblLecturas[Fecha],tblLecturas[Codigo],$A202),"")</f>
        <v>46101</v>
      </c>
      <c r="M202" s="26">
        <f>IFERROR(_xlfn.MAXIFS(Lecturas!$C:$C,Lecturas!$B:$B,$A202,Lecturas!$C:$C,"&gt;0"),"")</f>
        <v>8282</v>
      </c>
      <c r="N202" s="78">
        <f>IFERROR(_xlfn.MAXIFS(tblLecturas[Kilometraje],tblLecturas[Codigo],$A202,tblLecturas[Kilometraje],"&gt;0"),"")</f>
        <v>0</v>
      </c>
      <c r="O202" s="78" cm="1">
        <f t="array" ref="O202">IFERROR(IF($I202="KM",LOOKUP(2,1/(Lecturas!$B:$B=$A202)/(Lecturas!$D:$D&gt;0),Lecturas!$D:$D),LOOKUP(2,1/(Lecturas!$B:$B=$A202)/(Lecturas!$C:$C&gt;0),Lecturas!$C:$C)),"")</f>
        <v>8282</v>
      </c>
      <c r="P202" s="20">
        <f>IFERROR(_xlfn.MAXIFS(tblMantenciones[Fecha],tblMantenciones[Codigo],tblMaestroEquipos[[#This Row],[Codigo]],tblMantenciones[EsPM],"Sí"),"")</f>
        <v>0</v>
      </c>
      <c r="Q202" s="78" t="str">
        <f>IF(_xlfn.MAXIFS(Mantenciones!$D:$D,Mantenciones!$B:$B,A202)=0,"Sin datos de mantención registrado",_xlfn.MAXIFS(Mantenciones!$D:$D,Mantenciones!$B:$B,A202))</f>
        <v>Sin datos de mantención registrado</v>
      </c>
      <c r="R202" s="18" t="str">
        <f>IFERROR(IF(_xlfn.MAXIFS(Mantenciones!$D:$D,Mantenciones!$B:$B,$A202,Mantenciones!$E:$E,"Sí",Mantenciones!$D:$D,"&gt;0")=0,"Sin datos de mantención registrado",_xlfn.MAXIFS(Mantenciones!$D:$D,Mantenciones!$B:$B,$A202,Mantenciones!$E:$E,"Sí",Mantenciones!$D:$D,"&gt;0")),"Sin datos de mantención registrado")</f>
        <v>Sin datos de mantención registrado</v>
      </c>
      <c r="S202" s="21">
        <f>IFERROR(SUMIFS(tblMantenciones[Costo Mantencion CLP],tblMantenciones[Codigo],A202),0)</f>
        <v>0</v>
      </c>
      <c r="T202" s="21">
        <f>IFERROR(SUMIFS(tblComprasPM[Costo PM CLP],tblComprasPM[Codigo],tblMaestroEquipos[[#This Row],[Codigo]]),0)</f>
        <v>536723.31999999995</v>
      </c>
      <c r="U202" s="21">
        <f>IFERROR(tblMaestroEquipos[[#This Row],[Costo Mantenciones CLP]]+tblMaestroEquipos[[#This Row],[Costo Compras PM CLP]],0)</f>
        <v>536723.31999999995</v>
      </c>
      <c r="V202" s="18" t="str">
        <f>IFERROR(_xlfn.XLOOKUP(tblMaestroEquipos[[#This Row],[Codigo]],tblEquipos[Codigo],tblEquipos[Estado Base]),"")</f>
        <v>Operativo</v>
      </c>
      <c r="W202" s="18" t="str">
        <f t="shared" si="26"/>
        <v>EN PROCESO</v>
      </c>
      <c r="X202" s="18" t="str">
        <f t="shared" si="27"/>
        <v/>
      </c>
      <c r="Y20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02" s="25">
        <f>IFERROR(IF(_xlfn.MINIFS(tblComprasPM[Fecha],tblComprasPM[Codigo],tblMaestroEquipos[[#This Row],[Codigo]])=0,"",_xlfn.MINIFS(tblComprasPM[Fecha],tblComprasPM[Codigo],tblMaestroEquipos[[#This Row],[Codigo]])),"")</f>
        <v>46118</v>
      </c>
      <c r="AA202" s="25" t="str">
        <f>IFERROR(IF(_xlfn.MAXIFS(tblBodega[Fecha],tblBodega[Codigo],tblMaestroEquipos[[#This Row],[Codigo]])=0,"",_xlfn.MAXIFS(tblBodega[Fecha],tblBodega[Codigo],tblMaestroEquipos[[#This Row],[Codigo]])),"")</f>
        <v/>
      </c>
      <c r="AB202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27</v>
      </c>
      <c r="AC20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0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02" s="51" t="str">
        <f t="shared" si="25"/>
        <v>EN PROCESO</v>
      </c>
      <c r="AF202" s="18" t="str">
        <f t="shared" si="28"/>
        <v>SEGUIMIENTO</v>
      </c>
      <c r="AG202" s="18" t="str">
        <f t="shared" si="29"/>
        <v>Hacer seguimiento al taller y cerrar report</v>
      </c>
      <c r="AH202">
        <f t="shared" si="30"/>
        <v>0</v>
      </c>
      <c r="AI202" t="str">
        <f t="shared" si="31"/>
        <v/>
      </c>
      <c r="AJ202" s="24">
        <f t="shared" si="32"/>
        <v>2</v>
      </c>
    </row>
    <row r="203" spans="1:36">
      <c r="A203" s="18" t="s">
        <v>278</v>
      </c>
      <c r="B203" s="18" t="s">
        <v>279</v>
      </c>
      <c r="C203" s="18" t="s">
        <v>1070</v>
      </c>
      <c r="D203" s="18" t="s">
        <v>280</v>
      </c>
      <c r="E203" s="19" t="s">
        <v>281</v>
      </c>
      <c r="F203" s="18">
        <v>2019</v>
      </c>
      <c r="G203" s="18" t="str" cm="1">
        <f t="array" ref="G203">IFERROR(INDEX(Lecturas!$E$4:$E$3549,MATCH(1,(Lecturas!$B$4:$B$3549=$A203)*(Lecturas!$E$4:$E$3549&lt;&gt;"")*(Lecturas!$A$4:$A$3549=_xlfn.MAXIFS(Lecturas!$A$4:$A$3549,Lecturas!$B$4:$B$3549,$A203,Lecturas!$E$4:$E$3549,"&lt;&gt;")),0)),"")</f>
        <v/>
      </c>
      <c r="H203" s="18" t="s">
        <v>53</v>
      </c>
      <c r="I203" s="18" t="s">
        <v>18</v>
      </c>
      <c r="J203" s="18">
        <v>250</v>
      </c>
      <c r="K203" s="18">
        <f>IFERROR(IF($I203="KM",ROUND((_xlfn.MAXIFS(tblLecturas[Kilometraje],tblLecturas[Codigo],$A203)-_xlfn.MINIFS(tblLecturas[Kilometraje],tblLecturas[Codigo],$A203))/(MAX(1,_xlfn.MAXIFS(tblLecturas[Fecha],tblLecturas[Codigo],$A203)-_xlfn.MINIFS(tblLecturas[Fecha],tblLecturas[Codigo],$A203))),1),ROUND((_xlfn.MAXIFS(tblLecturas[Horometro],tblLecturas[Codigo],$A203)-_xlfn.MINIFS(tblLecturas[Horometro],tblLecturas[Codigo],$A203))/(MAX(1,_xlfn.MAXIFS(tblLecturas[Fecha],tblLecturas[Codigo],$A203)-_xlfn.MINIFS(tblLecturas[Fecha],tblLecturas[Codigo],$A203))),1)),"")</f>
        <v>2</v>
      </c>
      <c r="L203" s="20">
        <f>IFERROR(_xlfn.MAXIFS(tblLecturas[Fecha],tblLecturas[Codigo],$A203),"")</f>
        <v>46029</v>
      </c>
      <c r="M203" s="26">
        <f>IFERROR(_xlfn.MAXIFS(Lecturas!$C:$C,Lecturas!$B:$B,$A203,Lecturas!$C:$C,"&gt;0"),"")</f>
        <v>761</v>
      </c>
      <c r="N203" s="78">
        <f>IFERROR(_xlfn.MAXIFS(tblLecturas[Kilometraje],tblLecturas[Codigo],$A203,tblLecturas[Kilometraje],"&gt;0"),"")</f>
        <v>771</v>
      </c>
      <c r="O203" s="78" cm="1">
        <f t="array" ref="O203">IFERROR(IF($I203="KM",LOOKUP(2,1/(Lecturas!$B:$B=$A203)/(Lecturas!$D:$D&gt;0),Lecturas!$D:$D),LOOKUP(2,1/(Lecturas!$B:$B=$A203)/(Lecturas!$C:$C&gt;0),Lecturas!$C:$C)),"")</f>
        <v>761</v>
      </c>
      <c r="P203" s="20">
        <f>IFERROR(_xlfn.MAXIFS(tblMantenciones[Fecha],tblMantenciones[Codigo],tblMaestroEquipos[[#This Row],[Codigo]],tblMantenciones[EsPM],"Sí"),"")</f>
        <v>0</v>
      </c>
      <c r="Q203" s="78" t="str">
        <f>IF(_xlfn.MAXIFS(Mantenciones!$D:$D,Mantenciones!$B:$B,A203)=0,"Sin datos de mantención registrado",_xlfn.MAXIFS(Mantenciones!$D:$D,Mantenciones!$B:$B,A203))</f>
        <v>Sin datos de mantención registrado</v>
      </c>
      <c r="R203" s="18" t="str">
        <f>IFERROR(IF(_xlfn.MAXIFS(Mantenciones!$D:$D,Mantenciones!$B:$B,$A203,Mantenciones!$E:$E,"Sí",Mantenciones!$D:$D,"&gt;0")=0,"Sin datos de mantención registrado",_xlfn.MAXIFS(Mantenciones!$D:$D,Mantenciones!$B:$B,$A203,Mantenciones!$E:$E,"Sí",Mantenciones!$D:$D,"&gt;0")),"Sin datos de mantención registrado")</f>
        <v>Sin datos de mantención registrado</v>
      </c>
      <c r="S203" s="21">
        <f>IFERROR(SUMIFS(tblMantenciones[Costo Mantencion CLP],tblMantenciones[Codigo],A203),0)</f>
        <v>0</v>
      </c>
      <c r="T203" s="21">
        <f>IFERROR(SUMIFS(tblComprasPM[Costo PM CLP],tblComprasPM[Codigo],tblMaestroEquipos[[#This Row],[Codigo]]),0)</f>
        <v>365383.6214</v>
      </c>
      <c r="U203" s="21">
        <f>IFERROR(tblMaestroEquipos[[#This Row],[Costo Mantenciones CLP]]+tblMaestroEquipos[[#This Row],[Costo Compras PM CLP]],0)</f>
        <v>365383.6214</v>
      </c>
      <c r="V203" s="18" t="str">
        <f>IFERROR(_xlfn.XLOOKUP(tblMaestroEquipos[[#This Row],[Codigo]],tblEquipos[Codigo],tblEquipos[Estado Base]),"")</f>
        <v>Operativo</v>
      </c>
      <c r="W203" s="18" t="str">
        <f t="shared" si="26"/>
        <v>EN PROCESO</v>
      </c>
      <c r="X203" s="18" t="str">
        <f t="shared" si="27"/>
        <v/>
      </c>
      <c r="Y203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03" s="25">
        <f>IFERROR(IF(_xlfn.MINIFS(tblComprasPM[Fecha],tblComprasPM[Codigo],tblMaestroEquipos[[#This Row],[Codigo]])=0,"",_xlfn.MINIFS(tblComprasPM[Fecha],tblComprasPM[Codigo],tblMaestroEquipos[[#This Row],[Codigo]])),"")</f>
        <v>46086.696630439801</v>
      </c>
      <c r="AA203" s="25" t="str">
        <f>IFERROR(IF(_xlfn.MAXIFS(tblBodega[Fecha],tblBodega[Codigo],tblMaestroEquipos[[#This Row],[Codigo]])=0,"",_xlfn.MAXIFS(tblBodega[Fecha],tblBodega[Codigo],tblMaestroEquipos[[#This Row],[Codigo]])),"")</f>
        <v/>
      </c>
      <c r="AB20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59</v>
      </c>
      <c r="AC20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0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03" s="51" t="str">
        <f t="shared" si="25"/>
        <v>EN PROCESO</v>
      </c>
      <c r="AF203" s="18" t="str">
        <f t="shared" si="28"/>
        <v>SEGUIMIENTO</v>
      </c>
      <c r="AG203" s="18" t="str">
        <f t="shared" si="29"/>
        <v>Hacer seguimiento al taller y cerrar report</v>
      </c>
      <c r="AH203">
        <f t="shared" si="30"/>
        <v>0</v>
      </c>
      <c r="AI203" t="str">
        <f t="shared" si="31"/>
        <v/>
      </c>
      <c r="AJ203" s="24">
        <f t="shared" si="32"/>
        <v>2</v>
      </c>
    </row>
    <row r="204" spans="1:36">
      <c r="A204" s="18" t="s">
        <v>568</v>
      </c>
      <c r="B204" s="18" t="s">
        <v>459</v>
      </c>
      <c r="C204" s="18" t="s">
        <v>1074</v>
      </c>
      <c r="D204" s="18" t="s">
        <v>99</v>
      </c>
      <c r="E204" s="19" t="s">
        <v>569</v>
      </c>
      <c r="F204" s="18">
        <v>2021</v>
      </c>
      <c r="G204" s="18" t="str" cm="1">
        <f t="array" ref="G204">IFERROR(INDEX(Lecturas!$E$4:$E$3549,MATCH(1,(Lecturas!$B$4:$B$3549=$A204)*(Lecturas!$E$4:$E$3549&lt;&gt;"")*(Lecturas!$A$4:$A$3549=_xlfn.MAXIFS(Lecturas!$A$4:$A$3549,Lecturas!$B$4:$B$3549,$A204,Lecturas!$E$4:$E$3549,"&lt;&gt;")),0)),"")</f>
        <v/>
      </c>
      <c r="H204" s="18" t="s">
        <v>57</v>
      </c>
      <c r="I204" s="18" t="s">
        <v>462</v>
      </c>
      <c r="J204" s="18">
        <v>15000</v>
      </c>
      <c r="K204" s="18">
        <f>IFERROR(IF($I204="KM",ROUND((_xlfn.MAXIFS(tblLecturas[Kilometraje],tblLecturas[Codigo],$A204)-_xlfn.MINIFS(tblLecturas[Kilometraje],tblLecturas[Codigo],$A204))/(MAX(1,_xlfn.MAXIFS(tblLecturas[Fecha],tblLecturas[Codigo],$A204)-_xlfn.MINIFS(tblLecturas[Fecha],tblLecturas[Codigo],$A204))),1),ROUND((_xlfn.MAXIFS(tblLecturas[Horometro],tblLecturas[Codigo],$A204)-_xlfn.MINIFS(tblLecturas[Horometro],tblLecturas[Codigo],$A204))/(MAX(1,_xlfn.MAXIFS(tblLecturas[Fecha],tblLecturas[Codigo],$A204)-_xlfn.MINIFS(tblLecturas[Fecha],tblLecturas[Codigo],$A204))),1)),"")</f>
        <v>550</v>
      </c>
      <c r="L204" s="20">
        <f>IFERROR(_xlfn.MAXIFS(tblLecturas[Fecha],tblLecturas[Codigo],$A204),"")</f>
        <v>46105</v>
      </c>
      <c r="M204" s="26">
        <f>IFERROR(_xlfn.MAXIFS(Lecturas!$C:$C,Lecturas!$B:$B,$A204,Lecturas!$C:$C,"&gt;0"),"")</f>
        <v>0</v>
      </c>
      <c r="N204" s="78">
        <f>IFERROR(_xlfn.MAXIFS(tblLecturas[Kilometraje],tblLecturas[Codigo],$A204,tblLecturas[Kilometraje],"&gt;0"),"")</f>
        <v>172378</v>
      </c>
      <c r="O204" s="78" cm="1">
        <f t="array" ref="O204">IFERROR(IF($I204="KM",LOOKUP(2,1/(Lecturas!$B:$B=$A204)/(Lecturas!$D:$D&gt;0),Lecturas!$D:$D),LOOKUP(2,1/(Lecturas!$B:$B=$A204)/(Lecturas!$C:$C&gt;0),Lecturas!$C:$C)),"")</f>
        <v>172378</v>
      </c>
      <c r="P204" s="20">
        <f>IFERROR(_xlfn.MAXIFS(tblMantenciones[Fecha],tblMantenciones[Codigo],tblMaestroEquipos[[#This Row],[Codigo]],tblMantenciones[EsPM],"Sí"),"")</f>
        <v>0</v>
      </c>
      <c r="Q204" s="78" t="str">
        <f>IF(_xlfn.MAXIFS(Mantenciones!$D:$D,Mantenciones!$B:$B,A204)=0,"Sin datos de mantención registrado",_xlfn.MAXIFS(Mantenciones!$D:$D,Mantenciones!$B:$B,A204))</f>
        <v>Sin datos de mantención registrado</v>
      </c>
      <c r="R204" s="18" t="str">
        <f>IFERROR(IF(_xlfn.MAXIFS(Mantenciones!$D:$D,Mantenciones!$B:$B,$A204,Mantenciones!$E:$E,"Sí",Mantenciones!$D:$D,"&gt;0")=0,"Sin datos de mantención registrado",_xlfn.MAXIFS(Mantenciones!$D:$D,Mantenciones!$B:$B,$A204,Mantenciones!$E:$E,"Sí",Mantenciones!$D:$D,"&gt;0")),"Sin datos de mantención registrado")</f>
        <v>Sin datos de mantención registrado</v>
      </c>
      <c r="S204" s="21">
        <f>IFERROR(SUMIFS(tblMantenciones[Costo Mantencion CLP],tblMantenciones[Codigo],tblMaestroEquipos[[#This Row],[Codigo]]),0)</f>
        <v>0</v>
      </c>
      <c r="T204" s="21">
        <f>IFERROR(SUMIFS(tblComprasPM[Costo PM CLP],tblComprasPM[Codigo],tblMaestroEquipos[[#This Row],[Codigo]]),0)</f>
        <v>0</v>
      </c>
      <c r="U204" s="21">
        <f>IFERROR(tblMaestroEquipos[[#This Row],[Costo Mantenciones CLP]]+tblMaestroEquipos[[#This Row],[Costo Compras PM CLP]],0)</f>
        <v>0</v>
      </c>
      <c r="V204" s="18" t="str">
        <f>IFERROR(_xlfn.XLOOKUP(tblMaestroEquipos[[#This Row],[Codigo]],tblEquipos[Codigo],tblEquipos[Estado Base]),"")</f>
        <v>Operativo</v>
      </c>
      <c r="W204" s="18" t="str">
        <f t="shared" si="26"/>
        <v>AL DÍA</v>
      </c>
      <c r="X204" s="18" t="str">
        <f t="shared" si="27"/>
        <v/>
      </c>
      <c r="Y20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0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04" s="25" t="str">
        <f>IFERROR(IF(_xlfn.MAXIFS(tblBodega[Fecha],tblBodega[Codigo],tblMaestroEquipos[[#This Row],[Codigo]])=0,"",_xlfn.MAXIFS(tblBodega[Fecha],tblBodega[Codigo],tblMaestroEquipos[[#This Row],[Codigo]])),"")</f>
        <v/>
      </c>
      <c r="AB20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0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0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04" s="51" t="str">
        <f t="shared" si="25"/>
        <v>OPERATIVO</v>
      </c>
      <c r="AF204" s="18" t="str">
        <f t="shared" si="28"/>
        <v>BAJA</v>
      </c>
      <c r="AG204" s="18" t="str">
        <f t="shared" si="29"/>
        <v>Monitorear próximo vencimiento</v>
      </c>
      <c r="AH204">
        <f t="shared" si="30"/>
        <v>0</v>
      </c>
      <c r="AI204" t="str">
        <f t="shared" si="31"/>
        <v/>
      </c>
      <c r="AJ204" s="24">
        <f t="shared" si="32"/>
        <v>99</v>
      </c>
    </row>
    <row r="205" spans="1:36" s="27" customFormat="1">
      <c r="A205" s="18" t="s">
        <v>455</v>
      </c>
      <c r="B205" s="18" t="s">
        <v>452</v>
      </c>
      <c r="C205" s="18" t="s">
        <v>1070</v>
      </c>
      <c r="D205" s="18" t="s">
        <v>292</v>
      </c>
      <c r="E205" s="19" t="s">
        <v>453</v>
      </c>
      <c r="F205" s="18">
        <v>2011</v>
      </c>
      <c r="G205" s="18" t="str" cm="1">
        <f t="array" ref="G205">IFERROR(INDEX(Lecturas!$E$4:$E$3549,MATCH(1,(Lecturas!$B$4:$B$3549=$A205)*(Lecturas!$E$4:$E$3549&lt;&gt;"")*(Lecturas!$A$4:$A$3549=_xlfn.MAXIFS(Lecturas!$A$4:$A$3549,Lecturas!$B$4:$B$3549,$A205,Lecturas!$E$4:$E$3549,"&lt;&gt;")),0)),"")</f>
        <v>San Carlos</v>
      </c>
      <c r="H205" s="18" t="s">
        <v>454</v>
      </c>
      <c r="I205" s="18" t="s">
        <v>18</v>
      </c>
      <c r="J205" s="18">
        <v>250</v>
      </c>
      <c r="K205" s="18">
        <f>IFERROR(IF($I205="KM",ROUND((_xlfn.MAXIFS(tblLecturas[Kilometraje],tblLecturas[Codigo],$A205)-_xlfn.MINIFS(tblLecturas[Kilometraje],tblLecturas[Codigo],$A205))/(MAX(1,_xlfn.MAXIFS(tblLecturas[Fecha],tblLecturas[Codigo],$A205)-_xlfn.MINIFS(tblLecturas[Fecha],tblLecturas[Codigo],$A205))),1),ROUND((_xlfn.MAXIFS(tblLecturas[Horometro],tblLecturas[Codigo],$A205)-_xlfn.MINIFS(tblLecturas[Horometro],tblLecturas[Codigo],$A205))/(MAX(1,_xlfn.MAXIFS(tblLecturas[Fecha],tblLecturas[Codigo],$A205)-_xlfn.MINIFS(tblLecturas[Fecha],tblLecturas[Codigo],$A205))),1)),"")</f>
        <v>6.8</v>
      </c>
      <c r="L205" s="20">
        <f>IFERROR(_xlfn.MAXIFS(tblLecturas[Fecha],tblLecturas[Codigo],$A205),"")</f>
        <v>46079</v>
      </c>
      <c r="M205" s="26">
        <f>IFERROR(_xlfn.MAXIFS(Lecturas!$C:$C,Lecturas!$B:$B,$A205,Lecturas!$C:$C,"&gt;0"),"")</f>
        <v>2405</v>
      </c>
      <c r="N205" s="78">
        <f>IFERROR(_xlfn.MAXIFS(tblLecturas[Kilometraje],tblLecturas[Codigo],$A205,tblLecturas[Kilometraje],"&gt;0"),"")</f>
        <v>0</v>
      </c>
      <c r="O205" s="78" cm="1">
        <f t="array" ref="O205">IFERROR(IF($I205="KM",LOOKUP(2,1/(Lecturas!$B:$B=$A205)/(Lecturas!$D:$D&gt;0),Lecturas!$D:$D),LOOKUP(2,1/(Lecturas!$B:$B=$A205)/(Lecturas!$C:$C&gt;0),Lecturas!$C:$C)),"")</f>
        <v>2405</v>
      </c>
      <c r="P205" s="20">
        <f>IFERROR(_xlfn.MAXIFS(tblMantenciones[Fecha],tblMantenciones[Codigo],tblMaestroEquipos[[#This Row],[Codigo]],tblMantenciones[EsPM],"Sí"),"")</f>
        <v>0</v>
      </c>
      <c r="Q205" s="78" t="str">
        <f>IF(_xlfn.MAXIFS(Mantenciones!$D:$D,Mantenciones!$B:$B,A205)=0,"Sin datos de mantención registrado",_xlfn.MAXIFS(Mantenciones!$D:$D,Mantenciones!$B:$B,A205))</f>
        <v>Sin datos de mantención registrado</v>
      </c>
      <c r="R205" s="18" t="str">
        <f>IFERROR(IF(_xlfn.MAXIFS(Mantenciones!$D:$D,Mantenciones!$B:$B,$A205,Mantenciones!$E:$E,"Sí",Mantenciones!$D:$D,"&gt;0")=0,"Sin datos de mantención registrado",_xlfn.MAXIFS(Mantenciones!$D:$D,Mantenciones!$B:$B,$A205,Mantenciones!$E:$E,"Sí",Mantenciones!$D:$D,"&gt;0")),"Sin datos de mantención registrado")</f>
        <v>Sin datos de mantención registrado</v>
      </c>
      <c r="S205" s="21">
        <f>IFERROR(SUMIFS(tblMantenciones[Costo Mantencion CLP],tblMantenciones[Codigo],A205),0)</f>
        <v>0</v>
      </c>
      <c r="T205" s="21">
        <f>IFERROR(SUMIFS(tblComprasPM[Costo PM CLP],tblComprasPM[Codigo],tblMaestroEquipos[[#This Row],[Codigo]]),0)</f>
        <v>0</v>
      </c>
      <c r="U205" s="21">
        <f>IFERROR(tblMaestroEquipos[[#This Row],[Costo Mantenciones CLP]]+tblMaestroEquipos[[#This Row],[Costo Compras PM CLP]],0)</f>
        <v>0</v>
      </c>
      <c r="V205" s="18" t="str">
        <f>IFERROR(_xlfn.XLOOKUP(tblMaestroEquipos[[#This Row],[Codigo]],tblEquipos[Codigo],tblEquipos[Estado Base]),"")</f>
        <v>Operativo</v>
      </c>
      <c r="W205" s="18" t="str">
        <f t="shared" si="26"/>
        <v>POR RECIBIR</v>
      </c>
      <c r="X205" s="18" t="str">
        <f t="shared" si="27"/>
        <v/>
      </c>
      <c r="Y20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0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05" s="25">
        <f>IFERROR(IF(_xlfn.MAXIFS(tblBodega[Fecha],tblBodega[Codigo],tblMaestroEquipos[[#This Row],[Codigo]])=0,"",_xlfn.MAXIFS(tblBodega[Fecha],tblBodega[Codigo],tblMaestroEquipos[[#This Row],[Codigo]])),"")</f>
        <v>46083</v>
      </c>
      <c r="AB20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0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62</v>
      </c>
      <c r="AD20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05" s="51" t="str">
        <f t="shared" si="25"/>
        <v>OPERATIVO</v>
      </c>
      <c r="AF205" s="18" t="str">
        <f t="shared" si="28"/>
        <v>BAJA</v>
      </c>
      <c r="AG205" s="18" t="str">
        <f t="shared" si="29"/>
        <v>Monitorear próximo vencimiento</v>
      </c>
      <c r="AH205">
        <f t="shared" si="30"/>
        <v>0</v>
      </c>
      <c r="AI205" t="str">
        <f t="shared" si="31"/>
        <v/>
      </c>
      <c r="AJ205" s="24">
        <f t="shared" si="32"/>
        <v>3</v>
      </c>
    </row>
    <row r="206" spans="1:36" s="27" customFormat="1">
      <c r="A206" s="18" t="s">
        <v>520</v>
      </c>
      <c r="B206" s="18" t="s">
        <v>502</v>
      </c>
      <c r="C206" s="18" t="s">
        <v>1074</v>
      </c>
      <c r="D206" s="18" t="s">
        <v>503</v>
      </c>
      <c r="E206" s="19" t="s">
        <v>504</v>
      </c>
      <c r="F206" s="18">
        <v>2025</v>
      </c>
      <c r="G206" s="18" t="str" cm="1">
        <f t="array" ref="G206">IFERROR(INDEX(Lecturas!$E$4:$E$3549,MATCH(1,(Lecturas!$B$4:$B$3549=$A206)*(Lecturas!$E$4:$E$3549&lt;&gt;"")*(Lecturas!$A$4:$A$3549=_xlfn.MAXIFS(Lecturas!$A$4:$A$3549,Lecturas!$B$4:$B$3549,$A206,Lecturas!$E$4:$E$3549,"&lt;&gt;")),0)),"")</f>
        <v>Cobquecura</v>
      </c>
      <c r="H206" s="18" t="s">
        <v>522</v>
      </c>
      <c r="I206" s="18" t="s">
        <v>462</v>
      </c>
      <c r="J206" s="18">
        <v>10000</v>
      </c>
      <c r="K206" s="18">
        <f>IFERROR(IF($I206="KM",ROUND((_xlfn.MAXIFS(tblLecturas[Kilometraje],tblLecturas[Codigo],$A206)-_xlfn.MINIFS(tblLecturas[Kilometraje],tblLecturas[Codigo],$A206))/(MAX(1,_xlfn.MAXIFS(tblLecturas[Fecha],tblLecturas[Codigo],$A206)-_xlfn.MINIFS(tblLecturas[Fecha],tblLecturas[Codigo],$A206))),1),ROUND((_xlfn.MAXIFS(tblLecturas[Horometro],tblLecturas[Codigo],$A206)-_xlfn.MINIFS(tblLecturas[Horometro],tblLecturas[Codigo],$A206))/(MAX(1,_xlfn.MAXIFS(tblLecturas[Fecha],tblLecturas[Codigo],$A206)-_xlfn.MINIFS(tblLecturas[Fecha],tblLecturas[Codigo],$A206))),1)),"")</f>
        <v>139.9</v>
      </c>
      <c r="L206" s="20">
        <f>IFERROR(_xlfn.MAXIFS(tblLecturas[Fecha],tblLecturas[Codigo],$A206),"")</f>
        <v>46108</v>
      </c>
      <c r="M206" s="26">
        <f>IFERROR(_xlfn.MAXIFS(Lecturas!$C:$C,Lecturas!$B:$B,$A206,Lecturas!$C:$C,"&gt;0"),"")</f>
        <v>0</v>
      </c>
      <c r="N206" s="78">
        <f>IFERROR(_xlfn.MAXIFS(tblLecturas[Kilometraje],tblLecturas[Codigo],$A206,tblLecturas[Kilometraje],"&gt;0"),"")</f>
        <v>55477</v>
      </c>
      <c r="O206" s="78" cm="1">
        <f t="array" ref="O206">IFERROR(IF($I206="KM",LOOKUP(2,1/(Lecturas!$B:$B=$A206)/(Lecturas!$D:$D&gt;0),Lecturas!$D:$D),LOOKUP(2,1/(Lecturas!$B:$B=$A206)/(Lecturas!$C:$C&gt;0),Lecturas!$C:$C)),"")</f>
        <v>55477</v>
      </c>
      <c r="P206" s="20">
        <f>IFERROR(_xlfn.MAXIFS(tblMantenciones[Fecha],tblMantenciones[Codigo],tblMaestroEquipos[[#This Row],[Codigo]],tblMantenciones[EsPM],"Sí"),"")</f>
        <v>0</v>
      </c>
      <c r="Q206" s="78" t="str">
        <f>IF(_xlfn.MAXIFS(Mantenciones!$D:$D,Mantenciones!$B:$B,A206)=0,"Sin datos de mantención registrado",_xlfn.MAXIFS(Mantenciones!$D:$D,Mantenciones!$B:$B,A206))</f>
        <v>Sin datos de mantención registrado</v>
      </c>
      <c r="R206" s="18" t="str">
        <f>IFERROR(IF(_xlfn.MAXIFS(Mantenciones!$D:$D,Mantenciones!$B:$B,$A206,Mantenciones!$E:$E,"Sí",Mantenciones!$D:$D,"&gt;0")=0,"Sin datos de mantención registrado",_xlfn.MAXIFS(Mantenciones!$D:$D,Mantenciones!$B:$B,$A206,Mantenciones!$E:$E,"Sí",Mantenciones!$D:$D,"&gt;0")),"Sin datos de mantención registrado")</f>
        <v>Sin datos de mantención registrado</v>
      </c>
      <c r="S206" s="21">
        <f>IFERROR(SUMIFS(tblMantenciones[Costo Mantencion CLP],tblMantenciones[Codigo],A206),0)</f>
        <v>0</v>
      </c>
      <c r="T206" s="21">
        <f>IFERROR(SUMIFS(tblComprasPM[Costo PM CLP],tblComprasPM[Codigo],tblMaestroEquipos[[#This Row],[Codigo]]),0)</f>
        <v>24399.973999999998</v>
      </c>
      <c r="U206" s="21">
        <f>IFERROR(tblMaestroEquipos[[#This Row],[Costo Mantenciones CLP]]+tblMaestroEquipos[[#This Row],[Costo Compras PM CLP]],0)</f>
        <v>24399.973999999998</v>
      </c>
      <c r="V206" s="18" t="str">
        <f>IFERROR(_xlfn.XLOOKUP(tblMaestroEquipos[[#This Row],[Codigo]],tblEquipos[Codigo],tblEquipos[Estado Base]),"")</f>
        <v>Operativo</v>
      </c>
      <c r="W206" s="18" t="str">
        <f t="shared" si="26"/>
        <v>POR RECIBIR</v>
      </c>
      <c r="X206" s="18" t="str">
        <f t="shared" si="27"/>
        <v/>
      </c>
      <c r="Y20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06" s="25">
        <f>IFERROR(IF(_xlfn.MINIFS(tblComprasPM[Fecha],tblComprasPM[Codigo],tblMaestroEquipos[[#This Row],[Codigo]])=0,"",_xlfn.MINIFS(tblComprasPM[Fecha],tblComprasPM[Codigo],tblMaestroEquipos[[#This Row],[Codigo]])),"")</f>
        <v>46118.408281215299</v>
      </c>
      <c r="AA206" s="25">
        <f>IFERROR(IF(_xlfn.MAXIFS(tblBodega[Fecha],tblBodega[Codigo],tblMaestroEquipos[[#This Row],[Codigo]])=0,"",_xlfn.MAXIFS(tblBodega[Fecha],tblBodega[Codigo],tblMaestroEquipos[[#This Row],[Codigo]])),"")</f>
        <v>46080</v>
      </c>
      <c r="AB20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27</v>
      </c>
      <c r="AC20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65</v>
      </c>
      <c r="AD20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06" s="51" t="str">
        <f t="shared" si="25"/>
        <v>OPERATIVO</v>
      </c>
      <c r="AF206" s="18" t="str">
        <f t="shared" si="28"/>
        <v>BAJA</v>
      </c>
      <c r="AG206" s="18" t="str">
        <f t="shared" si="29"/>
        <v>Monitorear próximo vencimiento</v>
      </c>
      <c r="AH206">
        <f t="shared" si="30"/>
        <v>0</v>
      </c>
      <c r="AI206" t="str">
        <f t="shared" si="31"/>
        <v/>
      </c>
      <c r="AJ206" s="24">
        <f t="shared" si="32"/>
        <v>3</v>
      </c>
    </row>
    <row r="207" spans="1:36">
      <c r="A207" s="18" t="s">
        <v>512</v>
      </c>
      <c r="B207" s="18" t="s">
        <v>502</v>
      </c>
      <c r="C207" s="18" t="s">
        <v>1074</v>
      </c>
      <c r="D207" s="18" t="s">
        <v>503</v>
      </c>
      <c r="E207" s="19" t="s">
        <v>504</v>
      </c>
      <c r="F207" s="18">
        <v>2025</v>
      </c>
      <c r="G207" s="18" t="str" cm="1">
        <f t="array" ref="G207">IFERROR(INDEX(Lecturas!$E$4:$E$3549,MATCH(1,(Lecturas!$B$4:$B$3549=$A207)*(Lecturas!$E$4:$E$3549&lt;&gt;"")*(Lecturas!$A$4:$A$3549=_xlfn.MAXIFS(Lecturas!$A$4:$A$3549,Lecturas!$B$4:$B$3549,$A207,Lecturas!$E$4:$E$3549,"&lt;&gt;")),0)),"")</f>
        <v>Curicó</v>
      </c>
      <c r="H207" s="18" t="s">
        <v>53</v>
      </c>
      <c r="I207" s="18" t="s">
        <v>462</v>
      </c>
      <c r="J207" s="18">
        <v>10000</v>
      </c>
      <c r="K207" s="18">
        <f>IFERROR(IF($I207="KM",ROUND((_xlfn.MAXIFS(tblLecturas[Kilometraje],tblLecturas[Codigo],$A207)-_xlfn.MINIFS(tblLecturas[Kilometraje],tblLecturas[Codigo],$A207))/(MAX(1,_xlfn.MAXIFS(tblLecturas[Fecha],tblLecturas[Codigo],$A207)-_xlfn.MINIFS(tblLecturas[Fecha],tblLecturas[Codigo],$A207))),1),ROUND((_xlfn.MAXIFS(tblLecturas[Horometro],tblLecturas[Codigo],$A207)-_xlfn.MINIFS(tblLecturas[Horometro],tblLecturas[Codigo],$A207))/(MAX(1,_xlfn.MAXIFS(tblLecturas[Fecha],tblLecturas[Codigo],$A207)-_xlfn.MINIFS(tblLecturas[Fecha],tblLecturas[Codigo],$A207))),1)),"")</f>
        <v>144.6</v>
      </c>
      <c r="L207" s="20">
        <f>IFERROR(_xlfn.MAXIFS(tblLecturas[Fecha],tblLecturas[Codigo],$A207),"")</f>
        <v>46139</v>
      </c>
      <c r="M207" s="26">
        <f>IFERROR(_xlfn.MAXIFS(Lecturas!$C:$C,Lecturas!$B:$B,$A207,Lecturas!$C:$C,"&gt;0"),"")</f>
        <v>0</v>
      </c>
      <c r="N207" s="78">
        <f>IFERROR(_xlfn.MAXIFS(tblLecturas[Kilometraje],tblLecturas[Codigo],$A207,tblLecturas[Kilometraje],"&gt;0"),"")</f>
        <v>60235</v>
      </c>
      <c r="O207" s="78" cm="1">
        <f t="array" ref="O207">IFERROR(IF($I207="KM",LOOKUP(2,1/(Lecturas!$B:$B=$A207)/(Lecturas!$D:$D&gt;0),Lecturas!$D:$D),LOOKUP(2,1/(Lecturas!$B:$B=$A207)/(Lecturas!$C:$C&gt;0),Lecturas!$C:$C)),"")</f>
        <v>60235</v>
      </c>
      <c r="P207" s="20">
        <f>IFERROR(_xlfn.MAXIFS(tblMantenciones[Fecha],tblMantenciones[Codigo],tblMaestroEquipos[[#This Row],[Codigo]],tblMantenciones[EsPM],"Sí"),"")</f>
        <v>46034</v>
      </c>
      <c r="Q207" s="78" t="str">
        <f>IF(_xlfn.MAXIFS(Mantenciones!$D:$D,Mantenciones!$B:$B,A207)=0,"Sin datos de mantención registrado",_xlfn.MAXIFS(Mantenciones!$D:$D,Mantenciones!$B:$B,A207))</f>
        <v>Sin datos de mantención registrado</v>
      </c>
      <c r="R207" s="18" t="str">
        <f>IFERROR(IF(_xlfn.MAXIFS(Mantenciones!$D:$D,Mantenciones!$B:$B,$A207,Mantenciones!$E:$E,"Sí",Mantenciones!$D:$D,"&gt;0")=0,"Sin datos de mantención registrado",_xlfn.MAXIFS(Mantenciones!$D:$D,Mantenciones!$B:$B,$A207,Mantenciones!$E:$E,"Sí",Mantenciones!$D:$D,"&gt;0")),"Sin datos de mantención registrado")</f>
        <v>Sin datos de mantención registrado</v>
      </c>
      <c r="S207" s="21">
        <f>IFERROR(SUMIFS(tblMantenciones[Costo Mantencion CLP],tblMantenciones[Codigo],A207),0)</f>
        <v>0</v>
      </c>
      <c r="T207" s="21">
        <f>IFERROR(SUMIFS(tblComprasPM[Costo PM CLP],tblComprasPM[Codigo],tblMaestroEquipos[[#This Row],[Codigo]]),0)</f>
        <v>24399.973999999998</v>
      </c>
      <c r="U207" s="21">
        <f>IFERROR(tblMaestroEquipos[[#This Row],[Costo Mantenciones CLP]]+tblMaestroEquipos[[#This Row],[Costo Compras PM CLP]],0)</f>
        <v>24399.973999999998</v>
      </c>
      <c r="V207" s="18" t="str">
        <f>IFERROR(_xlfn.XLOOKUP(tblMaestroEquipos[[#This Row],[Codigo]],tblEquipos[Codigo],tblEquipos[Estado Base]),"")</f>
        <v>Operativo</v>
      </c>
      <c r="W207" s="18" t="str">
        <f t="shared" si="26"/>
        <v>POR RECIBIR</v>
      </c>
      <c r="X207" s="18" t="str">
        <f t="shared" si="27"/>
        <v/>
      </c>
      <c r="Y20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07" s="25">
        <f>IFERROR(IF(_xlfn.MINIFS(tblComprasPM[Fecha],tblComprasPM[Codigo],tblMaestroEquipos[[#This Row],[Codigo]])=0,"",_xlfn.MINIFS(tblComprasPM[Fecha],tblComprasPM[Codigo],tblMaestroEquipos[[#This Row],[Codigo]])),"")</f>
        <v>46118</v>
      </c>
      <c r="AA207" s="25">
        <f>IFERROR(IF(_xlfn.MAXIFS(tblBodega[Fecha],tblBodega[Codigo],tblMaestroEquipos[[#This Row],[Codigo]])=0,"",_xlfn.MAXIFS(tblBodega[Fecha],tblBodega[Codigo],tblMaestroEquipos[[#This Row],[Codigo]])),"")</f>
        <v>46099</v>
      </c>
      <c r="AB20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207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20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07" s="51" t="str">
        <f t="shared" si="25"/>
        <v>OPERATIVO</v>
      </c>
      <c r="AF207" s="18" t="str">
        <f t="shared" si="28"/>
        <v>BAJA</v>
      </c>
      <c r="AG207" s="18" t="str">
        <f t="shared" si="29"/>
        <v>Monitorear próximo vencimiento</v>
      </c>
      <c r="AH207">
        <f t="shared" si="30"/>
        <v>0</v>
      </c>
      <c r="AI207" t="str">
        <f t="shared" si="31"/>
        <v/>
      </c>
      <c r="AJ207" s="24">
        <f t="shared" si="32"/>
        <v>3</v>
      </c>
    </row>
    <row r="208" spans="1:36">
      <c r="A208" s="18" t="s">
        <v>632</v>
      </c>
      <c r="B208" s="18" t="s">
        <v>459</v>
      </c>
      <c r="C208" s="18" t="s">
        <v>1074</v>
      </c>
      <c r="D208" s="18" t="s">
        <v>99</v>
      </c>
      <c r="E208" s="19" t="s">
        <v>569</v>
      </c>
      <c r="F208" s="18">
        <v>2023</v>
      </c>
      <c r="G208" s="18" t="str" cm="1">
        <f t="array" ref="G208">IFERROR(INDEX(Lecturas!$E$4:$E$3549,MATCH(1,(Lecturas!$B$4:$B$3549=$A208)*(Lecturas!$E$4:$E$3549&lt;&gt;"")*(Lecturas!$A$4:$A$3549=_xlfn.MAXIFS(Lecturas!$A$4:$A$3549,Lecturas!$B$4:$B$3549,$A208,Lecturas!$E$4:$E$3549,"&lt;&gt;")),0)),"")</f>
        <v>Taller</v>
      </c>
      <c r="H208" s="18" t="s">
        <v>633</v>
      </c>
      <c r="I208" s="18" t="s">
        <v>462</v>
      </c>
      <c r="J208" s="18">
        <v>15000</v>
      </c>
      <c r="K208" s="18">
        <f>IFERROR(IF($I208="KM",ROUND((_xlfn.MAXIFS(tblLecturas[Kilometraje],tblLecturas[Codigo],$A208)-_xlfn.MINIFS(tblLecturas[Kilometraje],tblLecturas[Codigo],$A208))/(MAX(1,_xlfn.MAXIFS(tblLecturas[Fecha],tblLecturas[Codigo],$A208)-_xlfn.MINIFS(tblLecturas[Fecha],tblLecturas[Codigo],$A208))),1),ROUND((_xlfn.MAXIFS(tblLecturas[Horometro],tblLecturas[Codigo],$A208)-_xlfn.MINIFS(tblLecturas[Horometro],tblLecturas[Codigo],$A208))/(MAX(1,_xlfn.MAXIFS(tblLecturas[Fecha],tblLecturas[Codigo],$A208)-_xlfn.MINIFS(tblLecturas[Fecha],tblLecturas[Codigo],$A208))),1)),"")</f>
        <v>301.7</v>
      </c>
      <c r="L208" s="20">
        <f>IFERROR(_xlfn.MAXIFS(tblLecturas[Fecha],tblLecturas[Codigo],$A208),"")</f>
        <v>46133</v>
      </c>
      <c r="M208" s="26">
        <f>IFERROR(_xlfn.MAXIFS(Lecturas!$C:$C,Lecturas!$B:$B,$A208,Lecturas!$C:$C,"&gt;0"),"")</f>
        <v>0</v>
      </c>
      <c r="N208" s="78">
        <f>IFERROR(_xlfn.MAXIFS(tblLecturas[Kilometraje],tblLecturas[Codigo],$A208,tblLecturas[Kilometraje],"&gt;0"),"")</f>
        <v>133636</v>
      </c>
      <c r="O208" s="78" cm="1">
        <f t="array" ref="O208">IFERROR(IF($I208="KM",LOOKUP(2,1/(Lecturas!$B:$B=$A208)/(Lecturas!$D:$D&gt;0),Lecturas!$D:$D),LOOKUP(2,1/(Lecturas!$B:$B=$A208)/(Lecturas!$C:$C&gt;0),Lecturas!$C:$C)),"")</f>
        <v>133636</v>
      </c>
      <c r="P208" s="20">
        <f>IFERROR(_xlfn.MAXIFS(tblMantenciones[Fecha],tblMantenciones[Codigo],tblMaestroEquipos[[#This Row],[Codigo]],tblMantenciones[EsPM],"Sí"),"")</f>
        <v>0</v>
      </c>
      <c r="Q208" s="78" t="str">
        <f>IF(_xlfn.MAXIFS(Mantenciones!$D:$D,Mantenciones!$B:$B,A208)=0,"Sin datos de mantención registrado",_xlfn.MAXIFS(Mantenciones!$D:$D,Mantenciones!$B:$B,A208))</f>
        <v>Sin datos de mantención registrado</v>
      </c>
      <c r="R208" s="18" t="str">
        <f>IFERROR(IF(_xlfn.MAXIFS(Mantenciones!$D:$D,Mantenciones!$B:$B,$A208,Mantenciones!$E:$E,"Sí",Mantenciones!$D:$D,"&gt;0")=0,"Sin datos de mantención registrado",_xlfn.MAXIFS(Mantenciones!$D:$D,Mantenciones!$B:$B,$A208,Mantenciones!$E:$E,"Sí",Mantenciones!$D:$D,"&gt;0")),"Sin datos de mantención registrado")</f>
        <v>Sin datos de mantención registrado</v>
      </c>
      <c r="S208" s="21">
        <f>IFERROR(SUMIFS(tblMantenciones[Costo Mantencion CLP],tblMantenciones[Codigo],tblMaestroEquipos[[#This Row],[Codigo]]),0)</f>
        <v>0</v>
      </c>
      <c r="T208" s="21">
        <f>IFERROR(SUMIFS(tblComprasPM[Costo PM CLP],tblComprasPM[Codigo],tblMaestroEquipos[[#This Row],[Codigo]]),0)</f>
        <v>24499.97</v>
      </c>
      <c r="U208" s="21">
        <f>IFERROR(tblMaestroEquipos[[#This Row],[Costo Mantenciones CLP]]+tblMaestroEquipos[[#This Row],[Costo Compras PM CLP]],0)</f>
        <v>24499.97</v>
      </c>
      <c r="V208" s="18" t="str">
        <f>IFERROR(_xlfn.XLOOKUP(tblMaestroEquipos[[#This Row],[Codigo]],tblEquipos[Codigo],tblEquipos[Estado Base]),"")</f>
        <v>Operativo</v>
      </c>
      <c r="W208" s="18" t="str">
        <f t="shared" si="26"/>
        <v>EN PROCESO</v>
      </c>
      <c r="X208" s="18" t="str">
        <f t="shared" si="27"/>
        <v/>
      </c>
      <c r="Y20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08" s="25">
        <f>IFERROR(IF(_xlfn.MINIFS(tblComprasPM[Fecha],tblComprasPM[Codigo],tblMaestroEquipos[[#This Row],[Codigo]])=0,"",_xlfn.MINIFS(tblComprasPM[Fecha],tblComprasPM[Codigo],tblMaestroEquipos[[#This Row],[Codigo]])),"")</f>
        <v>46127</v>
      </c>
      <c r="AA208" s="25" t="str">
        <f>IFERROR(IF(_xlfn.MAXIFS(tblBodega[Fecha],tblBodega[Codigo],tblMaestroEquipos[[#This Row],[Codigo]])=0,"",_xlfn.MAXIFS(tblBodega[Fecha],tblBodega[Codigo],tblMaestroEquipos[[#This Row],[Codigo]])),"")</f>
        <v/>
      </c>
      <c r="AB20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18</v>
      </c>
      <c r="AC20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0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08" s="51" t="str">
        <f t="shared" si="25"/>
        <v>EN PROCESO</v>
      </c>
      <c r="AF208" s="18" t="str">
        <f t="shared" si="28"/>
        <v>SEGUIMIENTO</v>
      </c>
      <c r="AG208" s="18" t="str">
        <f t="shared" si="29"/>
        <v>Hacer seguimiento al taller y cerrar report</v>
      </c>
      <c r="AH208">
        <f t="shared" si="30"/>
        <v>0</v>
      </c>
      <c r="AI208" t="str">
        <f t="shared" si="31"/>
        <v/>
      </c>
      <c r="AJ208" s="24">
        <f t="shared" si="32"/>
        <v>2</v>
      </c>
    </row>
    <row r="209" spans="1:36">
      <c r="A209" s="18" t="s">
        <v>508</v>
      </c>
      <c r="B209" s="18" t="s">
        <v>502</v>
      </c>
      <c r="C209" s="18" t="s">
        <v>1074</v>
      </c>
      <c r="D209" s="18" t="s">
        <v>503</v>
      </c>
      <c r="E209" s="19" t="s">
        <v>504</v>
      </c>
      <c r="F209" s="18">
        <v>2025</v>
      </c>
      <c r="G209" s="18" t="str" cm="1">
        <f t="array" ref="G209">IFERROR(INDEX(Lecturas!$E$4:$E$3549,MATCH(1,(Lecturas!$B$4:$B$3549=$A209)*(Lecturas!$E$4:$E$3549&lt;&gt;"")*(Lecturas!$A$4:$A$3549=_xlfn.MAXIFS(Lecturas!$A$4:$A$3549,Lecturas!$B$4:$B$3549,$A209,Lecturas!$E$4:$E$3549,"&lt;&gt;")),0)),"")</f>
        <v>San Carlos</v>
      </c>
      <c r="H209" s="18" t="s">
        <v>36</v>
      </c>
      <c r="I209" s="18" t="s">
        <v>462</v>
      </c>
      <c r="J209" s="18">
        <v>10000</v>
      </c>
      <c r="K209" s="18">
        <f>IFERROR(IF($I209="KM",ROUND((_xlfn.MAXIFS(tblLecturas[Kilometraje],tblLecturas[Codigo],$A209)-_xlfn.MINIFS(tblLecturas[Kilometraje],tblLecturas[Codigo],$A209))/(MAX(1,_xlfn.MAXIFS(tblLecturas[Fecha],tblLecturas[Codigo],$A209)-_xlfn.MINIFS(tblLecturas[Fecha],tblLecturas[Codigo],$A209))),1),ROUND((_xlfn.MAXIFS(tblLecturas[Horometro],tblLecturas[Codigo],$A209)-_xlfn.MINIFS(tblLecturas[Horometro],tblLecturas[Codigo],$A209))/(MAX(1,_xlfn.MAXIFS(tblLecturas[Fecha],tblLecturas[Codigo],$A209)-_xlfn.MINIFS(tblLecturas[Fecha],tblLecturas[Codigo],$A209))),1)),"")</f>
        <v>122.5</v>
      </c>
      <c r="L209" s="20">
        <f>IFERROR(_xlfn.MAXIFS(tblLecturas[Fecha],tblLecturas[Codigo],$A209),"")</f>
        <v>46133</v>
      </c>
      <c r="M209" s="26">
        <f>IFERROR(_xlfn.MAXIFS(Lecturas!$C:$C,Lecturas!$B:$B,$A209,Lecturas!$C:$C,"&gt;0"),"")</f>
        <v>0</v>
      </c>
      <c r="N209" s="78">
        <f>IFERROR(_xlfn.MAXIFS(tblLecturas[Kilometraje],tblLecturas[Codigo],$A209,tblLecturas[Kilometraje],"&gt;0"),"")</f>
        <v>54674</v>
      </c>
      <c r="O209" s="78" cm="1">
        <f t="array" ref="O209">IFERROR(IF($I209="KM",LOOKUP(2,1/(Lecturas!$B:$B=$A209)/(Lecturas!$D:$D&gt;0),Lecturas!$D:$D),LOOKUP(2,1/(Lecturas!$B:$B=$A209)/(Lecturas!$C:$C&gt;0),Lecturas!$C:$C)),"")</f>
        <v>54674</v>
      </c>
      <c r="P209" s="20">
        <f>IFERROR(_xlfn.MAXIFS(tblMantenciones[Fecha],tblMantenciones[Codigo],tblMaestroEquipos[[#This Row],[Codigo]],tblMantenciones[EsPM],"Sí"),"")</f>
        <v>0</v>
      </c>
      <c r="Q209" s="78" t="str">
        <f>IF(_xlfn.MAXIFS(Mantenciones!$D:$D,Mantenciones!$B:$B,A209)=0,"Sin datos de mantención registrado",_xlfn.MAXIFS(Mantenciones!$D:$D,Mantenciones!$B:$B,A209))</f>
        <v>Sin datos de mantención registrado</v>
      </c>
      <c r="R209" s="18" t="str">
        <f>IFERROR(IF(_xlfn.MAXIFS(Mantenciones!$D:$D,Mantenciones!$B:$B,$A209,Mantenciones!$E:$E,"Sí",Mantenciones!$D:$D,"&gt;0")=0,"Sin datos de mantención registrado",_xlfn.MAXIFS(Mantenciones!$D:$D,Mantenciones!$B:$B,$A209,Mantenciones!$E:$E,"Sí",Mantenciones!$D:$D,"&gt;0")),"Sin datos de mantención registrado")</f>
        <v>Sin datos de mantención registrado</v>
      </c>
      <c r="S209" s="21">
        <f>IFERROR(SUMIFS(tblMantenciones[Costo Mantencion CLP],tblMantenciones[Codigo],A209),0)</f>
        <v>0</v>
      </c>
      <c r="T209" s="21">
        <f>IFERROR(SUMIFS(tblComprasPM[Costo PM CLP],tblComprasPM[Codigo],tblMaestroEquipos[[#This Row],[Codigo]]),0)</f>
        <v>24399.973999999998</v>
      </c>
      <c r="U209" s="21">
        <f>IFERROR(tblMaestroEquipos[[#This Row],[Costo Mantenciones CLP]]+tblMaestroEquipos[[#This Row],[Costo Compras PM CLP]],0)</f>
        <v>24399.973999999998</v>
      </c>
      <c r="V209" s="18" t="str">
        <f>IFERROR(_xlfn.XLOOKUP(tblMaestroEquipos[[#This Row],[Codigo]],tblEquipos[Codigo],tblEquipos[Estado Base]),"")</f>
        <v>Operativo</v>
      </c>
      <c r="W209" s="18" t="str">
        <f t="shared" si="26"/>
        <v>POR RECIBIR</v>
      </c>
      <c r="X209" s="18" t="str">
        <f t="shared" si="27"/>
        <v/>
      </c>
      <c r="Y20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09" s="25">
        <f>IFERROR(IF(_xlfn.MINIFS(tblComprasPM[Fecha],tblComprasPM[Codigo],tblMaestroEquipos[[#This Row],[Codigo]])=0,"",_xlfn.MINIFS(tblComprasPM[Fecha],tblComprasPM[Codigo],tblMaestroEquipos[[#This Row],[Codigo]])),"")</f>
        <v>46118.408281215299</v>
      </c>
      <c r="AA209" s="25">
        <f>IFERROR(IF(_xlfn.MAXIFS(tblBodega[Fecha],tblBodega[Codigo],tblMaestroEquipos[[#This Row],[Codigo]])=0,"",_xlfn.MAXIFS(tblBodega[Fecha],tblBodega[Codigo],tblMaestroEquipos[[#This Row],[Codigo]])),"")</f>
        <v>46118</v>
      </c>
      <c r="AB20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27</v>
      </c>
      <c r="AC209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27</v>
      </c>
      <c r="AD20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09" s="51" t="str">
        <f t="shared" si="25"/>
        <v>OPERATIVO</v>
      </c>
      <c r="AF209" s="18" t="str">
        <f t="shared" si="28"/>
        <v>BAJA</v>
      </c>
      <c r="AG209" s="18" t="str">
        <f t="shared" si="29"/>
        <v>Monitorear próximo vencimiento</v>
      </c>
      <c r="AH209">
        <f t="shared" si="30"/>
        <v>0</v>
      </c>
      <c r="AI209" t="str">
        <f t="shared" si="31"/>
        <v/>
      </c>
      <c r="AJ209" s="24">
        <f t="shared" si="32"/>
        <v>3</v>
      </c>
    </row>
    <row r="210" spans="1:36" s="27" customFormat="1">
      <c r="A210" s="18" t="s">
        <v>542</v>
      </c>
      <c r="B210" s="18" t="s">
        <v>459</v>
      </c>
      <c r="C210" s="18" t="s">
        <v>1074</v>
      </c>
      <c r="D210" s="18" t="s">
        <v>99</v>
      </c>
      <c r="E210" s="19" t="s">
        <v>524</v>
      </c>
      <c r="F210" s="18">
        <v>2025</v>
      </c>
      <c r="G210" s="18" t="str" cm="1">
        <f t="array" ref="G210">IFERROR(INDEX(Lecturas!$E$4:$E$3549,MATCH(1,(Lecturas!$B$4:$B$3549=$A210)*(Lecturas!$E$4:$E$3549&lt;&gt;"")*(Lecturas!$A$4:$A$3549=_xlfn.MAXIFS(Lecturas!$A$4:$A$3549,Lecturas!$B$4:$B$3549,$A210,Lecturas!$E$4:$E$3549,"&lt;&gt;")),0)),"")</f>
        <v>Palmucho</v>
      </c>
      <c r="H210" s="18" t="s">
        <v>1080</v>
      </c>
      <c r="I210" s="18" t="s">
        <v>462</v>
      </c>
      <c r="J210" s="18">
        <v>15000</v>
      </c>
      <c r="K210" s="18">
        <f>IFERROR(IF($I210="KM",ROUND((_xlfn.MAXIFS(tblLecturas[Kilometraje],tblLecturas[Codigo],$A210)-_xlfn.MINIFS(tblLecturas[Kilometraje],tblLecturas[Codigo],$A210))/(MAX(1,_xlfn.MAXIFS(tblLecturas[Fecha],tblLecturas[Codigo],$A210)-_xlfn.MINIFS(tblLecturas[Fecha],tblLecturas[Codigo],$A210))),1),ROUND((_xlfn.MAXIFS(tblLecturas[Horometro],tblLecturas[Codigo],$A210)-_xlfn.MINIFS(tblLecturas[Horometro],tblLecturas[Codigo],$A210))/(MAX(1,_xlfn.MAXIFS(tblLecturas[Fecha],tblLecturas[Codigo],$A210)-_xlfn.MINIFS(tblLecturas[Fecha],tblLecturas[Codigo],$A210))),1)),"")</f>
        <v>213.6</v>
      </c>
      <c r="L210" s="20">
        <f>IFERROR(_xlfn.MAXIFS(tblLecturas[Fecha],tblLecturas[Codigo],$A210),"")</f>
        <v>46104</v>
      </c>
      <c r="M210" s="26">
        <f>IFERROR(_xlfn.MAXIFS(Lecturas!$C:$C,Lecturas!$B:$B,$A210,Lecturas!$C:$C,"&gt;0"),"")</f>
        <v>0</v>
      </c>
      <c r="N210" s="78">
        <f>IFERROR(_xlfn.MAXIFS(tblLecturas[Kilometraje],tblLecturas[Codigo],$A210,tblLecturas[Kilometraje],"&gt;0"),"")</f>
        <v>93371</v>
      </c>
      <c r="O210" s="78" cm="1">
        <f t="array" ref="O210">IFERROR(IF($I210="KM",LOOKUP(2,1/(Lecturas!$B:$B=$A210)/(Lecturas!$D:$D&gt;0),Lecturas!$D:$D),LOOKUP(2,1/(Lecturas!$B:$B=$A210)/(Lecturas!$C:$C&gt;0),Lecturas!$C:$C)),"")</f>
        <v>93371</v>
      </c>
      <c r="P210" s="20">
        <f>IFERROR(_xlfn.MAXIFS(tblMantenciones[Fecha],tblMantenciones[Codigo],tblMaestroEquipos[[#This Row],[Codigo]],tblMantenciones[EsPM],"Sí"),"")</f>
        <v>46120</v>
      </c>
      <c r="Q210" s="78" t="str">
        <f>IF(_xlfn.MAXIFS(Mantenciones!$D:$D,Mantenciones!$B:$B,A210)=0,"Sin datos de mantención registrado",_xlfn.MAXIFS(Mantenciones!$D:$D,Mantenciones!$B:$B,A210))</f>
        <v>Sin datos de mantención registrado</v>
      </c>
      <c r="R210" s="18" t="str">
        <f>IFERROR(IF(_xlfn.MAXIFS(Mantenciones!$D:$D,Mantenciones!$B:$B,$A210,Mantenciones!$E:$E,"Sí",Mantenciones!$D:$D,"&gt;0")=0,"Sin datos de mantención registrado",_xlfn.MAXIFS(Mantenciones!$D:$D,Mantenciones!$B:$B,$A210,Mantenciones!$E:$E,"Sí",Mantenciones!$D:$D,"&gt;0")),"Sin datos de mantención registrado")</f>
        <v>Sin datos de mantención registrado</v>
      </c>
      <c r="S210" s="21">
        <f>IFERROR(SUMIFS(tblMantenciones[Costo Mantencion CLP],tblMantenciones[Codigo],A210),0)</f>
        <v>0</v>
      </c>
      <c r="T210" s="21">
        <f>IFERROR(SUMIFS(tblComprasPM[Costo PM CLP],tblComprasPM[Codigo],tblMaestroEquipos[[#This Row],[Codigo]]),0)</f>
        <v>0</v>
      </c>
      <c r="U210" s="21">
        <f>IFERROR(tblMaestroEquipos[[#This Row],[Costo Mantenciones CLP]]+tblMaestroEquipos[[#This Row],[Costo Compras PM CLP]],0)</f>
        <v>0</v>
      </c>
      <c r="V210" s="18" t="str">
        <f>IFERROR(_xlfn.XLOOKUP(tblMaestroEquipos[[#This Row],[Codigo]],tblEquipos[Codigo],tblEquipos[Estado Base]),"")</f>
        <v>Operativo</v>
      </c>
      <c r="W210" s="18" t="str">
        <f t="shared" si="26"/>
        <v>AL DÍA</v>
      </c>
      <c r="X210" s="18" t="str">
        <f t="shared" si="27"/>
        <v/>
      </c>
      <c r="Y21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1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10" s="25" t="str">
        <f>IFERROR(IF(_xlfn.MAXIFS(tblBodega[Fecha],tblBodega[Codigo],tblMaestroEquipos[[#This Row],[Codigo]])=0,"",_xlfn.MAXIFS(tblBodega[Fecha],tblBodega[Codigo],tblMaestroEquipos[[#This Row],[Codigo]])),"")</f>
        <v/>
      </c>
      <c r="AB21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1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1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10" s="51" t="str">
        <f t="shared" si="25"/>
        <v>OPERATIVO</v>
      </c>
      <c r="AF210" s="18" t="str">
        <f t="shared" si="28"/>
        <v>BAJA</v>
      </c>
      <c r="AG210" s="18" t="str">
        <f t="shared" si="29"/>
        <v>Monitorear próximo vencimiento</v>
      </c>
      <c r="AH210">
        <f t="shared" si="30"/>
        <v>0</v>
      </c>
      <c r="AI210" t="str">
        <f t="shared" si="31"/>
        <v/>
      </c>
      <c r="AJ210" s="24">
        <f t="shared" si="32"/>
        <v>99</v>
      </c>
    </row>
    <row r="211" spans="1:36" s="27" customFormat="1">
      <c r="A211" s="18" t="s">
        <v>598</v>
      </c>
      <c r="B211" s="18" t="s">
        <v>459</v>
      </c>
      <c r="C211" s="18" t="s">
        <v>1074</v>
      </c>
      <c r="D211" s="18" t="s">
        <v>589</v>
      </c>
      <c r="E211" s="19" t="s">
        <v>590</v>
      </c>
      <c r="F211" s="18">
        <v>2023</v>
      </c>
      <c r="G211" s="18" t="str" cm="1">
        <f t="array" ref="G211">IFERROR(INDEX(Lecturas!$E$4:$E$3549,MATCH(1,(Lecturas!$B$4:$B$3549=$A211)*(Lecturas!$E$4:$E$3549&lt;&gt;"")*(Lecturas!$A$4:$A$3549=_xlfn.MAXIFS(Lecturas!$A$4:$A$3549,Lecturas!$B$4:$B$3549,$A211,Lecturas!$E$4:$E$3549,"&lt;&gt;")),0)),"")</f>
        <v>Palmucho</v>
      </c>
      <c r="H211" s="18" t="s">
        <v>53</v>
      </c>
      <c r="I211" s="18" t="s">
        <v>462</v>
      </c>
      <c r="J211" s="18">
        <v>15000</v>
      </c>
      <c r="K211" s="18">
        <f>IFERROR(IF($I211="KM",ROUND((_xlfn.MAXIFS(tblLecturas[Kilometraje],tblLecturas[Codigo],$A211)-_xlfn.MINIFS(tblLecturas[Kilometraje],tblLecturas[Codigo],$A211))/(MAX(1,_xlfn.MAXIFS(tblLecturas[Fecha],tblLecturas[Codigo],$A211)-_xlfn.MINIFS(tblLecturas[Fecha],tblLecturas[Codigo],$A211))),1),ROUND((_xlfn.MAXIFS(tblLecturas[Horometro],tblLecturas[Codigo],$A211)-_xlfn.MINIFS(tblLecturas[Horometro],tblLecturas[Codigo],$A211))/(MAX(1,_xlfn.MAXIFS(tblLecturas[Fecha],tblLecturas[Codigo],$A211)-_xlfn.MINIFS(tblLecturas[Fecha],tblLecturas[Codigo],$A211))),1)),"")</f>
        <v>342.6</v>
      </c>
      <c r="L211" s="20">
        <f>IFERROR(_xlfn.MAXIFS(tblLecturas[Fecha],tblLecturas[Codigo],$A211),"")</f>
        <v>46107</v>
      </c>
      <c r="M211" s="26">
        <f>IFERROR(_xlfn.MAXIFS(Lecturas!$C:$C,Lecturas!$B:$B,$A211,Lecturas!$C:$C,"&gt;0"),"")</f>
        <v>0</v>
      </c>
      <c r="N211" s="78">
        <f>IFERROR(_xlfn.MAXIFS(tblLecturas[Kilometraje],tblLecturas[Codigo],$A211,tblLecturas[Kilometraje],"&gt;0"),"")</f>
        <v>143354</v>
      </c>
      <c r="O211" s="78" cm="1">
        <f t="array" ref="O211">IFERROR(IF($I211="KM",LOOKUP(2,1/(Lecturas!$B:$B=$A211)/(Lecturas!$D:$D&gt;0),Lecturas!$D:$D),LOOKUP(2,1/(Lecturas!$B:$B=$A211)/(Lecturas!$C:$C&gt;0),Lecturas!$C:$C)),"")</f>
        <v>143354</v>
      </c>
      <c r="P211" s="20">
        <f>IFERROR(_xlfn.MAXIFS(tblMantenciones[Fecha],tblMantenciones[Codigo],tblMaestroEquipos[[#This Row],[Codigo]],tblMantenciones[EsPM],"Sí"),"")</f>
        <v>0</v>
      </c>
      <c r="Q211" s="78" t="str">
        <f>IF(_xlfn.MAXIFS(Mantenciones!$D:$D,Mantenciones!$B:$B,A211)=0,"Sin datos de mantención registrado",_xlfn.MAXIFS(Mantenciones!$D:$D,Mantenciones!$B:$B,A211))</f>
        <v>Sin datos de mantención registrado</v>
      </c>
      <c r="R211" s="18" t="str">
        <f>IFERROR(IF(_xlfn.MAXIFS(Mantenciones!$D:$D,Mantenciones!$B:$B,$A211,Mantenciones!$E:$E,"Sí",Mantenciones!$D:$D,"&gt;0")=0,"Sin datos de mantención registrado",_xlfn.MAXIFS(Mantenciones!$D:$D,Mantenciones!$B:$B,$A211,Mantenciones!$E:$E,"Sí",Mantenciones!$D:$D,"&gt;0")),"Sin datos de mantención registrado")</f>
        <v>Sin datos de mantención registrado</v>
      </c>
      <c r="S211" s="21">
        <f>IFERROR(SUMIFS(tblMantenciones[Costo Mantencion CLP],tblMantenciones[Codigo],tblMaestroEquipos[[#This Row],[Codigo]]),0)</f>
        <v>0</v>
      </c>
      <c r="T211" s="21">
        <f>IFERROR(SUMIFS(tblComprasPM[Costo PM CLP],tblComprasPM[Codigo],tblMaestroEquipos[[#This Row],[Codigo]]),0)</f>
        <v>0</v>
      </c>
      <c r="U211" s="21">
        <f>IFERROR(tblMaestroEquipos[[#This Row],[Costo Mantenciones CLP]]+tblMaestroEquipos[[#This Row],[Costo Compras PM CLP]],0)</f>
        <v>0</v>
      </c>
      <c r="V211" s="18" t="str">
        <f>IFERROR(_xlfn.XLOOKUP(tblMaestroEquipos[[#This Row],[Codigo]],tblEquipos[Codigo],tblEquipos[Estado Base]),"")</f>
        <v>Operativo</v>
      </c>
      <c r="W211" s="18" t="str">
        <f t="shared" si="26"/>
        <v>POR RECIBIR</v>
      </c>
      <c r="X211" s="18" t="str">
        <f t="shared" si="27"/>
        <v/>
      </c>
      <c r="Y21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11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11" s="25">
        <f>IFERROR(IF(_xlfn.MAXIFS(tblBodega[Fecha],tblBodega[Codigo],tblMaestroEquipos[[#This Row],[Codigo]])=0,"",_xlfn.MAXIFS(tblBodega[Fecha],tblBodega[Codigo],tblMaestroEquipos[[#This Row],[Codigo]])),"")</f>
        <v>46118</v>
      </c>
      <c r="AB211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11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27</v>
      </c>
      <c r="AD21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11" s="51" t="str">
        <f t="shared" si="25"/>
        <v>OPERATIVO</v>
      </c>
      <c r="AF211" s="18" t="str">
        <f t="shared" si="28"/>
        <v>BAJA</v>
      </c>
      <c r="AG211" s="18" t="str">
        <f t="shared" si="29"/>
        <v>Monitorear próximo vencimiento</v>
      </c>
      <c r="AH211">
        <f t="shared" si="30"/>
        <v>0</v>
      </c>
      <c r="AI211" t="str">
        <f t="shared" si="31"/>
        <v/>
      </c>
      <c r="AJ211" s="24">
        <f t="shared" si="32"/>
        <v>3</v>
      </c>
    </row>
    <row r="212" spans="1:36">
      <c r="A212" s="18" t="s">
        <v>485</v>
      </c>
      <c r="B212" s="18" t="s">
        <v>459</v>
      </c>
      <c r="C212" s="18" t="s">
        <v>1074</v>
      </c>
      <c r="D212" s="18" t="s">
        <v>482</v>
      </c>
      <c r="E212" s="19" t="s">
        <v>483</v>
      </c>
      <c r="F212" s="18">
        <v>2024</v>
      </c>
      <c r="G212" s="18" t="str" cm="1">
        <f t="array" ref="G212">IFERROR(INDEX(Lecturas!$E$4:$E$3549,MATCH(1,(Lecturas!$B$4:$B$3549=$A212)*(Lecturas!$E$4:$E$3549&lt;&gt;"")*(Lecturas!$A$4:$A$3549=_xlfn.MAXIFS(Lecturas!$A$4:$A$3549,Lecturas!$B$4:$B$3549,$A212,Lecturas!$E$4:$E$3549,"&lt;&gt;")),0)),"")</f>
        <v/>
      </c>
      <c r="H212" s="18" t="s">
        <v>487</v>
      </c>
      <c r="I212" s="18" t="s">
        <v>462</v>
      </c>
      <c r="J212" s="18">
        <v>15000</v>
      </c>
      <c r="K212" s="18">
        <f>IFERROR(IF($I212="KM",ROUND((_xlfn.MAXIFS(tblLecturas[Kilometraje],tblLecturas[Codigo],$A212)-_xlfn.MINIFS(tblLecturas[Kilometraje],tblLecturas[Codigo],$A212))/(MAX(1,_xlfn.MAXIFS(tblLecturas[Fecha],tblLecturas[Codigo],$A212)-_xlfn.MINIFS(tblLecturas[Fecha],tblLecturas[Codigo],$A212))),1),ROUND((_xlfn.MAXIFS(tblLecturas[Horometro],tblLecturas[Codigo],$A212)-_xlfn.MINIFS(tblLecturas[Horometro],tblLecturas[Codigo],$A212))/(MAX(1,_xlfn.MAXIFS(tblLecturas[Fecha],tblLecturas[Codigo],$A212)-_xlfn.MINIFS(tblLecturas[Fecha],tblLecturas[Codigo],$A212))),1)),"")</f>
        <v>178.5</v>
      </c>
      <c r="L212" s="20">
        <f>IFERROR(_xlfn.MAXIFS(tblLecturas[Fecha],tblLecturas[Codigo],$A212),"")</f>
        <v>46114</v>
      </c>
      <c r="M212" s="26">
        <f>IFERROR(_xlfn.MAXIFS(Lecturas!$C:$C,Lecturas!$B:$B,$A212,Lecturas!$C:$C,"&gt;0"),"")</f>
        <v>0</v>
      </c>
      <c r="N212" s="78">
        <f>IFERROR(_xlfn.MAXIFS(tblLecturas[Kilometraje],tblLecturas[Codigo],$A212,tblLecturas[Kilometraje],"&gt;0"),"")</f>
        <v>88308</v>
      </c>
      <c r="O212" s="78" cm="1">
        <f t="array" ref="O212">IFERROR(IF($I212="KM",LOOKUP(2,1/(Lecturas!$B:$B=$A212)/(Lecturas!$D:$D&gt;0),Lecturas!$D:$D),LOOKUP(2,1/(Lecturas!$B:$B=$A212)/(Lecturas!$C:$C&gt;0),Lecturas!$C:$C)),"")</f>
        <v>88308</v>
      </c>
      <c r="P212" s="20">
        <f>IFERROR(_xlfn.MAXIFS(tblMantenciones[Fecha],tblMantenciones[Codigo],tblMaestroEquipos[[#This Row],[Codigo]],tblMantenciones[EsPM],"Sí"),"")</f>
        <v>46118</v>
      </c>
      <c r="Q212" s="78" t="str">
        <f>IF(_xlfn.MAXIFS(Mantenciones!$D:$D,Mantenciones!$B:$B,A212)=0,"Sin datos de mantención registrado",_xlfn.MAXIFS(Mantenciones!$D:$D,Mantenciones!$B:$B,A212))</f>
        <v>Sin datos de mantención registrado</v>
      </c>
      <c r="R212" s="18" t="str">
        <f>IFERROR(IF(_xlfn.MAXIFS(Mantenciones!$D:$D,Mantenciones!$B:$B,$A212,Mantenciones!$E:$E,"Sí",Mantenciones!$D:$D,"&gt;0")=0,"Sin datos de mantención registrado",_xlfn.MAXIFS(Mantenciones!$D:$D,Mantenciones!$B:$B,$A212,Mantenciones!$E:$E,"Sí",Mantenciones!$D:$D,"&gt;0")),"Sin datos de mantención registrado")</f>
        <v>Sin datos de mantención registrado</v>
      </c>
      <c r="S212" s="21">
        <f>IFERROR(SUMIFS(tblMantenciones[Costo Mantencion CLP],tblMantenciones[Codigo],A212),0)</f>
        <v>0</v>
      </c>
      <c r="T212" s="21">
        <f>IFERROR(SUMIFS(tblComprasPM[Costo PM CLP],tblComprasPM[Codigo],tblMaestroEquipos[[#This Row],[Codigo]]),0)</f>
        <v>387603.23</v>
      </c>
      <c r="U212" s="21">
        <f>IFERROR(tblMaestroEquipos[[#This Row],[Costo Mantenciones CLP]]+tblMaestroEquipos[[#This Row],[Costo Compras PM CLP]],0)</f>
        <v>387603.23</v>
      </c>
      <c r="V212" s="18" t="str">
        <f>IFERROR(_xlfn.XLOOKUP(tblMaestroEquipos[[#This Row],[Codigo]],tblEquipos[Codigo],tblEquipos[Estado Base]),"")</f>
        <v>Operativo</v>
      </c>
      <c r="W212" s="18" t="str">
        <f t="shared" si="26"/>
        <v>EN PROCESO</v>
      </c>
      <c r="X212" s="18" t="str">
        <f t="shared" si="27"/>
        <v/>
      </c>
      <c r="Y21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12" s="25">
        <f>IFERROR(IF(_xlfn.MINIFS(tblComprasPM[Fecha],tblComprasPM[Codigo],tblMaestroEquipos[[#This Row],[Codigo]])=0,"",_xlfn.MINIFS(tblComprasPM[Fecha],tblComprasPM[Codigo],tblMaestroEquipos[[#This Row],[Codigo]])),"")</f>
        <v>46076.552599768504</v>
      </c>
      <c r="AA212" s="25" t="str">
        <f>IFERROR(IF(_xlfn.MAXIFS(tblBodega[Fecha],tblBodega[Codigo],tblMaestroEquipos[[#This Row],[Codigo]])=0,"",_xlfn.MAXIFS(tblBodega[Fecha],tblBodega[Codigo],tblMaestroEquipos[[#This Row],[Codigo]])),"")</f>
        <v/>
      </c>
      <c r="AB212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42</v>
      </c>
      <c r="AC21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1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12" s="51" t="str">
        <f t="shared" si="25"/>
        <v>EN PROCESO</v>
      </c>
      <c r="AF212" s="18" t="str">
        <f t="shared" si="28"/>
        <v>SEGUIMIENTO</v>
      </c>
      <c r="AG212" s="18" t="str">
        <f t="shared" si="29"/>
        <v>Hacer seguimiento al taller y cerrar report</v>
      </c>
      <c r="AH212">
        <f t="shared" si="30"/>
        <v>0</v>
      </c>
      <c r="AI212" t="str">
        <f t="shared" si="31"/>
        <v/>
      </c>
      <c r="AJ212" s="24">
        <f t="shared" si="32"/>
        <v>2</v>
      </c>
    </row>
    <row r="213" spans="1:36" s="27" customFormat="1">
      <c r="A213" s="18" t="s">
        <v>591</v>
      </c>
      <c r="B213" s="18" t="s">
        <v>459</v>
      </c>
      <c r="C213" s="18" t="s">
        <v>1074</v>
      </c>
      <c r="D213" s="18" t="s">
        <v>589</v>
      </c>
      <c r="E213" s="19" t="s">
        <v>590</v>
      </c>
      <c r="F213" s="18">
        <v>2023</v>
      </c>
      <c r="G213" s="18" t="str" cm="1">
        <f t="array" ref="G213">IFERROR(INDEX(Lecturas!$E$4:$E$3549,MATCH(1,(Lecturas!$B$4:$B$3549=$A213)*(Lecturas!$E$4:$E$3549&lt;&gt;"")*(Lecturas!$A$4:$A$3549=_xlfn.MAXIFS(Lecturas!$A$4:$A$3549,Lecturas!$B$4:$B$3549,$A213,Lecturas!$E$4:$E$3549,"&lt;&gt;")),0)),"")</f>
        <v/>
      </c>
      <c r="H213" s="18" t="s">
        <v>592</v>
      </c>
      <c r="I213" s="18" t="s">
        <v>462</v>
      </c>
      <c r="J213" s="18">
        <v>15000</v>
      </c>
      <c r="K213" s="18">
        <f>IFERROR(IF($I213="KM",ROUND((_xlfn.MAXIFS(tblLecturas[Kilometraje],tblLecturas[Codigo],$A213)-_xlfn.MINIFS(tblLecturas[Kilometraje],tblLecturas[Codigo],$A213))/(MAX(1,_xlfn.MAXIFS(tblLecturas[Fecha],tblLecturas[Codigo],$A213)-_xlfn.MINIFS(tblLecturas[Fecha],tblLecturas[Codigo],$A213))),1),ROUND((_xlfn.MAXIFS(tblLecturas[Horometro],tblLecturas[Codigo],$A213)-_xlfn.MINIFS(tblLecturas[Horometro],tblLecturas[Codigo],$A213))/(MAX(1,_xlfn.MAXIFS(tblLecturas[Fecha],tblLecturas[Codigo],$A213)-_xlfn.MINIFS(tblLecturas[Fecha],tblLecturas[Codigo],$A213))),1)),"")</f>
        <v>263.7</v>
      </c>
      <c r="L213" s="20">
        <f>IFERROR(_xlfn.MAXIFS(tblLecturas[Fecha],tblLecturas[Codigo],$A213),"")</f>
        <v>46045</v>
      </c>
      <c r="M213" s="26">
        <f>IFERROR(_xlfn.MAXIFS(Lecturas!$C:$C,Lecturas!$B:$B,$A213,Lecturas!$C:$C,"&gt;0"),"")</f>
        <v>0</v>
      </c>
      <c r="N213" s="78">
        <f>IFERROR(_xlfn.MAXIFS(tblLecturas[Kilometraje],tblLecturas[Codigo],$A213,tblLecturas[Kilometraje],"&gt;0"),"")</f>
        <v>137077</v>
      </c>
      <c r="O213" s="78" cm="1">
        <f t="array" ref="O213">IFERROR(IF($I213="KM",LOOKUP(2,1/(Lecturas!$B:$B=$A213)/(Lecturas!$D:$D&gt;0),Lecturas!$D:$D),LOOKUP(2,1/(Lecturas!$B:$B=$A213)/(Lecturas!$C:$C&gt;0),Lecturas!$C:$C)),"")</f>
        <v>137077</v>
      </c>
      <c r="P213" s="20">
        <f>IFERROR(_xlfn.MAXIFS(tblMantenciones[Fecha],tblMantenciones[Codigo],tblMaestroEquipos[[#This Row],[Codigo]],tblMantenciones[EsPM],"Sí"),"")</f>
        <v>46129</v>
      </c>
      <c r="Q213" s="78">
        <f>IF(_xlfn.MAXIFS(Mantenciones!$D:$D,Mantenciones!$B:$B,A213)=0,"Sin datos de mantención registrado",_xlfn.MAXIFS(Mantenciones!$D:$D,Mantenciones!$B:$B,A213))</f>
        <v>170002</v>
      </c>
      <c r="R213" s="18">
        <f>IFERROR(IF(_xlfn.MAXIFS(Mantenciones!$D:$D,Mantenciones!$B:$B,$A213,Mantenciones!$E:$E,"Sí",Mantenciones!$D:$D,"&gt;0")=0,"Sin datos de mantención registrado",_xlfn.MAXIFS(Mantenciones!$D:$D,Mantenciones!$B:$B,$A213,Mantenciones!$E:$E,"Sí",Mantenciones!$D:$D,"&gt;0")),"Sin datos de mantención registrado")</f>
        <v>170002</v>
      </c>
      <c r="S213" s="21">
        <f>IFERROR(SUMIFS(tblMantenciones[Costo Mantencion CLP],tblMantenciones[Codigo],tblMaestroEquipos[[#This Row],[Codigo]]),0)</f>
        <v>0</v>
      </c>
      <c r="T213" s="21">
        <f>IFERROR(SUMIFS(tblComprasPM[Costo PM CLP],tblComprasPM[Codigo],tblMaestroEquipos[[#This Row],[Codigo]]),0)</f>
        <v>0</v>
      </c>
      <c r="U213" s="21">
        <f>IFERROR(tblMaestroEquipos[[#This Row],[Costo Mantenciones CLP]]+tblMaestroEquipos[[#This Row],[Costo Compras PM CLP]],0)</f>
        <v>0</v>
      </c>
      <c r="V213" s="18" t="str">
        <f>IFERROR(_xlfn.XLOOKUP(tblMaestroEquipos[[#This Row],[Codigo]],tblEquipos[Codigo],tblEquipos[Estado Base]),"")</f>
        <v>Fuera de Servicio</v>
      </c>
      <c r="W213" s="18" t="str">
        <f t="shared" si="26"/>
        <v>FUERA DE SERVICIO</v>
      </c>
      <c r="X213" s="18">
        <f t="shared" si="27"/>
        <v>47925</v>
      </c>
      <c r="Y213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13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13" s="25" t="str">
        <f>IFERROR(IF(_xlfn.MAXIFS(tblBodega[Fecha],tblBodega[Codigo],tblMaestroEquipos[[#This Row],[Codigo]])=0,"",_xlfn.MAXIFS(tblBodega[Fecha],tblBodega[Codigo],tblMaestroEquipos[[#This Row],[Codigo]])),"")</f>
        <v/>
      </c>
      <c r="AB213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1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1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13" s="51" t="str">
        <f t="shared" si="25"/>
        <v>FUERA DE SERVICIO</v>
      </c>
      <c r="AF213" s="18" t="str">
        <f t="shared" si="28"/>
        <v>NO APLICA</v>
      </c>
      <c r="AG213" s="18" t="str">
        <f t="shared" si="29"/>
        <v>No programar compra</v>
      </c>
      <c r="AH213">
        <f t="shared" si="30"/>
        <v>0</v>
      </c>
      <c r="AI213" t="str">
        <f t="shared" si="31"/>
        <v/>
      </c>
      <c r="AJ213" s="24">
        <f t="shared" si="32"/>
        <v>99</v>
      </c>
    </row>
    <row r="214" spans="1:36" s="27" customFormat="1">
      <c r="A214" s="18" t="s">
        <v>574</v>
      </c>
      <c r="B214" s="18" t="s">
        <v>459</v>
      </c>
      <c r="C214" s="18" t="s">
        <v>1074</v>
      </c>
      <c r="D214" s="18" t="s">
        <v>99</v>
      </c>
      <c r="E214" s="19" t="s">
        <v>566</v>
      </c>
      <c r="F214" s="18">
        <v>2021</v>
      </c>
      <c r="G214" s="18" t="str" cm="1">
        <f t="array" ref="G214">IFERROR(INDEX(Lecturas!$E$4:$E$3549,MATCH(1,(Lecturas!$B$4:$B$3549=$A214)*(Lecturas!$E$4:$E$3549&lt;&gt;"")*(Lecturas!$A$4:$A$3549=_xlfn.MAXIFS(Lecturas!$A$4:$A$3549,Lecturas!$B$4:$B$3549,$A214,Lecturas!$E$4:$E$3549,"&lt;&gt;")),0)),"")</f>
        <v/>
      </c>
      <c r="H214" s="18" t="s">
        <v>57</v>
      </c>
      <c r="I214" s="18" t="s">
        <v>462</v>
      </c>
      <c r="J214" s="18">
        <v>15000</v>
      </c>
      <c r="K214" s="18">
        <f>IFERROR(IF($I214="KM",ROUND((_xlfn.MAXIFS(tblLecturas[Kilometraje],tblLecturas[Codigo],$A214)-_xlfn.MINIFS(tblLecturas[Kilometraje],tblLecturas[Codigo],$A214))/(MAX(1,_xlfn.MAXIFS(tblLecturas[Fecha],tblLecturas[Codigo],$A214)-_xlfn.MINIFS(tblLecturas[Fecha],tblLecturas[Codigo],$A214))),1),ROUND((_xlfn.MAXIFS(tblLecturas[Horometro],tblLecturas[Codigo],$A214)-_xlfn.MINIFS(tblLecturas[Horometro],tblLecturas[Codigo],$A214))/(MAX(1,_xlfn.MAXIFS(tblLecturas[Fecha],tblLecturas[Codigo],$A214)-_xlfn.MINIFS(tblLecturas[Fecha],tblLecturas[Codigo],$A214))),1)),"")</f>
        <v>349.6</v>
      </c>
      <c r="L214" s="20">
        <f>IFERROR(_xlfn.MAXIFS(tblLecturas[Fecha],tblLecturas[Codigo],$A214),"")</f>
        <v>46133</v>
      </c>
      <c r="M214" s="26">
        <f>IFERROR(_xlfn.MAXIFS(Lecturas!$C:$C,Lecturas!$B:$B,$A214,Lecturas!$C:$C,"&gt;0"),"")</f>
        <v>0</v>
      </c>
      <c r="N214" s="78">
        <f>IFERROR(_xlfn.MAXIFS(tblLecturas[Kilometraje],tblLecturas[Codigo],$A214,tblLecturas[Kilometraje],"&gt;0"),"")</f>
        <v>227000</v>
      </c>
      <c r="O214" s="78" cm="1">
        <f t="array" ref="O214">IFERROR(IF($I214="KM",LOOKUP(2,1/(Lecturas!$B:$B=$A214)/(Lecturas!$D:$D&gt;0),Lecturas!$D:$D),LOOKUP(2,1/(Lecturas!$B:$B=$A214)/(Lecturas!$C:$C&gt;0),Lecturas!$C:$C)),"")</f>
        <v>188442</v>
      </c>
      <c r="P214" s="20">
        <f>IFERROR(_xlfn.MAXIFS(tblMantenciones[Fecha],tblMantenciones[Codigo],tblMaestroEquipos[[#This Row],[Codigo]],tblMantenciones[EsPM],"Sí"),"")</f>
        <v>0</v>
      </c>
      <c r="Q214" s="78" t="str">
        <f>IF(_xlfn.MAXIFS(Mantenciones!$D:$D,Mantenciones!$B:$B,A214)=0,"Sin datos de mantención registrado",_xlfn.MAXIFS(Mantenciones!$D:$D,Mantenciones!$B:$B,A214))</f>
        <v>Sin datos de mantención registrado</v>
      </c>
      <c r="R214" s="18" t="str">
        <f>IFERROR(IF(_xlfn.MAXIFS(Mantenciones!$D:$D,Mantenciones!$B:$B,$A214,Mantenciones!$E:$E,"Sí",Mantenciones!$D:$D,"&gt;0")=0,"Sin datos de mantención registrado",_xlfn.MAXIFS(Mantenciones!$D:$D,Mantenciones!$B:$B,$A214,Mantenciones!$E:$E,"Sí",Mantenciones!$D:$D,"&gt;0")),"Sin datos de mantención registrado")</f>
        <v>Sin datos de mantención registrado</v>
      </c>
      <c r="S214" s="21">
        <f>IFERROR(SUMIFS(tblMantenciones[Costo Mantencion CLP],tblMantenciones[Codigo],tblMaestroEquipos[[#This Row],[Codigo]]),0)</f>
        <v>0</v>
      </c>
      <c r="T214" s="21">
        <f>IFERROR(SUMIFS(tblComprasPM[Costo PM CLP],tblComprasPM[Codigo],tblMaestroEquipos[[#This Row],[Codigo]]),0)</f>
        <v>0</v>
      </c>
      <c r="U214" s="21">
        <f>IFERROR(tblMaestroEquipos[[#This Row],[Costo Mantenciones CLP]]+tblMaestroEquipos[[#This Row],[Costo Compras PM CLP]],0)</f>
        <v>0</v>
      </c>
      <c r="V214" s="18" t="str">
        <f>IFERROR(_xlfn.XLOOKUP(tblMaestroEquipos[[#This Row],[Codigo]],tblEquipos[Codigo],tblEquipos[Estado Base]),"")</f>
        <v>Operativo</v>
      </c>
      <c r="W214" s="18" t="str">
        <f t="shared" si="26"/>
        <v>POR RECIBIR</v>
      </c>
      <c r="X214" s="18" t="str">
        <f t="shared" si="27"/>
        <v/>
      </c>
      <c r="Y21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1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14" s="25">
        <f>IFERROR(IF(_xlfn.MAXIFS(tblBodega[Fecha],tblBodega[Codigo],tblMaestroEquipos[[#This Row],[Codigo]])=0,"",_xlfn.MAXIFS(tblBodega[Fecha],tblBodega[Codigo],tblMaestroEquipos[[#This Row],[Codigo]])),"")</f>
        <v>46118</v>
      </c>
      <c r="AB21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1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27</v>
      </c>
      <c r="AD21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14" s="51" t="str">
        <f t="shared" si="25"/>
        <v>OPERATIVO</v>
      </c>
      <c r="AF214" s="18" t="str">
        <f t="shared" si="28"/>
        <v>BAJA</v>
      </c>
      <c r="AG214" s="18" t="str">
        <f t="shared" si="29"/>
        <v>Monitorear próximo vencimiento</v>
      </c>
      <c r="AH214">
        <f t="shared" si="30"/>
        <v>0</v>
      </c>
      <c r="AI214" t="str">
        <f t="shared" si="31"/>
        <v/>
      </c>
      <c r="AJ214" s="24">
        <f t="shared" si="32"/>
        <v>3</v>
      </c>
    </row>
    <row r="215" spans="1:36">
      <c r="A215" s="18" t="s">
        <v>247</v>
      </c>
      <c r="B215" s="18" t="s">
        <v>235</v>
      </c>
      <c r="C215" s="18" t="s">
        <v>1070</v>
      </c>
      <c r="D215" s="18" t="s">
        <v>248</v>
      </c>
      <c r="E215" s="19">
        <v>512</v>
      </c>
      <c r="F215" s="18"/>
      <c r="G215" s="18" t="str" cm="1">
        <f t="array" ref="G215">IFERROR(INDEX(Lecturas!$E$4:$E$3549,MATCH(1,(Lecturas!$B$4:$B$3549=$A215)*(Lecturas!$E$4:$E$3549&lt;&gt;"")*(Lecturas!$A$4:$A$3549=_xlfn.MAXIFS(Lecturas!$A$4:$A$3549,Lecturas!$B$4:$B$3549,$A215,Lecturas!$E$4:$E$3549,"&lt;&gt;")),0)),"")</f>
        <v/>
      </c>
      <c r="H215" s="18"/>
      <c r="I215" s="18" t="s">
        <v>18</v>
      </c>
      <c r="J215" s="18">
        <v>250</v>
      </c>
      <c r="K215" s="18">
        <f>IFERROR(IF($I215="KM",ROUND((_xlfn.MAXIFS(tblLecturas[Kilometraje],tblLecturas[Codigo],$A215)-_xlfn.MINIFS(tblLecturas[Kilometraje],tblLecturas[Codigo],$A215))/(MAX(1,_xlfn.MAXIFS(tblLecturas[Fecha],tblLecturas[Codigo],$A215)-_xlfn.MINIFS(tblLecturas[Fecha],tblLecturas[Codigo],$A215))),1),ROUND((_xlfn.MAXIFS(tblLecturas[Horometro],tblLecturas[Codigo],$A215)-_xlfn.MINIFS(tblLecturas[Horometro],tblLecturas[Codigo],$A215))/(MAX(1,_xlfn.MAXIFS(tblLecturas[Fecha],tblLecturas[Codigo],$A215)-_xlfn.MINIFS(tblLecturas[Fecha],tblLecturas[Codigo],$A215))),1)),"")</f>
        <v>7.2</v>
      </c>
      <c r="L215" s="20">
        <f>IFERROR(_xlfn.MAXIFS(tblLecturas[Fecha],tblLecturas[Codigo],$A215),"")</f>
        <v>46029</v>
      </c>
      <c r="M215" s="26">
        <f>IFERROR(_xlfn.MAXIFS(Lecturas!$C:$C,Lecturas!$B:$B,$A215,Lecturas!$C:$C,"&gt;0"),"")</f>
        <v>3964</v>
      </c>
      <c r="N215" s="78">
        <f>IFERROR(_xlfn.MAXIFS(tblLecturas[Kilometraje],tblLecturas[Codigo],$A215,tblLecturas[Kilometraje],"&gt;0"),"")</f>
        <v>0</v>
      </c>
      <c r="O215" s="78" cm="1">
        <f t="array" ref="O215">IFERROR(IF($I215="KM",LOOKUP(2,1/(Lecturas!$B:$B=$A215)/(Lecturas!$D:$D&gt;0),Lecturas!$D:$D),LOOKUP(2,1/(Lecturas!$B:$B=$A215)/(Lecturas!$C:$C&gt;0),Lecturas!$C:$C)),"")</f>
        <v>3727</v>
      </c>
      <c r="P215" s="20">
        <f>IFERROR(_xlfn.MAXIFS(tblMantenciones[Fecha],tblMantenciones[Codigo],tblMaestroEquipos[[#This Row],[Codigo]],tblMantenciones[EsPM],"Sí"),"")</f>
        <v>0</v>
      </c>
      <c r="Q215" s="78" t="str">
        <f>IF(_xlfn.MAXIFS(Mantenciones!$D:$D,Mantenciones!$B:$B,A215)=0,"Sin datos de mantención registrado",_xlfn.MAXIFS(Mantenciones!$D:$D,Mantenciones!$B:$B,A215))</f>
        <v>Sin datos de mantención registrado</v>
      </c>
      <c r="R215" s="18" t="str">
        <f>IFERROR(IF(_xlfn.MAXIFS(Mantenciones!$D:$D,Mantenciones!$B:$B,$A215,Mantenciones!$E:$E,"Sí",Mantenciones!$D:$D,"&gt;0")=0,"Sin datos de mantención registrado",_xlfn.MAXIFS(Mantenciones!$D:$D,Mantenciones!$B:$B,$A215,Mantenciones!$E:$E,"Sí",Mantenciones!$D:$D,"&gt;0")),"Sin datos de mantención registrado")</f>
        <v>Sin datos de mantención registrado</v>
      </c>
      <c r="S215" s="21">
        <f>IFERROR(SUMIFS(tblMantenciones[Costo Mantencion CLP],tblMantenciones[Codigo],A215),0)</f>
        <v>0</v>
      </c>
      <c r="T215" s="21">
        <f>IFERROR(SUMIFS(tblComprasPM[Costo PM CLP],tblComprasPM[Codigo],tblMaestroEquipos[[#This Row],[Codigo]]),0)</f>
        <v>0</v>
      </c>
      <c r="U215" s="21">
        <f>IFERROR(tblMaestroEquipos[[#This Row],[Costo Mantenciones CLP]]+tblMaestroEquipos[[#This Row],[Costo Compras PM CLP]],0)</f>
        <v>0</v>
      </c>
      <c r="V215" s="18" t="str">
        <f>IFERROR(_xlfn.XLOOKUP(tblMaestroEquipos[[#This Row],[Codigo]],tblEquipos[Codigo],tblEquipos[Estado Base]),"")</f>
        <v>Fuera de Servicio</v>
      </c>
      <c r="W215" s="18" t="str">
        <f t="shared" si="26"/>
        <v>FUERA DE SERVICIO</v>
      </c>
      <c r="X215" s="18" t="str">
        <f t="shared" si="27"/>
        <v/>
      </c>
      <c r="Y21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1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15" s="25" t="str">
        <f>IFERROR(IF(_xlfn.MAXIFS(tblBodega[Fecha],tblBodega[Codigo],tblMaestroEquipos[[#This Row],[Codigo]])=0,"",_xlfn.MAXIFS(tblBodega[Fecha],tblBodega[Codigo],tblMaestroEquipos[[#This Row],[Codigo]])),"")</f>
        <v/>
      </c>
      <c r="AB21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1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1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15" s="51" t="str">
        <f t="shared" si="25"/>
        <v>FUERA DE SERVICIO</v>
      </c>
      <c r="AF215" s="18" t="str">
        <f t="shared" si="28"/>
        <v>NO APLICA</v>
      </c>
      <c r="AG215" s="18" t="str">
        <f t="shared" si="29"/>
        <v>No programar compra</v>
      </c>
      <c r="AH215">
        <f t="shared" si="30"/>
        <v>0</v>
      </c>
      <c r="AI215" t="str">
        <f t="shared" si="31"/>
        <v/>
      </c>
      <c r="AJ215" s="24">
        <f t="shared" si="32"/>
        <v>99</v>
      </c>
    </row>
    <row r="216" spans="1:36">
      <c r="A216" s="18" t="s">
        <v>301</v>
      </c>
      <c r="B216" s="18" t="s">
        <v>264</v>
      </c>
      <c r="C216" s="18" t="s">
        <v>1070</v>
      </c>
      <c r="D216" s="18" t="s">
        <v>302</v>
      </c>
      <c r="E216" s="19" t="s">
        <v>303</v>
      </c>
      <c r="F216" s="18">
        <v>2010</v>
      </c>
      <c r="G216" s="18" t="str" cm="1">
        <f t="array" ref="G216">IFERROR(INDEX(Lecturas!$E$4:$E$3549,MATCH(1,(Lecturas!$B$4:$B$3549=$A216)*(Lecturas!$E$4:$E$3549&lt;&gt;"")*(Lecturas!$A$4:$A$3549=_xlfn.MAXIFS(Lecturas!$A$4:$A$3549,Lecturas!$B$4:$B$3549,$A216,Lecturas!$E$4:$E$3549,"&lt;&gt;")),0)),"")</f>
        <v>San Carlos</v>
      </c>
      <c r="H216" s="18" t="s">
        <v>53</v>
      </c>
      <c r="I216" s="18" t="s">
        <v>18</v>
      </c>
      <c r="J216" s="18">
        <v>250</v>
      </c>
      <c r="K216" s="18">
        <f>IFERROR(IF($I216="KM",ROUND((_xlfn.MAXIFS(tblLecturas[Kilometraje],tblLecturas[Codigo],$A216)-_xlfn.MINIFS(tblLecturas[Kilometraje],tblLecturas[Codigo],$A216))/(MAX(1,_xlfn.MAXIFS(tblLecturas[Fecha],tblLecturas[Codigo],$A216)-_xlfn.MINIFS(tblLecturas[Fecha],tblLecturas[Codigo],$A216))),1),ROUND((_xlfn.MAXIFS(tblLecturas[Horometro],tblLecturas[Codigo],$A216)-_xlfn.MINIFS(tblLecturas[Horometro],tblLecturas[Codigo],$A216))/(MAX(1,_xlfn.MAXIFS(tblLecturas[Fecha],tblLecturas[Codigo],$A216)-_xlfn.MINIFS(tblLecturas[Fecha],tblLecturas[Codigo],$A216))),1)),"")</f>
        <v>1.8</v>
      </c>
      <c r="L216" s="20">
        <f>IFERROR(_xlfn.MAXIFS(tblLecturas[Fecha],tblLecturas[Codigo],$A216),"")</f>
        <v>46112</v>
      </c>
      <c r="M216" s="26">
        <f>IFERROR(_xlfn.MAXIFS(Lecturas!$C:$C,Lecturas!$B:$B,$A216,Lecturas!$C:$C,"&gt;0"),"")</f>
        <v>14925</v>
      </c>
      <c r="N216" s="78">
        <f>IFERROR(_xlfn.MAXIFS(tblLecturas[Kilometraje],tblLecturas[Codigo],$A216,tblLecturas[Kilometraje],"&gt;0"),"")</f>
        <v>0</v>
      </c>
      <c r="O216" s="78" cm="1">
        <f t="array" ref="O216">IFERROR(IF($I216="KM",LOOKUP(2,1/(Lecturas!$B:$B=$A216)/(Lecturas!$D:$D&gt;0),Lecturas!$D:$D),LOOKUP(2,1/(Lecturas!$B:$B=$A216)/(Lecturas!$C:$C&gt;0),Lecturas!$C:$C)),"")</f>
        <v>11631</v>
      </c>
      <c r="P216" s="20">
        <f>IFERROR(_xlfn.MAXIFS(tblMantenciones[Fecha],tblMantenciones[Codigo],tblMaestroEquipos[[#This Row],[Codigo]],tblMantenciones[EsPM],"Sí"),"")</f>
        <v>0</v>
      </c>
      <c r="Q216" s="78" t="str">
        <f>IF(_xlfn.MAXIFS(Mantenciones!$D:$D,Mantenciones!$B:$B,A216)=0,"Sin datos de mantención registrado",_xlfn.MAXIFS(Mantenciones!$D:$D,Mantenciones!$B:$B,A216))</f>
        <v>Sin datos de mantención registrado</v>
      </c>
      <c r="R216" s="18" t="str">
        <f>IFERROR(IF(_xlfn.MAXIFS(Mantenciones!$D:$D,Mantenciones!$B:$B,$A216,Mantenciones!$E:$E,"Sí",Mantenciones!$D:$D,"&gt;0")=0,"Sin datos de mantención registrado",_xlfn.MAXIFS(Mantenciones!$D:$D,Mantenciones!$B:$B,$A216,Mantenciones!$E:$E,"Sí",Mantenciones!$D:$D,"&gt;0")),"Sin datos de mantención registrado")</f>
        <v>Sin datos de mantención registrado</v>
      </c>
      <c r="S216" s="21">
        <f>IFERROR(SUMIFS(tblMantenciones[Costo Mantencion CLP],tblMantenciones[Codigo],A216),0)</f>
        <v>0</v>
      </c>
      <c r="T216" s="21">
        <f>IFERROR(SUMIFS(tblComprasPM[Costo PM CLP],tblComprasPM[Codigo],tblMaestroEquipos[[#This Row],[Codigo]]),0)</f>
        <v>763402.85</v>
      </c>
      <c r="U216" s="21">
        <f>IFERROR(tblMaestroEquipos[[#This Row],[Costo Mantenciones CLP]]+tblMaestroEquipos[[#This Row],[Costo Compras PM CLP]],0)</f>
        <v>763402.85</v>
      </c>
      <c r="V216" s="18" t="str">
        <f>IFERROR(_xlfn.XLOOKUP(tblMaestroEquipos[[#This Row],[Codigo]],tblEquipos[Codigo],tblEquipos[Estado Base]),"")</f>
        <v>Operativo</v>
      </c>
      <c r="W216" s="18" t="str">
        <f t="shared" si="26"/>
        <v>POR RECIBIR</v>
      </c>
      <c r="X216" s="18" t="str">
        <f t="shared" si="27"/>
        <v/>
      </c>
      <c r="Y21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16" s="25">
        <f>IFERROR(IF(_xlfn.MINIFS(tblComprasPM[Fecha],tblComprasPM[Codigo],tblMaestroEquipos[[#This Row],[Codigo]])=0,"",_xlfn.MINIFS(tblComprasPM[Fecha],tblComprasPM[Codigo],tblMaestroEquipos[[#This Row],[Codigo]])),"")</f>
        <v>46080.468502974501</v>
      </c>
      <c r="AA216" s="25">
        <f>IFERROR(IF(_xlfn.MAXIFS(tblBodega[Fecha],tblBodega[Codigo],tblMaestroEquipos[[#This Row],[Codigo]])=0,"",_xlfn.MAXIFS(tblBodega[Fecha],tblBodega[Codigo],tblMaestroEquipos[[#This Row],[Codigo]])),"")</f>
        <v>46087</v>
      </c>
      <c r="AB21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65</v>
      </c>
      <c r="AC21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58</v>
      </c>
      <c r="AD21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16" s="51" t="str">
        <f t="shared" si="25"/>
        <v>OPERATIVO</v>
      </c>
      <c r="AF216" s="18" t="str">
        <f t="shared" si="28"/>
        <v>BAJA</v>
      </c>
      <c r="AG216" s="18" t="str">
        <f t="shared" si="29"/>
        <v>Monitorear próximo vencimiento</v>
      </c>
      <c r="AH216">
        <f t="shared" si="30"/>
        <v>0</v>
      </c>
      <c r="AI216" t="str">
        <f t="shared" si="31"/>
        <v/>
      </c>
      <c r="AJ216" s="24">
        <f t="shared" si="32"/>
        <v>3</v>
      </c>
    </row>
    <row r="217" spans="1:36">
      <c r="A217" s="18" t="s">
        <v>354</v>
      </c>
      <c r="B217" s="18" t="s">
        <v>269</v>
      </c>
      <c r="C217" s="18" t="s">
        <v>1070</v>
      </c>
      <c r="D217" s="18" t="s">
        <v>270</v>
      </c>
      <c r="E217" s="19" t="s">
        <v>271</v>
      </c>
      <c r="F217" s="18">
        <v>2015</v>
      </c>
      <c r="G217" s="18" t="str" cm="1">
        <f t="array" ref="G217">IFERROR(INDEX(Lecturas!$E$4:$E$3549,MATCH(1,(Lecturas!$B$4:$B$3549=$A217)*(Lecturas!$E$4:$E$3549&lt;&gt;"")*(Lecturas!$A$4:$A$3549=_xlfn.MAXIFS(Lecturas!$A$4:$A$3549,Lecturas!$B$4:$B$3549,$A217,Lecturas!$E$4:$E$3549,"&lt;&gt;")),0)),"")</f>
        <v>Cobquecura</v>
      </c>
      <c r="H217" s="18" t="s">
        <v>355</v>
      </c>
      <c r="I217" s="18" t="s">
        <v>18</v>
      </c>
      <c r="J217" s="18">
        <v>250</v>
      </c>
      <c r="K217" s="18">
        <f>IFERROR(IF($I217="KM",ROUND((_xlfn.MAXIFS(tblLecturas[Kilometraje],tblLecturas[Codigo],$A217)-_xlfn.MINIFS(tblLecturas[Kilometraje],tblLecturas[Codigo],$A217))/(MAX(1,_xlfn.MAXIFS(tblLecturas[Fecha],tblLecturas[Codigo],$A217)-_xlfn.MINIFS(tblLecturas[Fecha],tblLecturas[Codigo],$A217))),1),ROUND((_xlfn.MAXIFS(tblLecturas[Horometro],tblLecturas[Codigo],$A217)-_xlfn.MINIFS(tblLecturas[Horometro],tblLecturas[Codigo],$A217))/(MAX(1,_xlfn.MAXIFS(tblLecturas[Fecha],tblLecturas[Codigo],$A217)-_xlfn.MINIFS(tblLecturas[Fecha],tblLecturas[Codigo],$A217))),1)),"")</f>
        <v>10.8</v>
      </c>
      <c r="L217" s="20">
        <f>IFERROR(_xlfn.MAXIFS(tblLecturas[Fecha],tblLecturas[Codigo],$A217),"")</f>
        <v>46136</v>
      </c>
      <c r="M217" s="26">
        <f>IFERROR(_xlfn.MAXIFS(Lecturas!$C:$C,Lecturas!$B:$B,$A217,Lecturas!$C:$C,"&gt;0"),"")</f>
        <v>8293</v>
      </c>
      <c r="N217" s="78">
        <f>IFERROR(_xlfn.MAXIFS(tblLecturas[Kilometraje],tblLecturas[Codigo],$A217,tblLecturas[Kilometraje],"&gt;0"),"")</f>
        <v>0</v>
      </c>
      <c r="O217" s="78" cm="1">
        <f t="array" ref="O217">IFERROR(IF($I217="KM",LOOKUP(2,1/(Lecturas!$B:$B=$A217)/(Lecturas!$D:$D&gt;0),Lecturas!$D:$D),LOOKUP(2,1/(Lecturas!$B:$B=$A217)/(Lecturas!$C:$C&gt;0),Lecturas!$C:$C)),"")</f>
        <v>7120</v>
      </c>
      <c r="P217" s="20">
        <f>IFERROR(_xlfn.MAXIFS(tblMantenciones[Fecha],tblMantenciones[Codigo],tblMaestroEquipos[[#This Row],[Codigo]],tblMantenciones[EsPM],"Sí"),"")</f>
        <v>46133</v>
      </c>
      <c r="Q217" s="78">
        <f>IF(_xlfn.MAXIFS(Mantenciones!$D:$D,Mantenciones!$B:$B,A217)=0,"Sin datos de mantención registrado",_xlfn.MAXIFS(Mantenciones!$D:$D,Mantenciones!$B:$B,A217))</f>
        <v>7113</v>
      </c>
      <c r="R217" s="18">
        <f>IFERROR(IF(_xlfn.MAXIFS(Mantenciones!$D:$D,Mantenciones!$B:$B,$A217,Mantenciones!$E:$E,"Sí",Mantenciones!$D:$D,"&gt;0")=0,"Sin datos de mantención registrado",_xlfn.MAXIFS(Mantenciones!$D:$D,Mantenciones!$B:$B,$A217,Mantenciones!$E:$E,"Sí",Mantenciones!$D:$D,"&gt;0")),"Sin datos de mantención registrado")</f>
        <v>7113</v>
      </c>
      <c r="S217" s="21">
        <f>IFERROR(SUMIFS(tblMantenciones[Costo Mantencion CLP],tblMantenciones[Codigo],A217),0)</f>
        <v>0</v>
      </c>
      <c r="T217" s="21">
        <f>IFERROR(SUMIFS(tblComprasPM[Costo PM CLP],tblComprasPM[Codigo],tblMaestroEquipos[[#This Row],[Codigo]]),0)</f>
        <v>0</v>
      </c>
      <c r="U217" s="21">
        <f>IFERROR(tblMaestroEquipos[[#This Row],[Costo Mantenciones CLP]]+tblMaestroEquipos[[#This Row],[Costo Compras PM CLP]],0)</f>
        <v>0</v>
      </c>
      <c r="V217" s="18" t="str">
        <f>IFERROR(_xlfn.XLOOKUP(tblMaestroEquipos[[#This Row],[Codigo]],tblEquipos[Codigo],tblEquipos[Estado Base]),"")</f>
        <v>Operativo</v>
      </c>
      <c r="W217" s="18" t="str">
        <f t="shared" si="26"/>
        <v>AL DÍA</v>
      </c>
      <c r="X217" s="18">
        <f t="shared" si="27"/>
        <v>243</v>
      </c>
      <c r="Y217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46379</v>
      </c>
      <c r="Z21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17" s="25">
        <f>IFERROR(IF(_xlfn.MAXIFS(tblBodega[Fecha],tblBodega[Codigo],tblMaestroEquipos[[#This Row],[Codigo]])=0,"",_xlfn.MAXIFS(tblBodega[Fecha],tblBodega[Codigo],tblMaestroEquipos[[#This Row],[Codigo]])),"")</f>
        <v>46133</v>
      </c>
      <c r="AB21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17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21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217" s="51" t="str">
        <f t="shared" si="25"/>
        <v>OPERATIVO</v>
      </c>
      <c r="AF217" s="18" t="str">
        <f t="shared" si="28"/>
        <v>BAJA</v>
      </c>
      <c r="AG217" s="18" t="str">
        <f t="shared" si="29"/>
        <v>Monitorear próximo vencimiento</v>
      </c>
      <c r="AH217">
        <f t="shared" si="30"/>
        <v>0</v>
      </c>
      <c r="AI217" t="str">
        <f t="shared" si="31"/>
        <v/>
      </c>
      <c r="AJ217" s="24">
        <f t="shared" si="32"/>
        <v>99</v>
      </c>
    </row>
    <row r="218" spans="1:36">
      <c r="A218" s="18" t="s">
        <v>440</v>
      </c>
      <c r="B218" s="18" t="s">
        <v>340</v>
      </c>
      <c r="C218" s="18" t="s">
        <v>1070</v>
      </c>
      <c r="D218" s="18" t="s">
        <v>260</v>
      </c>
      <c r="E218" s="19" t="s">
        <v>441</v>
      </c>
      <c r="F218" s="18">
        <v>2023</v>
      </c>
      <c r="G218" s="18" t="str" cm="1">
        <f t="array" ref="G218">IFERROR(INDEX(Lecturas!$E$4:$E$3549,MATCH(1,(Lecturas!$B$4:$B$3549=$A218)*(Lecturas!$E$4:$E$3549&lt;&gt;"")*(Lecturas!$A$4:$A$3549=_xlfn.MAXIFS(Lecturas!$A$4:$A$3549,Lecturas!$B$4:$B$3549,$A218,Lecturas!$E$4:$E$3549,"&lt;&gt;")),0)),"")</f>
        <v/>
      </c>
      <c r="H218" s="18" t="s">
        <v>442</v>
      </c>
      <c r="I218" s="18" t="s">
        <v>18</v>
      </c>
      <c r="J218" s="18">
        <v>250</v>
      </c>
      <c r="K218" s="18">
        <f>IFERROR(IF($I218="KM",ROUND((_xlfn.MAXIFS(tblLecturas[Kilometraje],tblLecturas[Codigo],$A218)-_xlfn.MINIFS(tblLecturas[Kilometraje],tblLecturas[Codigo],$A218))/(MAX(1,_xlfn.MAXIFS(tblLecturas[Fecha],tblLecturas[Codigo],$A218)-_xlfn.MINIFS(tblLecturas[Fecha],tblLecturas[Codigo],$A218))),1),ROUND((_xlfn.MAXIFS(tblLecturas[Horometro],tblLecturas[Codigo],$A218)-_xlfn.MINIFS(tblLecturas[Horometro],tblLecturas[Codigo],$A218))/(MAX(1,_xlfn.MAXIFS(tblLecturas[Fecha],tblLecturas[Codigo],$A218)-_xlfn.MINIFS(tblLecturas[Fecha],tblLecturas[Codigo],$A218))),1)),"")</f>
        <v>2.8</v>
      </c>
      <c r="L218" s="20">
        <f>IFERROR(_xlfn.MAXIFS(tblLecturas[Fecha],tblLecturas[Codigo],$A218),"")</f>
        <v>46107</v>
      </c>
      <c r="M218" s="26">
        <f>IFERROR(_xlfn.MAXIFS(Lecturas!$C:$C,Lecturas!$B:$B,$A218,Lecturas!$C:$C,"&gt;0"),"")</f>
        <v>2054</v>
      </c>
      <c r="N218" s="78">
        <f>IFERROR(_xlfn.MAXIFS(tblLecturas[Kilometraje],tblLecturas[Codigo],$A218,tblLecturas[Kilometraje],"&gt;0"),"")</f>
        <v>0</v>
      </c>
      <c r="O218" s="78" cm="1">
        <f t="array" ref="O218">IFERROR(IF($I218="KM",LOOKUP(2,1/(Lecturas!$B:$B=$A218)/(Lecturas!$D:$D&gt;0),Lecturas!$D:$D),LOOKUP(2,1/(Lecturas!$B:$B=$A218)/(Lecturas!$C:$C&gt;0),Lecturas!$C:$C)),"")</f>
        <v>2054</v>
      </c>
      <c r="P218" s="20">
        <f>IFERROR(_xlfn.MAXIFS(tblMantenciones[Fecha],tblMantenciones[Codigo],tblMaestroEquipos[[#This Row],[Codigo]],tblMantenciones[EsPM],"Sí"),"")</f>
        <v>0</v>
      </c>
      <c r="Q218" s="78" t="str">
        <f>IF(_xlfn.MAXIFS(Mantenciones!$D:$D,Mantenciones!$B:$B,A218)=0,"Sin datos de mantención registrado",_xlfn.MAXIFS(Mantenciones!$D:$D,Mantenciones!$B:$B,A218))</f>
        <v>Sin datos de mantención registrado</v>
      </c>
      <c r="R218" s="18" t="str">
        <f>IFERROR(IF(_xlfn.MAXIFS(Mantenciones!$D:$D,Mantenciones!$B:$B,$A218,Mantenciones!$E:$E,"Sí",Mantenciones!$D:$D,"&gt;0")=0,"Sin datos de mantención registrado",_xlfn.MAXIFS(Mantenciones!$D:$D,Mantenciones!$B:$B,$A218,Mantenciones!$E:$E,"Sí",Mantenciones!$D:$D,"&gt;0")),"Sin datos de mantención registrado")</f>
        <v>Sin datos de mantención registrado</v>
      </c>
      <c r="S218" s="21">
        <f>IFERROR(SUMIFS(tblMantenciones[Costo Mantencion CLP],tblMantenciones[Codigo],A218),0)</f>
        <v>0</v>
      </c>
      <c r="T218" s="21">
        <f>IFERROR(SUMIFS(tblComprasPM[Costo PM CLP],tblComprasPM[Codigo],tblMaestroEquipos[[#This Row],[Codigo]]),0)</f>
        <v>0</v>
      </c>
      <c r="U218" s="21">
        <f>IFERROR(tblMaestroEquipos[[#This Row],[Costo Mantenciones CLP]]+tblMaestroEquipos[[#This Row],[Costo Compras PM CLP]],0)</f>
        <v>0</v>
      </c>
      <c r="V218" s="18" t="str">
        <f>IFERROR(_xlfn.XLOOKUP(tblMaestroEquipos[[#This Row],[Codigo]],tblEquipos[Codigo],tblEquipos[Estado Base]),"")</f>
        <v>Operativo</v>
      </c>
      <c r="W218" s="18" t="str">
        <f t="shared" si="26"/>
        <v>EN PROCESO</v>
      </c>
      <c r="X218" s="18" t="str">
        <f t="shared" si="27"/>
        <v/>
      </c>
      <c r="Y21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18" s="25">
        <f>IFERROR(IF(_xlfn.MINIFS(tblComprasPM[Fecha],tblComprasPM[Codigo],tblMaestroEquipos[[#This Row],[Codigo]])=0,"",_xlfn.MINIFS(tblComprasPM[Fecha],tblComprasPM[Codigo],tblMaestroEquipos[[#This Row],[Codigo]])),"")</f>
        <v>46106</v>
      </c>
      <c r="AA218" s="25" t="str">
        <f>IFERROR(IF(_xlfn.MAXIFS(tblBodega[Fecha],tblBodega[Codigo],tblMaestroEquipos[[#This Row],[Codigo]])=0,"",_xlfn.MAXIFS(tblBodega[Fecha],tblBodega[Codigo],tblMaestroEquipos[[#This Row],[Codigo]])),"")</f>
        <v/>
      </c>
      <c r="AB21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39</v>
      </c>
      <c r="AC21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1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18" s="51" t="str">
        <f t="shared" si="25"/>
        <v>EN PROCESO</v>
      </c>
      <c r="AF218" s="18" t="str">
        <f t="shared" si="28"/>
        <v>SEGUIMIENTO</v>
      </c>
      <c r="AG218" s="18" t="str">
        <f t="shared" si="29"/>
        <v>Hacer seguimiento al taller y cerrar report</v>
      </c>
      <c r="AH218">
        <f t="shared" si="30"/>
        <v>0</v>
      </c>
      <c r="AI218" t="str">
        <f t="shared" si="31"/>
        <v/>
      </c>
      <c r="AJ218" s="24">
        <f t="shared" si="32"/>
        <v>2</v>
      </c>
    </row>
    <row r="219" spans="1:36">
      <c r="A219" s="18" t="s">
        <v>626</v>
      </c>
      <c r="B219" s="18" t="s">
        <v>459</v>
      </c>
      <c r="C219" s="18" t="s">
        <v>1074</v>
      </c>
      <c r="D219" s="18" t="s">
        <v>99</v>
      </c>
      <c r="E219" s="19" t="s">
        <v>566</v>
      </c>
      <c r="F219" s="18">
        <v>2023</v>
      </c>
      <c r="G219" s="18" t="str" cm="1">
        <f t="array" ref="G219">IFERROR(INDEX(Lecturas!$E$4:$E$3549,MATCH(1,(Lecturas!$B$4:$B$3549=$A219)*(Lecturas!$E$4:$E$3549&lt;&gt;"")*(Lecturas!$A$4:$A$3549=_xlfn.MAXIFS(Lecturas!$A$4:$A$3549,Lecturas!$B$4:$B$3549,$A219,Lecturas!$E$4:$E$3549,"&lt;&gt;")),0)),"")</f>
        <v/>
      </c>
      <c r="H219" s="18" t="s">
        <v>627</v>
      </c>
      <c r="I219" s="18" t="s">
        <v>462</v>
      </c>
      <c r="J219" s="18">
        <v>15000</v>
      </c>
      <c r="K219" s="18">
        <f>IFERROR(IF($I219="KM",ROUND((_xlfn.MAXIFS(tblLecturas[Kilometraje],tblLecturas[Codigo],$A219)-_xlfn.MINIFS(tblLecturas[Kilometraje],tblLecturas[Codigo],$A219))/(MAX(1,_xlfn.MAXIFS(tblLecturas[Fecha],tblLecturas[Codigo],$A219)-_xlfn.MINIFS(tblLecturas[Fecha],tblLecturas[Codigo],$A219))),1),ROUND((_xlfn.MAXIFS(tblLecturas[Horometro],tblLecturas[Codigo],$A219)-_xlfn.MINIFS(tblLecturas[Horometro],tblLecturas[Codigo],$A219))/(MAX(1,_xlfn.MAXIFS(tblLecturas[Fecha],tblLecturas[Codigo],$A219)-_xlfn.MINIFS(tblLecturas[Fecha],tblLecturas[Codigo],$A219))),1)),"")</f>
        <v>148.6</v>
      </c>
      <c r="L219" s="20">
        <f>IFERROR(_xlfn.MAXIFS(tblLecturas[Fecha],tblLecturas[Codigo],$A219),"")</f>
        <v>46107</v>
      </c>
      <c r="M219" s="26">
        <f>IFERROR(_xlfn.MAXIFS(Lecturas!$C:$C,Lecturas!$B:$B,$A219,Lecturas!$C:$C,"&gt;0"),"")</f>
        <v>0</v>
      </c>
      <c r="N219" s="78">
        <f>IFERROR(_xlfn.MAXIFS(tblLecturas[Kilometraje],tblLecturas[Codigo],$A219,tblLecturas[Kilometraje],"&gt;0"),"")</f>
        <v>110977</v>
      </c>
      <c r="O219" s="78" cm="1">
        <f t="array" ref="O219">IFERROR(IF($I219="KM",LOOKUP(2,1/(Lecturas!$B:$B=$A219)/(Lecturas!$D:$D&gt;0),Lecturas!$D:$D),LOOKUP(2,1/(Lecturas!$B:$B=$A219)/(Lecturas!$C:$C&gt;0),Lecturas!$C:$C)),"")</f>
        <v>110977</v>
      </c>
      <c r="P219" s="20">
        <f>IFERROR(_xlfn.MAXIFS(tblMantenciones[Fecha],tblMantenciones[Codigo],tblMaestroEquipos[[#This Row],[Codigo]],tblMantenciones[EsPM],"Sí"),"")</f>
        <v>0</v>
      </c>
      <c r="Q219" s="78" t="str">
        <f>IF(_xlfn.MAXIFS(Mantenciones!$D:$D,Mantenciones!$B:$B,A219)=0,"Sin datos de mantención registrado",_xlfn.MAXIFS(Mantenciones!$D:$D,Mantenciones!$B:$B,A219))</f>
        <v>Sin datos de mantención registrado</v>
      </c>
      <c r="R219" s="18" t="str">
        <f>IFERROR(IF(_xlfn.MAXIFS(Mantenciones!$D:$D,Mantenciones!$B:$B,$A219,Mantenciones!$E:$E,"Sí",Mantenciones!$D:$D,"&gt;0")=0,"Sin datos de mantención registrado",_xlfn.MAXIFS(Mantenciones!$D:$D,Mantenciones!$B:$B,$A219,Mantenciones!$E:$E,"Sí",Mantenciones!$D:$D,"&gt;0")),"Sin datos de mantención registrado")</f>
        <v>Sin datos de mantención registrado</v>
      </c>
      <c r="S219" s="21">
        <f>IFERROR(SUMIFS(tblMantenciones[Costo Mantencion CLP],tblMantenciones[Codigo],tblMaestroEquipos[[#This Row],[Codigo]]),0)</f>
        <v>0</v>
      </c>
      <c r="T219" s="21">
        <f>IFERROR(SUMIFS(tblComprasPM[Costo PM CLP],tblComprasPM[Codigo],tblMaestroEquipos[[#This Row],[Codigo]]),0)</f>
        <v>24499.97</v>
      </c>
      <c r="U219" s="21">
        <f>IFERROR(tblMaestroEquipos[[#This Row],[Costo Mantenciones CLP]]+tblMaestroEquipos[[#This Row],[Costo Compras PM CLP]],0)</f>
        <v>24499.97</v>
      </c>
      <c r="V219" s="18" t="str">
        <f>IFERROR(_xlfn.XLOOKUP(tblMaestroEquipos[[#This Row],[Codigo]],tblEquipos[Codigo],tblEquipos[Estado Base]),"")</f>
        <v>Operativo</v>
      </c>
      <c r="W219" s="18" t="str">
        <f t="shared" si="26"/>
        <v>EN PROCESO</v>
      </c>
      <c r="X219" s="18" t="str">
        <f t="shared" si="27"/>
        <v/>
      </c>
      <c r="Y21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19" s="25">
        <f>IFERROR(IF(_xlfn.MINIFS(tblComprasPM[Fecha],tblComprasPM[Codigo],tblMaestroEquipos[[#This Row],[Codigo]])=0,"",_xlfn.MINIFS(tblComprasPM[Fecha],tblComprasPM[Codigo],tblMaestroEquipos[[#This Row],[Codigo]])),"")</f>
        <v>46127</v>
      </c>
      <c r="AA219" s="25" t="str">
        <f>IFERROR(IF(_xlfn.MAXIFS(tblBodega[Fecha],tblBodega[Codigo],tblMaestroEquipos[[#This Row],[Codigo]])=0,"",_xlfn.MAXIFS(tblBodega[Fecha],tblBodega[Codigo],tblMaestroEquipos[[#This Row],[Codigo]])),"")</f>
        <v/>
      </c>
      <c r="AB21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18</v>
      </c>
      <c r="AC21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1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19" s="51" t="str">
        <f t="shared" si="25"/>
        <v>EN PROCESO</v>
      </c>
      <c r="AF219" s="18" t="str">
        <f t="shared" si="28"/>
        <v>SEGUIMIENTO</v>
      </c>
      <c r="AG219" s="18" t="str">
        <f t="shared" si="29"/>
        <v>Hacer seguimiento al taller y cerrar report</v>
      </c>
      <c r="AH219">
        <f t="shared" si="30"/>
        <v>0</v>
      </c>
      <c r="AI219" t="str">
        <f t="shared" si="31"/>
        <v/>
      </c>
      <c r="AJ219" s="24">
        <f t="shared" si="32"/>
        <v>2</v>
      </c>
    </row>
    <row r="220" spans="1:36">
      <c r="A220" s="18" t="s">
        <v>496</v>
      </c>
      <c r="B220" s="18" t="s">
        <v>459</v>
      </c>
      <c r="C220" s="18" t="s">
        <v>1074</v>
      </c>
      <c r="D220" s="18" t="s">
        <v>466</v>
      </c>
      <c r="E220" s="19" t="s">
        <v>497</v>
      </c>
      <c r="F220" s="18">
        <v>2024</v>
      </c>
      <c r="G220" s="18" t="str" cm="1">
        <f t="array" ref="G220">IFERROR(INDEX(Lecturas!$E$4:$E$3549,MATCH(1,(Lecturas!$B$4:$B$3549=$A220)*(Lecturas!$E$4:$E$3549&lt;&gt;"")*(Lecturas!$A$4:$A$3549=_xlfn.MAXIFS(Lecturas!$A$4:$A$3549,Lecturas!$B$4:$B$3549,$A220,Lecturas!$E$4:$E$3549,"&lt;&gt;")),0)),"")</f>
        <v>Quirihue</v>
      </c>
      <c r="H220" s="18" t="s">
        <v>498</v>
      </c>
      <c r="I220" s="18" t="s">
        <v>462</v>
      </c>
      <c r="J220" s="18">
        <v>15000</v>
      </c>
      <c r="K220" s="18">
        <f>IFERROR(IF($I220="KM",ROUND((_xlfn.MAXIFS(tblLecturas[Kilometraje],tblLecturas[Codigo],$A220)-_xlfn.MINIFS(tblLecturas[Kilometraje],tblLecturas[Codigo],$A220))/(MAX(1,_xlfn.MAXIFS(tblLecturas[Fecha],tblLecturas[Codigo],$A220)-_xlfn.MINIFS(tblLecturas[Fecha],tblLecturas[Codigo],$A220))),1),ROUND((_xlfn.MAXIFS(tblLecturas[Horometro],tblLecturas[Codigo],$A220)-_xlfn.MINIFS(tblLecturas[Horometro],tblLecturas[Codigo],$A220))/(MAX(1,_xlfn.MAXIFS(tblLecturas[Fecha],tblLecturas[Codigo],$A220)-_xlfn.MINIFS(tblLecturas[Fecha],tblLecturas[Codigo],$A220))),1)),"")</f>
        <v>139.80000000000001</v>
      </c>
      <c r="L220" s="20">
        <f>IFERROR(_xlfn.MAXIFS(tblLecturas[Fecha],tblLecturas[Codigo],$A220),"")</f>
        <v>46136</v>
      </c>
      <c r="M220" s="26">
        <f>IFERROR(_xlfn.MAXIFS(Lecturas!$C:$C,Lecturas!$B:$B,$A220,Lecturas!$C:$C,"&gt;0"),"")</f>
        <v>0</v>
      </c>
      <c r="N220" s="78">
        <f>IFERROR(_xlfn.MAXIFS(tblLecturas[Kilometraje],tblLecturas[Codigo],$A220,tblLecturas[Kilometraje],"&gt;0"),"")</f>
        <v>122790</v>
      </c>
      <c r="O220" s="78" cm="1">
        <f t="array" ref="O220">IFERROR(IF($I220="KM",LOOKUP(2,1/(Lecturas!$B:$B=$A220)/(Lecturas!$D:$D&gt;0),Lecturas!$D:$D),LOOKUP(2,1/(Lecturas!$B:$B=$A220)/(Lecturas!$C:$C&gt;0),Lecturas!$C:$C)),"")</f>
        <v>122790</v>
      </c>
      <c r="P220" s="20">
        <f>IFERROR(_xlfn.MAXIFS(tblMantenciones[Fecha],tblMantenciones[Codigo],tblMaestroEquipos[[#This Row],[Codigo]],tblMantenciones[EsPM],"Sí"),"")</f>
        <v>0</v>
      </c>
      <c r="Q220" s="78" t="str">
        <f>IF(_xlfn.MAXIFS(Mantenciones!$D:$D,Mantenciones!$B:$B,A220)=0,"Sin datos de mantención registrado",_xlfn.MAXIFS(Mantenciones!$D:$D,Mantenciones!$B:$B,A220))</f>
        <v>Sin datos de mantención registrado</v>
      </c>
      <c r="R220" s="18" t="str">
        <f>IFERROR(IF(_xlfn.MAXIFS(Mantenciones!$D:$D,Mantenciones!$B:$B,$A220,Mantenciones!$E:$E,"Sí",Mantenciones!$D:$D,"&gt;0")=0,"Sin datos de mantención registrado",_xlfn.MAXIFS(Mantenciones!$D:$D,Mantenciones!$B:$B,$A220,Mantenciones!$E:$E,"Sí",Mantenciones!$D:$D,"&gt;0")),"Sin datos de mantención registrado")</f>
        <v>Sin datos de mantención registrado</v>
      </c>
      <c r="S220" s="21">
        <f>IFERROR(SUMIFS(tblMantenciones[Costo Mantencion CLP],tblMantenciones[Codigo],A220),0)</f>
        <v>0</v>
      </c>
      <c r="T220" s="21">
        <f>IFERROR(SUMIFS(tblComprasPM[Costo PM CLP],tblComprasPM[Codigo],tblMaestroEquipos[[#This Row],[Codigo]]),0)</f>
        <v>0</v>
      </c>
      <c r="U220" s="21">
        <f>IFERROR(tblMaestroEquipos[[#This Row],[Costo Mantenciones CLP]]+tblMaestroEquipos[[#This Row],[Costo Compras PM CLP]],0)</f>
        <v>0</v>
      </c>
      <c r="V220" s="18" t="str">
        <f>IFERROR(_xlfn.XLOOKUP(tblMaestroEquipos[[#This Row],[Codigo]],tblEquipos[Codigo],tblEquipos[Estado Base]),"")</f>
        <v>Operativo</v>
      </c>
      <c r="W220" s="18" t="str">
        <f t="shared" si="26"/>
        <v>POR RECIBIR</v>
      </c>
      <c r="X220" s="18" t="str">
        <f t="shared" si="27"/>
        <v/>
      </c>
      <c r="Y22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2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20" s="25">
        <f>IFERROR(IF(_xlfn.MAXIFS(tblBodega[Fecha],tblBodega[Codigo],tblMaestroEquipos[[#This Row],[Codigo]])=0,"",_xlfn.MAXIFS(tblBodega[Fecha],tblBodega[Codigo],tblMaestroEquipos[[#This Row],[Codigo]])),"")</f>
        <v>46085</v>
      </c>
      <c r="AB22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20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60</v>
      </c>
      <c r="AD22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20" s="51" t="str">
        <f t="shared" si="25"/>
        <v>OPERATIVO</v>
      </c>
      <c r="AF220" s="18" t="str">
        <f t="shared" si="28"/>
        <v>BAJA</v>
      </c>
      <c r="AG220" s="18" t="str">
        <f t="shared" si="29"/>
        <v>Monitorear próximo vencimiento</v>
      </c>
      <c r="AH220">
        <f t="shared" si="30"/>
        <v>0</v>
      </c>
      <c r="AI220" t="str">
        <f t="shared" si="31"/>
        <v/>
      </c>
      <c r="AJ220" s="24">
        <f t="shared" si="32"/>
        <v>3</v>
      </c>
    </row>
    <row r="221" spans="1:36" s="27" customFormat="1">
      <c r="A221" s="18" t="s">
        <v>581</v>
      </c>
      <c r="B221" s="18" t="s">
        <v>459</v>
      </c>
      <c r="C221" s="18" t="s">
        <v>1074</v>
      </c>
      <c r="D221" s="18" t="s">
        <v>99</v>
      </c>
      <c r="E221" s="19" t="s">
        <v>580</v>
      </c>
      <c r="F221" s="18">
        <v>2021</v>
      </c>
      <c r="G221" s="18" t="str" cm="1">
        <f t="array" ref="G221">IFERROR(INDEX(Lecturas!$E$4:$E$3549,MATCH(1,(Lecturas!$B$4:$B$3549=$A221)*(Lecturas!$E$4:$E$3549&lt;&gt;"")*(Lecturas!$A$4:$A$3549=_xlfn.MAXIFS(Lecturas!$A$4:$A$3549,Lecturas!$B$4:$B$3549,$A221,Lecturas!$E$4:$E$3549,"&lt;&gt;")),0)),"")</f>
        <v/>
      </c>
      <c r="H221" s="18" t="s">
        <v>57</v>
      </c>
      <c r="I221" s="18" t="s">
        <v>462</v>
      </c>
      <c r="J221" s="18">
        <v>15000</v>
      </c>
      <c r="K221" s="18">
        <f>IFERROR(IF($I221="KM",ROUND((_xlfn.MAXIFS(tblLecturas[Kilometraje],tblLecturas[Codigo],$A221)-_xlfn.MINIFS(tblLecturas[Kilometraje],tblLecturas[Codigo],$A221))/(MAX(1,_xlfn.MAXIFS(tblLecturas[Fecha],tblLecturas[Codigo],$A221)-_xlfn.MINIFS(tblLecturas[Fecha],tblLecturas[Codigo],$A221))),1),ROUND((_xlfn.MAXIFS(tblLecturas[Horometro],tblLecturas[Codigo],$A221)-_xlfn.MINIFS(tblLecturas[Horometro],tblLecturas[Codigo],$A221))/(MAX(1,_xlfn.MAXIFS(tblLecturas[Fecha],tblLecturas[Codigo],$A221)-_xlfn.MINIFS(tblLecturas[Fecha],tblLecturas[Codigo],$A221))),1)),"")</f>
        <v>164.5</v>
      </c>
      <c r="L221" s="20">
        <f>IFERROR(_xlfn.MAXIFS(tblLecturas[Fecha],tblLecturas[Codigo],$A221),"")</f>
        <v>46066</v>
      </c>
      <c r="M221" s="26">
        <f>IFERROR(_xlfn.MAXIFS(Lecturas!$C:$C,Lecturas!$B:$B,$A221,Lecturas!$C:$C,"&gt;0"),"")</f>
        <v>0</v>
      </c>
      <c r="N221" s="78">
        <f>IFERROR(_xlfn.MAXIFS(tblLecturas[Kilometraje],tblLecturas[Codigo],$A221,tblLecturas[Kilometraje],"&gt;0"),"")</f>
        <v>147597</v>
      </c>
      <c r="O221" s="78" cm="1">
        <f t="array" ref="O221">IFERROR(IF($I221="KM",LOOKUP(2,1/(Lecturas!$B:$B=$A221)/(Lecturas!$D:$D&gt;0),Lecturas!$D:$D),LOOKUP(2,1/(Lecturas!$B:$B=$A221)/(Lecturas!$C:$C&gt;0),Lecturas!$C:$C)),"")</f>
        <v>147597</v>
      </c>
      <c r="P221" s="20">
        <f>IFERROR(_xlfn.MAXIFS(tblMantenciones[Fecha],tblMantenciones[Codigo],tblMaestroEquipos[[#This Row],[Codigo]],tblMantenciones[EsPM],"Sí"),"")</f>
        <v>0</v>
      </c>
      <c r="Q221" s="78" t="str">
        <f>IF(_xlfn.MAXIFS(Mantenciones!$D:$D,Mantenciones!$B:$B,A221)=0,"Sin datos de mantención registrado",_xlfn.MAXIFS(Mantenciones!$D:$D,Mantenciones!$B:$B,A221))</f>
        <v>Sin datos de mantención registrado</v>
      </c>
      <c r="R221" s="18" t="str">
        <f>IFERROR(IF(_xlfn.MAXIFS(Mantenciones!$D:$D,Mantenciones!$B:$B,$A221,Mantenciones!$E:$E,"Sí",Mantenciones!$D:$D,"&gt;0")=0,"Sin datos de mantención registrado",_xlfn.MAXIFS(Mantenciones!$D:$D,Mantenciones!$B:$B,$A221,Mantenciones!$E:$E,"Sí",Mantenciones!$D:$D,"&gt;0")),"Sin datos de mantención registrado")</f>
        <v>Sin datos de mantención registrado</v>
      </c>
      <c r="S221" s="21">
        <f>IFERROR(SUMIFS(tblMantenciones[Costo Mantencion CLP],tblMantenciones[Codigo],tblMaestroEquipos[[#This Row],[Codigo]]),0)</f>
        <v>0</v>
      </c>
      <c r="T221" s="21">
        <f>IFERROR(SUMIFS(tblComprasPM[Costo PM CLP],tblComprasPM[Codigo],tblMaestroEquipos[[#This Row],[Codigo]]),0)</f>
        <v>0</v>
      </c>
      <c r="U221" s="21">
        <f>IFERROR(tblMaestroEquipos[[#This Row],[Costo Mantenciones CLP]]+tblMaestroEquipos[[#This Row],[Costo Compras PM CLP]],0)</f>
        <v>0</v>
      </c>
      <c r="V221" s="18" t="str">
        <f>IFERROR(_xlfn.XLOOKUP(tblMaestroEquipos[[#This Row],[Codigo]],tblEquipos[Codigo],tblEquipos[Estado Base]),"")</f>
        <v>Fuera de Servicio</v>
      </c>
      <c r="W221" s="18" t="str">
        <f t="shared" si="26"/>
        <v>FUERA DE SERVICIO</v>
      </c>
      <c r="X221" s="18" t="str">
        <f t="shared" si="27"/>
        <v/>
      </c>
      <c r="Y22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21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21" s="25" t="str">
        <f>IFERROR(IF(_xlfn.MAXIFS(tblBodega[Fecha],tblBodega[Codigo],tblMaestroEquipos[[#This Row],[Codigo]])=0,"",_xlfn.MAXIFS(tblBodega[Fecha],tblBodega[Codigo],tblMaestroEquipos[[#This Row],[Codigo]])),"")</f>
        <v/>
      </c>
      <c r="AB221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2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2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21" s="51" t="str">
        <f t="shared" si="25"/>
        <v>FUERA DE SERVICIO</v>
      </c>
      <c r="AF221" s="18" t="str">
        <f t="shared" si="28"/>
        <v>NO APLICA</v>
      </c>
      <c r="AG221" s="18" t="str">
        <f t="shared" si="29"/>
        <v>No programar compra</v>
      </c>
      <c r="AH221">
        <f t="shared" si="30"/>
        <v>0</v>
      </c>
      <c r="AI221" t="str">
        <f t="shared" si="31"/>
        <v/>
      </c>
      <c r="AJ221" s="24">
        <f t="shared" si="32"/>
        <v>99</v>
      </c>
    </row>
    <row r="222" spans="1:36" s="27" customFormat="1">
      <c r="A222" s="18" t="s">
        <v>182</v>
      </c>
      <c r="B222" s="18" t="s">
        <v>20</v>
      </c>
      <c r="C222" s="18" t="s">
        <v>1069</v>
      </c>
      <c r="D222" s="18" t="s">
        <v>21</v>
      </c>
      <c r="E222" s="19" t="s">
        <v>183</v>
      </c>
      <c r="F222" s="18">
        <v>2018</v>
      </c>
      <c r="G222" s="18" t="str" cm="1">
        <f t="array" ref="G222">IFERROR(INDEX(Lecturas!$E$4:$E$3549,MATCH(1,(Lecturas!$B$4:$B$3549=$A222)*(Lecturas!$E$4:$E$3549&lt;&gt;"")*(Lecturas!$A$4:$A$3549=_xlfn.MAXIFS(Lecturas!$A$4:$A$3549,Lecturas!$B$4:$B$3549,$A222,Lecturas!$E$4:$E$3549,"&lt;&gt;")),0)),"")</f>
        <v>Palmucho</v>
      </c>
      <c r="H222" s="18" t="s">
        <v>24</v>
      </c>
      <c r="I222" s="18" t="s">
        <v>18</v>
      </c>
      <c r="J222" s="18">
        <v>250</v>
      </c>
      <c r="K222" s="18">
        <f>IFERROR(IF($I222="KM",ROUND((_xlfn.MAXIFS(tblLecturas[Kilometraje],tblLecturas[Codigo],$A222)-_xlfn.MINIFS(tblLecturas[Kilometraje],tblLecturas[Codigo],$A222))/(MAX(1,_xlfn.MAXIFS(tblLecturas[Fecha],tblLecturas[Codigo],$A222)-_xlfn.MINIFS(tblLecturas[Fecha],tblLecturas[Codigo],$A222))),1),ROUND((_xlfn.MAXIFS(tblLecturas[Horometro],tblLecturas[Codigo],$A222)-_xlfn.MINIFS(tblLecturas[Horometro],tblLecturas[Codigo],$A222))/(MAX(1,_xlfn.MAXIFS(tblLecturas[Fecha],tblLecturas[Codigo],$A222)-_xlfn.MINIFS(tblLecturas[Fecha],tblLecturas[Codigo],$A222))),1)),"")</f>
        <v>10.199999999999999</v>
      </c>
      <c r="L222" s="20">
        <f>IFERROR(_xlfn.MAXIFS(tblLecturas[Fecha],tblLecturas[Codigo],$A222),"")</f>
        <v>46107</v>
      </c>
      <c r="M222" s="26">
        <f>IFERROR(_xlfn.MAXIFS(Lecturas!$C:$C,Lecturas!$B:$B,$A222,Lecturas!$C:$C,"&gt;0"),"")</f>
        <v>8894</v>
      </c>
      <c r="N222" s="78">
        <f>IFERROR(_xlfn.MAXIFS(tblLecturas[Kilometraje],tblLecturas[Codigo],$A222,tblLecturas[Kilometraje],"&gt;0"),"")</f>
        <v>167802</v>
      </c>
      <c r="O222" s="78" cm="1">
        <f t="array" ref="O222">IFERROR(IF($I222="KM",LOOKUP(2,1/(Lecturas!$B:$B=$A222)/(Lecturas!$D:$D&gt;0),Lecturas!$D:$D),LOOKUP(2,1/(Lecturas!$B:$B=$A222)/(Lecturas!$C:$C&gt;0),Lecturas!$C:$C)),"")</f>
        <v>8894</v>
      </c>
      <c r="P222" s="20">
        <f>IFERROR(_xlfn.MAXIFS(tblMantenciones[Fecha],tblMantenciones[Codigo],tblMaestroEquipos[[#This Row],[Codigo]],tblMantenciones[EsPM],"Sí"),"")</f>
        <v>0</v>
      </c>
      <c r="Q222" s="78" t="str">
        <f>IF(_xlfn.MAXIFS(Mantenciones!$D:$D,Mantenciones!$B:$B,A222)=0,"Sin datos de mantención registrado",_xlfn.MAXIFS(Mantenciones!$D:$D,Mantenciones!$B:$B,A222))</f>
        <v>Sin datos de mantención registrado</v>
      </c>
      <c r="R222" s="18" t="str">
        <f>IFERROR(IF(_xlfn.MAXIFS(Mantenciones!$D:$D,Mantenciones!$B:$B,$A222,Mantenciones!$E:$E,"Sí",Mantenciones!$D:$D,"&gt;0")=0,"Sin datos de mantención registrado",_xlfn.MAXIFS(Mantenciones!$D:$D,Mantenciones!$B:$B,$A222,Mantenciones!$E:$E,"Sí",Mantenciones!$D:$D,"&gt;0")),"Sin datos de mantención registrado")</f>
        <v>Sin datos de mantención registrado</v>
      </c>
      <c r="S222" s="21">
        <f>IFERROR(SUMIFS(tblMantenciones[Costo Mantencion CLP],tblMantenciones[Codigo],A222),0)</f>
        <v>0</v>
      </c>
      <c r="T222" s="21">
        <f>IFERROR(SUMIFS(tblComprasPM[Costo PM CLP],tblComprasPM[Codigo],tblMaestroEquipos[[#This Row],[Codigo]]),0)</f>
        <v>522261.48589999997</v>
      </c>
      <c r="U222" s="21">
        <f>IFERROR(tblMaestroEquipos[[#This Row],[Costo Mantenciones CLP]]+tblMaestroEquipos[[#This Row],[Costo Compras PM CLP]],0)</f>
        <v>522261.48589999997</v>
      </c>
      <c r="V222" s="18" t="str">
        <f>IFERROR(_xlfn.XLOOKUP(tblMaestroEquipos[[#This Row],[Codigo]],tblEquipos[Codigo],tblEquipos[Estado Base]),"")</f>
        <v>Operativo</v>
      </c>
      <c r="W222" s="18" t="str">
        <f t="shared" si="26"/>
        <v>POR RECIBIR</v>
      </c>
      <c r="X222" s="18" t="str">
        <f t="shared" si="27"/>
        <v/>
      </c>
      <c r="Y22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22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222" s="25">
        <f>IFERROR(IF(_xlfn.MAXIFS(tblBodega[Fecha],tblBodega[Codigo],tblMaestroEquipos[[#This Row],[Codigo]])=0,"",_xlfn.MAXIFS(tblBodega[Fecha],tblBodega[Codigo],tblMaestroEquipos[[#This Row],[Codigo]])),"")</f>
        <v>46097</v>
      </c>
      <c r="AB222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76</v>
      </c>
      <c r="AC222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48</v>
      </c>
      <c r="AD22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22" s="51" t="str">
        <f t="shared" si="25"/>
        <v>OPERATIVO</v>
      </c>
      <c r="AF222" s="18" t="str">
        <f t="shared" si="28"/>
        <v>BAJA</v>
      </c>
      <c r="AG222" s="18" t="str">
        <f t="shared" si="29"/>
        <v>Monitorear próximo vencimiento</v>
      </c>
      <c r="AH222">
        <f t="shared" si="30"/>
        <v>0</v>
      </c>
      <c r="AI222" t="str">
        <f t="shared" si="31"/>
        <v/>
      </c>
      <c r="AJ222" s="24">
        <f t="shared" si="32"/>
        <v>3</v>
      </c>
    </row>
    <row r="223" spans="1:36" s="27" customFormat="1">
      <c r="A223" s="18" t="s">
        <v>614</v>
      </c>
      <c r="B223" s="18" t="s">
        <v>459</v>
      </c>
      <c r="C223" s="18" t="s">
        <v>1074</v>
      </c>
      <c r="D223" s="18" t="s">
        <v>99</v>
      </c>
      <c r="E223" s="19" t="s">
        <v>566</v>
      </c>
      <c r="F223" s="18">
        <v>2023</v>
      </c>
      <c r="G223" s="18" t="str" cm="1">
        <f t="array" ref="G223">IFERROR(INDEX(Lecturas!$E$4:$E$3549,MATCH(1,(Lecturas!$B$4:$B$3549=$A223)*(Lecturas!$E$4:$E$3549&lt;&gt;"")*(Lecturas!$A$4:$A$3549=_xlfn.MAXIFS(Lecturas!$A$4:$A$3549,Lecturas!$B$4:$B$3549,$A223,Lecturas!$E$4:$E$3549,"&lt;&gt;")),0)),"")</f>
        <v>Villaseca</v>
      </c>
      <c r="H223" s="18" t="s">
        <v>1077</v>
      </c>
      <c r="I223" s="18" t="s">
        <v>462</v>
      </c>
      <c r="J223" s="18">
        <v>15000</v>
      </c>
      <c r="K223" s="18">
        <f>IFERROR(IF($I223="KM",ROUND((_xlfn.MAXIFS(tblLecturas[Kilometraje],tblLecturas[Codigo],$A223)-_xlfn.MINIFS(tblLecturas[Kilometraje],tblLecturas[Codigo],$A223))/(MAX(1,_xlfn.MAXIFS(tblLecturas[Fecha],tblLecturas[Codigo],$A223)-_xlfn.MINIFS(tblLecturas[Fecha],tblLecturas[Codigo],$A223))),1),ROUND((_xlfn.MAXIFS(tblLecturas[Horometro],tblLecturas[Codigo],$A223)-_xlfn.MINIFS(tblLecturas[Horometro],tblLecturas[Codigo],$A223))/(MAX(1,_xlfn.MAXIFS(tblLecturas[Fecha],tblLecturas[Codigo],$A223)-_xlfn.MINIFS(tblLecturas[Fecha],tblLecturas[Codigo],$A223))),1)),"")</f>
        <v>152.19999999999999</v>
      </c>
      <c r="L223" s="20">
        <f>IFERROR(_xlfn.MAXIFS(tblLecturas[Fecha],tblLecturas[Codigo],$A223),"")</f>
        <v>46133</v>
      </c>
      <c r="M223" s="26">
        <f>IFERROR(_xlfn.MAXIFS(Lecturas!$C:$C,Lecturas!$B:$B,$A223,Lecturas!$C:$C,"&gt;0"),"")</f>
        <v>0</v>
      </c>
      <c r="N223" s="78">
        <f>IFERROR(_xlfn.MAXIFS(tblLecturas[Kilometraje],tblLecturas[Codigo],$A223,tblLecturas[Kilometraje],"&gt;0"),"")</f>
        <v>155441</v>
      </c>
      <c r="O223" s="78" cm="1">
        <f t="array" ref="O223">IFERROR(IF($I223="KM",LOOKUP(2,1/(Lecturas!$B:$B=$A223)/(Lecturas!$D:$D&gt;0),Lecturas!$D:$D),LOOKUP(2,1/(Lecturas!$B:$B=$A223)/(Lecturas!$C:$C&gt;0),Lecturas!$C:$C)),"")</f>
        <v>155441</v>
      </c>
      <c r="P223" s="20">
        <f>IFERROR(_xlfn.MAXIFS(tblMantenciones[Fecha],tblMantenciones[Codigo],tblMaestroEquipos[[#This Row],[Codigo]],tblMantenciones[EsPM],"Sí"),"")</f>
        <v>0</v>
      </c>
      <c r="Q223" s="78" t="str">
        <f>IF(_xlfn.MAXIFS(Mantenciones!$D:$D,Mantenciones!$B:$B,A223)=0,"Sin datos de mantención registrado",_xlfn.MAXIFS(Mantenciones!$D:$D,Mantenciones!$B:$B,A223))</f>
        <v>Sin datos de mantención registrado</v>
      </c>
      <c r="R223" s="18" t="str">
        <f>IFERROR(IF(_xlfn.MAXIFS(Mantenciones!$D:$D,Mantenciones!$B:$B,$A223,Mantenciones!$E:$E,"Sí",Mantenciones!$D:$D,"&gt;0")=0,"Sin datos de mantención registrado",_xlfn.MAXIFS(Mantenciones!$D:$D,Mantenciones!$B:$B,$A223,Mantenciones!$E:$E,"Sí",Mantenciones!$D:$D,"&gt;0")),"Sin datos de mantención registrado")</f>
        <v>Sin datos de mantención registrado</v>
      </c>
      <c r="S223" s="21">
        <f>IFERROR(SUMIFS(tblMantenciones[Costo Mantencion CLP],tblMantenciones[Codigo],tblMaestroEquipos[[#This Row],[Codigo]]),0)</f>
        <v>0</v>
      </c>
      <c r="T223" s="21">
        <f>IFERROR(SUMIFS(tblComprasPM[Costo PM CLP],tblComprasPM[Codigo],tblMaestroEquipos[[#This Row],[Codigo]]),0)</f>
        <v>0</v>
      </c>
      <c r="U223" s="21">
        <f>IFERROR(tblMaestroEquipos[[#This Row],[Costo Mantenciones CLP]]+tblMaestroEquipos[[#This Row],[Costo Compras PM CLP]],0)</f>
        <v>0</v>
      </c>
      <c r="V223" s="18" t="str">
        <f>IFERROR(_xlfn.XLOOKUP(tblMaestroEquipos[[#This Row],[Codigo]],tblEquipos[Codigo],tblEquipos[Estado Base]),"")</f>
        <v>Operativo</v>
      </c>
      <c r="W223" s="18" t="str">
        <f t="shared" si="26"/>
        <v>POR RECIBIR</v>
      </c>
      <c r="X223" s="18" t="str">
        <f t="shared" si="27"/>
        <v/>
      </c>
      <c r="Y223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23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23" s="25">
        <f>IFERROR(IF(_xlfn.MAXIFS(tblBodega[Fecha],tblBodega[Codigo],tblMaestroEquipos[[#This Row],[Codigo]])=0,"",_xlfn.MAXIFS(tblBodega[Fecha],tblBodega[Codigo],tblMaestroEquipos[[#This Row],[Codigo]])),"")</f>
        <v>46119</v>
      </c>
      <c r="AB223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23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26</v>
      </c>
      <c r="AD22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23" s="51" t="str">
        <f t="shared" si="25"/>
        <v>OPERATIVO</v>
      </c>
      <c r="AF223" s="18" t="str">
        <f t="shared" si="28"/>
        <v>BAJA</v>
      </c>
      <c r="AG223" s="18" t="str">
        <f t="shared" si="29"/>
        <v>Monitorear próximo vencimiento</v>
      </c>
      <c r="AH223">
        <f t="shared" si="30"/>
        <v>0</v>
      </c>
      <c r="AI223" t="str">
        <f t="shared" si="31"/>
        <v/>
      </c>
      <c r="AJ223" s="24">
        <f t="shared" si="32"/>
        <v>3</v>
      </c>
    </row>
    <row r="224" spans="1:36" s="27" customFormat="1">
      <c r="A224" s="18" t="s">
        <v>469</v>
      </c>
      <c r="B224" s="18" t="s">
        <v>459</v>
      </c>
      <c r="C224" s="18" t="s">
        <v>1074</v>
      </c>
      <c r="D224" s="18" t="s">
        <v>466</v>
      </c>
      <c r="E224" s="19" t="s">
        <v>467</v>
      </c>
      <c r="F224" s="18">
        <v>2024</v>
      </c>
      <c r="G224" s="18" t="str" cm="1">
        <f t="array" ref="G224">IFERROR(INDEX(Lecturas!$E$4:$E$3549,MATCH(1,(Lecturas!$B$4:$B$3549=$A224)*(Lecturas!$E$4:$E$3549&lt;&gt;"")*(Lecturas!$A$4:$A$3549=_xlfn.MAXIFS(Lecturas!$A$4:$A$3549,Lecturas!$B$4:$B$3549,$A224,Lecturas!$E$4:$E$3549,"&lt;&gt;")),0)),"")</f>
        <v>Oficina Central</v>
      </c>
      <c r="H224" s="18" t="s">
        <v>468</v>
      </c>
      <c r="I224" s="18" t="s">
        <v>462</v>
      </c>
      <c r="J224" s="18">
        <v>15000</v>
      </c>
      <c r="K224" s="18">
        <f>IFERROR(IF($I224="KM",ROUND((_xlfn.MAXIFS(tblLecturas[Kilometraje],tblLecturas[Codigo],$A224)-_xlfn.MINIFS(tblLecturas[Kilometraje],tblLecturas[Codigo],$A224))/(MAX(1,_xlfn.MAXIFS(tblLecturas[Fecha],tblLecturas[Codigo],$A224)-_xlfn.MINIFS(tblLecturas[Fecha],tblLecturas[Codigo],$A224))),1),ROUND((_xlfn.MAXIFS(tblLecturas[Horometro],tblLecturas[Codigo],$A224)-_xlfn.MINIFS(tblLecturas[Horometro],tblLecturas[Codigo],$A224))/(MAX(1,_xlfn.MAXIFS(tblLecturas[Fecha],tblLecturas[Codigo],$A224)-_xlfn.MINIFS(tblLecturas[Fecha],tblLecturas[Codigo],$A224))),1)),"")</f>
        <v>79.400000000000006</v>
      </c>
      <c r="L224" s="20">
        <f>IFERROR(_xlfn.MAXIFS(tblLecturas[Fecha],tblLecturas[Codigo],$A224),"")</f>
        <v>46133</v>
      </c>
      <c r="M224" s="26">
        <f>IFERROR(_xlfn.MAXIFS(Lecturas!$C:$C,Lecturas!$B:$B,$A224,Lecturas!$C:$C,"&gt;0"),"")</f>
        <v>0</v>
      </c>
      <c r="N224" s="78">
        <f>IFERROR(_xlfn.MAXIFS(tblLecturas[Kilometraje],tblLecturas[Codigo],$A224,tblLecturas[Kilometraje],"&gt;0"),"")</f>
        <v>77882</v>
      </c>
      <c r="O224" s="78" cm="1">
        <f t="array" ref="O224">IFERROR(IF($I224="KM",LOOKUP(2,1/(Lecturas!$B:$B=$A224)/(Lecturas!$D:$D&gt;0),Lecturas!$D:$D),LOOKUP(2,1/(Lecturas!$B:$B=$A224)/(Lecturas!$C:$C&gt;0),Lecturas!$C:$C)),"")</f>
        <v>77882</v>
      </c>
      <c r="P224" s="20">
        <f>IFERROR(_xlfn.MAXIFS(tblMantenciones[Fecha],tblMantenciones[Codigo],tblMaestroEquipos[[#This Row],[Codigo]],tblMantenciones[EsPM],"Sí"),"")</f>
        <v>0</v>
      </c>
      <c r="Q224" s="78" t="str">
        <f>IF(_xlfn.MAXIFS(Mantenciones!$D:$D,Mantenciones!$B:$B,A224)=0,"Sin datos de mantención registrado",_xlfn.MAXIFS(Mantenciones!$D:$D,Mantenciones!$B:$B,A224))</f>
        <v>Sin datos de mantención registrado</v>
      </c>
      <c r="R224" s="18" t="str">
        <f>IFERROR(IF(_xlfn.MAXIFS(Mantenciones!$D:$D,Mantenciones!$B:$B,$A224,Mantenciones!$E:$E,"Sí",Mantenciones!$D:$D,"&gt;0")=0,"Sin datos de mantención registrado",_xlfn.MAXIFS(Mantenciones!$D:$D,Mantenciones!$B:$B,$A224,Mantenciones!$E:$E,"Sí",Mantenciones!$D:$D,"&gt;0")),"Sin datos de mantención registrado")</f>
        <v>Sin datos de mantención registrado</v>
      </c>
      <c r="S224" s="21">
        <f>IFERROR(SUMIFS(tblMantenciones[Costo Mantencion CLP],tblMantenciones[Codigo],A224),0)</f>
        <v>0</v>
      </c>
      <c r="T224" s="21">
        <f>IFERROR(SUMIFS(tblComprasPM[Costo PM CLP],tblComprasPM[Codigo],tblMaestroEquipos[[#This Row],[Codigo]]),0)</f>
        <v>0</v>
      </c>
      <c r="U224" s="21">
        <f>IFERROR(tblMaestroEquipos[[#This Row],[Costo Mantenciones CLP]]+tblMaestroEquipos[[#This Row],[Costo Compras PM CLP]],0)</f>
        <v>0</v>
      </c>
      <c r="V224" s="18" t="str">
        <f>IFERROR(_xlfn.XLOOKUP(tblMaestroEquipos[[#This Row],[Codigo]],tblEquipos[Codigo],tblEquipos[Estado Base]),"")</f>
        <v>Operativo</v>
      </c>
      <c r="W224" s="18" t="str">
        <f t="shared" si="26"/>
        <v>POR RECIBIR</v>
      </c>
      <c r="X224" s="18" t="str">
        <f t="shared" si="27"/>
        <v/>
      </c>
      <c r="Y22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2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24" s="25">
        <f>IFERROR(IF(_xlfn.MAXIFS(tblBodega[Fecha],tblBodega[Codigo],tblMaestroEquipos[[#This Row],[Codigo]])=0,"",_xlfn.MAXIFS(tblBodega[Fecha],tblBodega[Codigo],tblMaestroEquipos[[#This Row],[Codigo]])),"")</f>
        <v>46118</v>
      </c>
      <c r="AB22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2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27</v>
      </c>
      <c r="AD22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24" s="51" t="str">
        <f t="shared" si="25"/>
        <v>OPERATIVO</v>
      </c>
      <c r="AF224" s="18" t="str">
        <f t="shared" si="28"/>
        <v>BAJA</v>
      </c>
      <c r="AG224" s="18" t="str">
        <f t="shared" si="29"/>
        <v>Monitorear próximo vencimiento</v>
      </c>
      <c r="AH224">
        <f t="shared" si="30"/>
        <v>0</v>
      </c>
      <c r="AI224" t="str">
        <f t="shared" si="31"/>
        <v/>
      </c>
      <c r="AJ224" s="24">
        <f t="shared" si="32"/>
        <v>3</v>
      </c>
    </row>
    <row r="225" spans="1:36">
      <c r="A225" s="18" t="s">
        <v>572</v>
      </c>
      <c r="B225" s="18" t="s">
        <v>459</v>
      </c>
      <c r="C225" s="18" t="s">
        <v>1074</v>
      </c>
      <c r="D225" s="18" t="s">
        <v>99</v>
      </c>
      <c r="E225" s="19" t="s">
        <v>566</v>
      </c>
      <c r="F225" s="18">
        <v>2021</v>
      </c>
      <c r="G225" s="18" t="str" cm="1">
        <f t="array" ref="G225">IFERROR(INDEX(Lecturas!$E$4:$E$3549,MATCH(1,(Lecturas!$B$4:$B$3549=$A225)*(Lecturas!$E$4:$E$3549&lt;&gt;"")*(Lecturas!$A$4:$A$3549=_xlfn.MAXIFS(Lecturas!$A$4:$A$3549,Lecturas!$B$4:$B$3549,$A225,Lecturas!$E$4:$E$3549,"&lt;&gt;")),0)),"")</f>
        <v>Palmucho</v>
      </c>
      <c r="H225" s="18" t="s">
        <v>57</v>
      </c>
      <c r="I225" s="18" t="s">
        <v>462</v>
      </c>
      <c r="J225" s="18">
        <v>15000</v>
      </c>
      <c r="K225" s="18">
        <f>IFERROR(IF($I225="KM",ROUND((_xlfn.MAXIFS(tblLecturas[Kilometraje],tblLecturas[Codigo],$A225)-_xlfn.MINIFS(tblLecturas[Kilometraje],tblLecturas[Codigo],$A225))/(MAX(1,_xlfn.MAXIFS(tblLecturas[Fecha],tblLecturas[Codigo],$A225)-_xlfn.MINIFS(tblLecturas[Fecha],tblLecturas[Codigo],$A225))),1),ROUND((_xlfn.MAXIFS(tblLecturas[Horometro],tblLecturas[Codigo],$A225)-_xlfn.MINIFS(tblLecturas[Horometro],tblLecturas[Codigo],$A225))/(MAX(1,_xlfn.MAXIFS(tblLecturas[Fecha],tblLecturas[Codigo],$A225)-_xlfn.MINIFS(tblLecturas[Fecha],tblLecturas[Codigo],$A225))),1)),"")</f>
        <v>242.5</v>
      </c>
      <c r="L225" s="20">
        <f>IFERROR(_xlfn.MAXIFS(tblLecturas[Fecha],tblLecturas[Codigo],$A225),"")</f>
        <v>46104</v>
      </c>
      <c r="M225" s="26">
        <f>IFERROR(_xlfn.MAXIFS(Lecturas!$C:$C,Lecturas!$B:$B,$A225,Lecturas!$C:$C,"&gt;0"),"")</f>
        <v>0</v>
      </c>
      <c r="N225" s="78">
        <f>IFERROR(_xlfn.MAXIFS(tblLecturas[Kilometraje],tblLecturas[Codigo],$A225,tblLecturas[Kilometraje],"&gt;0"),"")</f>
        <v>479779</v>
      </c>
      <c r="O225" s="78" cm="1">
        <f t="array" ref="O225">IFERROR(IF($I225="KM",LOOKUP(2,1/(Lecturas!$B:$B=$A225)/(Lecturas!$D:$D&gt;0),Lecturas!$D:$D),LOOKUP(2,1/(Lecturas!$B:$B=$A225)/(Lecturas!$C:$C&gt;0),Lecturas!$C:$C)),"")</f>
        <v>479779</v>
      </c>
      <c r="P225" s="20">
        <f>IFERROR(_xlfn.MAXIFS(tblMantenciones[Fecha],tblMantenciones[Codigo],tblMaestroEquipos[[#This Row],[Codigo]],tblMantenciones[EsPM],"Sí"),"")</f>
        <v>0</v>
      </c>
      <c r="Q225" s="78" t="str">
        <f>IF(_xlfn.MAXIFS(Mantenciones!$D:$D,Mantenciones!$B:$B,A225)=0,"Sin datos de mantención registrado",_xlfn.MAXIFS(Mantenciones!$D:$D,Mantenciones!$B:$B,A225))</f>
        <v>Sin datos de mantención registrado</v>
      </c>
      <c r="R225" s="18" t="str">
        <f>IFERROR(IF(_xlfn.MAXIFS(Mantenciones!$D:$D,Mantenciones!$B:$B,$A225,Mantenciones!$E:$E,"Sí",Mantenciones!$D:$D,"&gt;0")=0,"Sin datos de mantención registrado",_xlfn.MAXIFS(Mantenciones!$D:$D,Mantenciones!$B:$B,$A225,Mantenciones!$E:$E,"Sí",Mantenciones!$D:$D,"&gt;0")),"Sin datos de mantención registrado")</f>
        <v>Sin datos de mantención registrado</v>
      </c>
      <c r="S225" s="21">
        <f>IFERROR(SUMIFS(tblMantenciones[Costo Mantencion CLP],tblMantenciones[Codigo],tblMaestroEquipos[[#This Row],[Codigo]]),0)</f>
        <v>0</v>
      </c>
      <c r="T225" s="21">
        <f>IFERROR(SUMIFS(tblComprasPM[Costo PM CLP],tblComprasPM[Codigo],tblMaestroEquipos[[#This Row],[Codigo]]),0)</f>
        <v>0</v>
      </c>
      <c r="U225" s="21">
        <f>IFERROR(tblMaestroEquipos[[#This Row],[Costo Mantenciones CLP]]+tblMaestroEquipos[[#This Row],[Costo Compras PM CLP]],0)</f>
        <v>0</v>
      </c>
      <c r="V225" s="18" t="str">
        <f>IFERROR(_xlfn.XLOOKUP(tblMaestroEquipos[[#This Row],[Codigo]],tblEquipos[Codigo],tblEquipos[Estado Base]),"")</f>
        <v>Operativo</v>
      </c>
      <c r="W225" s="18" t="str">
        <f t="shared" si="26"/>
        <v>POR RECIBIR</v>
      </c>
      <c r="X225" s="18" t="str">
        <f t="shared" si="27"/>
        <v/>
      </c>
      <c r="Y22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2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25" s="25">
        <f>IFERROR(IF(_xlfn.MAXIFS(tblBodega[Fecha],tblBodega[Codigo],tblMaestroEquipos[[#This Row],[Codigo]])=0,"",_xlfn.MAXIFS(tblBodega[Fecha],tblBodega[Codigo],tblMaestroEquipos[[#This Row],[Codigo]])),"")</f>
        <v>46073</v>
      </c>
      <c r="AB22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2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72</v>
      </c>
      <c r="AD22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25" s="51" t="str">
        <f t="shared" si="25"/>
        <v>OPERATIVO</v>
      </c>
      <c r="AF225" s="18" t="str">
        <f t="shared" si="28"/>
        <v>BAJA</v>
      </c>
      <c r="AG225" s="18" t="str">
        <f t="shared" si="29"/>
        <v>Monitorear próximo vencimiento</v>
      </c>
      <c r="AH225">
        <f t="shared" si="30"/>
        <v>0</v>
      </c>
      <c r="AI225" t="str">
        <f t="shared" si="31"/>
        <v/>
      </c>
      <c r="AJ225" s="24">
        <f t="shared" si="32"/>
        <v>3</v>
      </c>
    </row>
    <row r="226" spans="1:36">
      <c r="A226" s="18" t="s">
        <v>618</v>
      </c>
      <c r="B226" s="18" t="s">
        <v>459</v>
      </c>
      <c r="C226" s="18" t="s">
        <v>1074</v>
      </c>
      <c r="D226" s="18" t="s">
        <v>99</v>
      </c>
      <c r="E226" s="19" t="s">
        <v>566</v>
      </c>
      <c r="F226" s="18">
        <v>2023</v>
      </c>
      <c r="G226" s="18" t="str" cm="1">
        <f t="array" ref="G226">IFERROR(INDEX(Lecturas!$E$4:$E$3549,MATCH(1,(Lecturas!$B$4:$B$3549=$A226)*(Lecturas!$E$4:$E$3549&lt;&gt;"")*(Lecturas!$A$4:$A$3549=_xlfn.MAXIFS(Lecturas!$A$4:$A$3549,Lecturas!$B$4:$B$3549,$A226,Lecturas!$E$4:$E$3549,"&lt;&gt;")),0)),"")</f>
        <v/>
      </c>
      <c r="H226" s="18" t="s">
        <v>619</v>
      </c>
      <c r="I226" s="18" t="s">
        <v>462</v>
      </c>
      <c r="J226" s="18">
        <v>15000</v>
      </c>
      <c r="K226" s="18">
        <f>IFERROR(IF($I226="KM",ROUND((_xlfn.MAXIFS(tblLecturas[Kilometraje],tblLecturas[Codigo],$A226)-_xlfn.MINIFS(tblLecturas[Kilometraje],tblLecturas[Codigo],$A226))/(MAX(1,_xlfn.MAXIFS(tblLecturas[Fecha],tblLecturas[Codigo],$A226)-_xlfn.MINIFS(tblLecturas[Fecha],tblLecturas[Codigo],$A226))),1),ROUND((_xlfn.MAXIFS(tblLecturas[Horometro],tblLecturas[Codigo],$A226)-_xlfn.MINIFS(tblLecturas[Horometro],tblLecturas[Codigo],$A226))/(MAX(1,_xlfn.MAXIFS(tblLecturas[Fecha],tblLecturas[Codigo],$A226)-_xlfn.MINIFS(tblLecturas[Fecha],tblLecturas[Codigo],$A226))),1)),"")</f>
        <v>102.8</v>
      </c>
      <c r="L226" s="20">
        <f>IFERROR(_xlfn.MAXIFS(tblLecturas[Fecha],tblLecturas[Codigo],$A226),"")</f>
        <v>46069</v>
      </c>
      <c r="M226" s="26">
        <f>IFERROR(_xlfn.MAXIFS(Lecturas!$C:$C,Lecturas!$B:$B,$A226,Lecturas!$C:$C,"&gt;0"),"")</f>
        <v>0</v>
      </c>
      <c r="N226" s="78">
        <f>IFERROR(_xlfn.MAXIFS(tblLecturas[Kilometraje],tblLecturas[Codigo],$A226,tblLecturas[Kilometraje],"&gt;0"),"")</f>
        <v>108975</v>
      </c>
      <c r="O226" s="78" cm="1">
        <f t="array" ref="O226">IFERROR(IF($I226="KM",LOOKUP(2,1/(Lecturas!$B:$B=$A226)/(Lecturas!$D:$D&gt;0),Lecturas!$D:$D),LOOKUP(2,1/(Lecturas!$B:$B=$A226)/(Lecturas!$C:$C&gt;0),Lecturas!$C:$C)),"")</f>
        <v>105621</v>
      </c>
      <c r="P226" s="20">
        <f>IFERROR(_xlfn.MAXIFS(tblMantenciones[Fecha],tblMantenciones[Codigo],tblMaestroEquipos[[#This Row],[Codigo]],tblMantenciones[EsPM],"Sí"),"")</f>
        <v>0</v>
      </c>
      <c r="Q226" s="78" t="str">
        <f>IF(_xlfn.MAXIFS(Mantenciones!$D:$D,Mantenciones!$B:$B,A226)=0,"Sin datos de mantención registrado",_xlfn.MAXIFS(Mantenciones!$D:$D,Mantenciones!$B:$B,A226))</f>
        <v>Sin datos de mantención registrado</v>
      </c>
      <c r="R226" s="18" t="str">
        <f>IFERROR(IF(_xlfn.MAXIFS(Mantenciones!$D:$D,Mantenciones!$B:$B,$A226,Mantenciones!$E:$E,"Sí",Mantenciones!$D:$D,"&gt;0")=0,"Sin datos de mantención registrado",_xlfn.MAXIFS(Mantenciones!$D:$D,Mantenciones!$B:$B,$A226,Mantenciones!$E:$E,"Sí",Mantenciones!$D:$D,"&gt;0")),"Sin datos de mantención registrado")</f>
        <v>Sin datos de mantención registrado</v>
      </c>
      <c r="S226" s="21">
        <f>IFERROR(SUMIFS(tblMantenciones[Costo Mantencion CLP],tblMantenciones[Codigo],tblMaestroEquipos[[#This Row],[Codigo]]),0)</f>
        <v>0</v>
      </c>
      <c r="T226" s="21">
        <f>IFERROR(SUMIFS(tblComprasPM[Costo PM CLP],tblComprasPM[Codigo],tblMaestroEquipos[[#This Row],[Codigo]]),0)</f>
        <v>336529.87</v>
      </c>
      <c r="U226" s="21">
        <f>IFERROR(tblMaestroEquipos[[#This Row],[Costo Mantenciones CLP]]+tblMaestroEquipos[[#This Row],[Costo Compras PM CLP]],0)</f>
        <v>336529.87</v>
      </c>
      <c r="V226" s="18" t="str">
        <f>IFERROR(_xlfn.XLOOKUP(tblMaestroEquipos[[#This Row],[Codigo]],tblEquipos[Codigo],tblEquipos[Estado Base]),"")</f>
        <v>Operativo</v>
      </c>
      <c r="W226" s="18" t="str">
        <f t="shared" si="26"/>
        <v>EN PROCESO</v>
      </c>
      <c r="X226" s="18" t="str">
        <f t="shared" si="27"/>
        <v/>
      </c>
      <c r="Y22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26" s="25">
        <f>IFERROR(IF(_xlfn.MINIFS(tblComprasPM[Fecha],tblComprasPM[Codigo],tblMaestroEquipos[[#This Row],[Codigo]])=0,"",_xlfn.MINIFS(tblComprasPM[Fecha],tblComprasPM[Codigo],tblMaestroEquipos[[#This Row],[Codigo]])),"")</f>
        <v>46083.669711955998</v>
      </c>
      <c r="AA226" s="25" t="str">
        <f>IFERROR(IF(_xlfn.MAXIFS(tblBodega[Fecha],tblBodega[Codigo],tblMaestroEquipos[[#This Row],[Codigo]])=0,"",_xlfn.MAXIFS(tblBodega[Fecha],tblBodega[Codigo],tblMaestroEquipos[[#This Row],[Codigo]])),"")</f>
        <v/>
      </c>
      <c r="AB22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62</v>
      </c>
      <c r="AC22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2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26" s="51" t="str">
        <f t="shared" si="25"/>
        <v>EN PROCESO</v>
      </c>
      <c r="AF226" s="18" t="str">
        <f t="shared" si="28"/>
        <v>SEGUIMIENTO</v>
      </c>
      <c r="AG226" s="18" t="str">
        <f t="shared" si="29"/>
        <v>Hacer seguimiento al taller y cerrar report</v>
      </c>
      <c r="AH226">
        <f t="shared" si="30"/>
        <v>0</v>
      </c>
      <c r="AI226" t="str">
        <f t="shared" si="31"/>
        <v/>
      </c>
      <c r="AJ226" s="24">
        <f t="shared" si="32"/>
        <v>2</v>
      </c>
    </row>
    <row r="227" spans="1:36">
      <c r="A227" s="18" t="s">
        <v>637</v>
      </c>
      <c r="B227" s="18" t="s">
        <v>459</v>
      </c>
      <c r="C227" s="18" t="s">
        <v>1074</v>
      </c>
      <c r="D227" s="18" t="s">
        <v>99</v>
      </c>
      <c r="E227" s="19" t="s">
        <v>460</v>
      </c>
      <c r="F227" s="18">
        <v>2023</v>
      </c>
      <c r="G227" s="18" t="str" cm="1">
        <f t="array" ref="G227">IFERROR(INDEX(Lecturas!$E$4:$E$3549,MATCH(1,(Lecturas!$B$4:$B$3549=$A227)*(Lecturas!$E$4:$E$3549&lt;&gt;"")*(Lecturas!$A$4:$A$3549=_xlfn.MAXIFS(Lecturas!$A$4:$A$3549,Lecturas!$B$4:$B$3549,$A227,Lecturas!$E$4:$E$3549,"&lt;&gt;")),0)),"")</f>
        <v/>
      </c>
      <c r="H227" s="18" t="s">
        <v>639</v>
      </c>
      <c r="I227" s="18" t="s">
        <v>462</v>
      </c>
      <c r="J227" s="18">
        <v>15000</v>
      </c>
      <c r="K227" s="18">
        <f>IFERROR(IF($I227="KM",ROUND((_xlfn.MAXIFS(tblLecturas[Kilometraje],tblLecturas[Codigo],$A227)-_xlfn.MINIFS(tblLecturas[Kilometraje],tblLecturas[Codigo],$A227))/(MAX(1,_xlfn.MAXIFS(tblLecturas[Fecha],tblLecturas[Codigo],$A227)-_xlfn.MINIFS(tblLecturas[Fecha],tblLecturas[Codigo],$A227))),1),ROUND((_xlfn.MAXIFS(tblLecturas[Horometro],tblLecturas[Codigo],$A227)-_xlfn.MINIFS(tblLecturas[Horometro],tblLecturas[Codigo],$A227))/(MAX(1,_xlfn.MAXIFS(tblLecturas[Fecha],tblLecturas[Codigo],$A227)-_xlfn.MINIFS(tblLecturas[Fecha],tblLecturas[Codigo],$A227))),1)),"")</f>
        <v>87.4</v>
      </c>
      <c r="L227" s="20">
        <f>IFERROR(_xlfn.MAXIFS(tblLecturas[Fecha],tblLecturas[Codigo],$A227),"")</f>
        <v>46015</v>
      </c>
      <c r="M227" s="26">
        <f>IFERROR(_xlfn.MAXIFS(Lecturas!$C:$C,Lecturas!$B:$B,$A227,Lecturas!$C:$C,"&gt;0"),"")</f>
        <v>0</v>
      </c>
      <c r="N227" s="78">
        <f>IFERROR(_xlfn.MAXIFS(tblLecturas[Kilometraje],tblLecturas[Codigo],$A227,tblLecturas[Kilometraje],"&gt;0"),"")</f>
        <v>96800</v>
      </c>
      <c r="O227" s="78" cm="1">
        <f t="array" ref="O227">IFERROR(IF($I227="KM",LOOKUP(2,1/(Lecturas!$B:$B=$A227)/(Lecturas!$D:$D&gt;0),Lecturas!$D:$D),LOOKUP(2,1/(Lecturas!$B:$B=$A227)/(Lecturas!$C:$C&gt;0),Lecturas!$C:$C)),"")</f>
        <v>96800</v>
      </c>
      <c r="P227" s="20">
        <f>IFERROR(_xlfn.MAXIFS(tblMantenciones[Fecha],tblMantenciones[Codigo],tblMaestroEquipos[[#This Row],[Codigo]],tblMantenciones[EsPM],"Sí"),"")</f>
        <v>0</v>
      </c>
      <c r="Q227" s="78" t="str">
        <f>IF(_xlfn.MAXIFS(Mantenciones!$D:$D,Mantenciones!$B:$B,A227)=0,"Sin datos de mantención registrado",_xlfn.MAXIFS(Mantenciones!$D:$D,Mantenciones!$B:$B,A227))</f>
        <v>Sin datos de mantención registrado</v>
      </c>
      <c r="R227" s="18" t="str">
        <f>IFERROR(IF(_xlfn.MAXIFS(Mantenciones!$D:$D,Mantenciones!$B:$B,$A227,Mantenciones!$E:$E,"Sí",Mantenciones!$D:$D,"&gt;0")=0,"Sin datos de mantención registrado",_xlfn.MAXIFS(Mantenciones!$D:$D,Mantenciones!$B:$B,$A227,Mantenciones!$E:$E,"Sí",Mantenciones!$D:$D,"&gt;0")),"Sin datos de mantención registrado")</f>
        <v>Sin datos de mantención registrado</v>
      </c>
      <c r="S227" s="21">
        <f>IFERROR(SUMIFS(tblMantenciones[Costo Mantencion CLP],tblMantenciones[Codigo],tblMaestroEquipos[[#This Row],[Codigo]]),0)</f>
        <v>0</v>
      </c>
      <c r="T227" s="21">
        <f>IFERROR(SUMIFS(tblComprasPM[Costo PM CLP],tblComprasPM[Codigo],tblMaestroEquipos[[#This Row],[Codigo]]),0)</f>
        <v>0</v>
      </c>
      <c r="U227" s="21">
        <f>IFERROR(tblMaestroEquipos[[#This Row],[Costo Mantenciones CLP]]+tblMaestroEquipos[[#This Row],[Costo Compras PM CLP]],0)</f>
        <v>0</v>
      </c>
      <c r="V227" s="18" t="str">
        <f>IFERROR(_xlfn.XLOOKUP(tblMaestroEquipos[[#This Row],[Codigo]],tblEquipos[Codigo],tblEquipos[Estado Base]),"")</f>
        <v>Fuera de Servicio</v>
      </c>
      <c r="W227" s="18" t="str">
        <f t="shared" si="26"/>
        <v>FUERA DE SERVICIO</v>
      </c>
      <c r="X227" s="18" t="str">
        <f t="shared" si="27"/>
        <v/>
      </c>
      <c r="Y22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2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27" s="25" t="str">
        <f>IFERROR(IF(_xlfn.MAXIFS(tblBodega[Fecha],tblBodega[Codigo],tblMaestroEquipos[[#This Row],[Codigo]])=0,"",_xlfn.MAXIFS(tblBodega[Fecha],tblBodega[Codigo],tblMaestroEquipos[[#This Row],[Codigo]])),"")</f>
        <v/>
      </c>
      <c r="AB22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2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2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27" s="51" t="str">
        <f t="shared" si="25"/>
        <v>FUERA DE SERVICIO</v>
      </c>
      <c r="AF227" s="18" t="str">
        <f t="shared" si="28"/>
        <v>NO APLICA</v>
      </c>
      <c r="AG227" s="18" t="str">
        <f t="shared" si="29"/>
        <v>No programar compra</v>
      </c>
      <c r="AH227">
        <f t="shared" si="30"/>
        <v>0</v>
      </c>
      <c r="AI227" t="str">
        <f t="shared" si="31"/>
        <v/>
      </c>
      <c r="AJ227" s="24">
        <f t="shared" si="32"/>
        <v>99</v>
      </c>
    </row>
    <row r="228" spans="1:36">
      <c r="A228" s="18" t="s">
        <v>577</v>
      </c>
      <c r="B228" s="18" t="s">
        <v>459</v>
      </c>
      <c r="C228" s="18" t="s">
        <v>1074</v>
      </c>
      <c r="D228" s="18" t="s">
        <v>99</v>
      </c>
      <c r="E228" s="19" t="s">
        <v>566</v>
      </c>
      <c r="F228" s="18">
        <v>2021</v>
      </c>
      <c r="G228" s="18" t="str" cm="1">
        <f t="array" ref="G228">IFERROR(INDEX(Lecturas!$E$4:$E$3549,MATCH(1,(Lecturas!$B$4:$B$3549=$A228)*(Lecturas!$E$4:$E$3549&lt;&gt;"")*(Lecturas!$A$4:$A$3549=_xlfn.MAXIFS(Lecturas!$A$4:$A$3549,Lecturas!$B$4:$B$3549,$A228,Lecturas!$E$4:$E$3549,"&lt;&gt;")),0)),"")</f>
        <v>Retiro</v>
      </c>
      <c r="H228" s="18" t="s">
        <v>567</v>
      </c>
      <c r="I228" s="18" t="s">
        <v>462</v>
      </c>
      <c r="J228" s="18">
        <v>15000</v>
      </c>
      <c r="K228" s="18">
        <f>IFERROR(IF($I228="KM",ROUND((_xlfn.MAXIFS(tblLecturas[Kilometraje],tblLecturas[Codigo],$A228)-_xlfn.MINIFS(tblLecturas[Kilometraje],tblLecturas[Codigo],$A228))/(MAX(1,_xlfn.MAXIFS(tblLecturas[Fecha],tblLecturas[Codigo],$A228)-_xlfn.MINIFS(tblLecturas[Fecha],tblLecturas[Codigo],$A228))),1),ROUND((_xlfn.MAXIFS(tblLecturas[Horometro],tblLecturas[Codigo],$A228)-_xlfn.MINIFS(tblLecturas[Horometro],tblLecturas[Codigo],$A228))/(MAX(1,_xlfn.MAXIFS(tblLecturas[Fecha],tblLecturas[Codigo],$A228)-_xlfn.MINIFS(tblLecturas[Fecha],tblLecturas[Codigo],$A228))),1)),"")</f>
        <v>155.69999999999999</v>
      </c>
      <c r="L228" s="20">
        <f>IFERROR(_xlfn.MAXIFS(tblLecturas[Fecha],tblLecturas[Codigo],$A228),"")</f>
        <v>46098</v>
      </c>
      <c r="M228" s="26">
        <f>IFERROR(_xlfn.MAXIFS(Lecturas!$C:$C,Lecturas!$B:$B,$A228,Lecturas!$C:$C,"&gt;0"),"")</f>
        <v>0</v>
      </c>
      <c r="N228" s="78">
        <f>IFERROR(_xlfn.MAXIFS(tblLecturas[Kilometraje],tblLecturas[Codigo],$A228,tblLecturas[Kilometraje],"&gt;0"),"")</f>
        <v>227541</v>
      </c>
      <c r="O228" s="78" cm="1">
        <f t="array" ref="O228">IFERROR(IF($I228="KM",LOOKUP(2,1/(Lecturas!$B:$B=$A228)/(Lecturas!$D:$D&gt;0),Lecturas!$D:$D),LOOKUP(2,1/(Lecturas!$B:$B=$A228)/(Lecturas!$C:$C&gt;0),Lecturas!$C:$C)),"")</f>
        <v>227541</v>
      </c>
      <c r="P228" s="20">
        <f>IFERROR(_xlfn.MAXIFS(tblMantenciones[Fecha],tblMantenciones[Codigo],tblMaestroEquipos[[#This Row],[Codigo]],tblMantenciones[EsPM],"Sí"),"")</f>
        <v>0</v>
      </c>
      <c r="Q228" s="78" t="str">
        <f>IF(_xlfn.MAXIFS(Mantenciones!$D:$D,Mantenciones!$B:$B,A228)=0,"Sin datos de mantención registrado",_xlfn.MAXIFS(Mantenciones!$D:$D,Mantenciones!$B:$B,A228))</f>
        <v>Sin datos de mantención registrado</v>
      </c>
      <c r="R228" s="18" t="str">
        <f>IFERROR(IF(_xlfn.MAXIFS(Mantenciones!$D:$D,Mantenciones!$B:$B,$A228,Mantenciones!$E:$E,"Sí",Mantenciones!$D:$D,"&gt;0")=0,"Sin datos de mantención registrado",_xlfn.MAXIFS(Mantenciones!$D:$D,Mantenciones!$B:$B,$A228,Mantenciones!$E:$E,"Sí",Mantenciones!$D:$D,"&gt;0")),"Sin datos de mantención registrado")</f>
        <v>Sin datos de mantención registrado</v>
      </c>
      <c r="S228" s="21">
        <f>IFERROR(SUMIFS(tblMantenciones[Costo Mantencion CLP],tblMantenciones[Codigo],tblMaestroEquipos[[#This Row],[Codigo]]),0)</f>
        <v>0</v>
      </c>
      <c r="T228" s="21">
        <f>IFERROR(SUMIFS(tblComprasPM[Costo PM CLP],tblComprasPM[Codigo],tblMaestroEquipos[[#This Row],[Codigo]]),0)</f>
        <v>0</v>
      </c>
      <c r="U228" s="21">
        <f>IFERROR(tblMaestroEquipos[[#This Row],[Costo Mantenciones CLP]]+tblMaestroEquipos[[#This Row],[Costo Compras PM CLP]],0)</f>
        <v>0</v>
      </c>
      <c r="V228" s="18" t="str">
        <f>IFERROR(_xlfn.XLOOKUP(tblMaestroEquipos[[#This Row],[Codigo]],tblEquipos[Codigo],tblEquipos[Estado Base]),"")</f>
        <v>Fuera de Servicio</v>
      </c>
      <c r="W228" s="18" t="str">
        <f t="shared" si="26"/>
        <v>FUERA DE SERVICIO</v>
      </c>
      <c r="X228" s="18" t="str">
        <f t="shared" si="27"/>
        <v/>
      </c>
      <c r="Y22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28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28" s="25" t="str">
        <f>IFERROR(IF(_xlfn.MAXIFS(tblBodega[Fecha],tblBodega[Codigo],tblMaestroEquipos[[#This Row],[Codigo]])=0,"",_xlfn.MAXIFS(tblBodega[Fecha],tblBodega[Codigo],tblMaestroEquipos[[#This Row],[Codigo]])),"")</f>
        <v/>
      </c>
      <c r="AB228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2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2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28" s="51" t="str">
        <f t="shared" si="25"/>
        <v>FUERA DE SERVICIO</v>
      </c>
      <c r="AF228" s="18" t="str">
        <f t="shared" si="28"/>
        <v>NO APLICA</v>
      </c>
      <c r="AG228" s="18" t="str">
        <f t="shared" si="29"/>
        <v>No programar compra</v>
      </c>
      <c r="AH228">
        <f t="shared" si="30"/>
        <v>0</v>
      </c>
      <c r="AI228" t="str">
        <f t="shared" si="31"/>
        <v/>
      </c>
      <c r="AJ228" s="24">
        <f t="shared" si="32"/>
        <v>99</v>
      </c>
    </row>
    <row r="229" spans="1:36">
      <c r="A229" s="18" t="s">
        <v>451</v>
      </c>
      <c r="B229" s="18" t="s">
        <v>452</v>
      </c>
      <c r="C229" s="18" t="s">
        <v>1070</v>
      </c>
      <c r="D229" s="18" t="s">
        <v>292</v>
      </c>
      <c r="E229" s="19" t="s">
        <v>453</v>
      </c>
      <c r="F229" s="18">
        <v>2011</v>
      </c>
      <c r="G229" s="18" t="str" cm="1">
        <f t="array" ref="G229">IFERROR(INDEX(Lecturas!$E$4:$E$3549,MATCH(1,(Lecturas!$B$4:$B$3549=$A229)*(Lecturas!$E$4:$E$3549&lt;&gt;"")*(Lecturas!$A$4:$A$3549=_xlfn.MAXIFS(Lecturas!$A$4:$A$3549,Lecturas!$B$4:$B$3549,$A229,Lecturas!$E$4:$E$3549,"&lt;&gt;")),0)),"")</f>
        <v>Ninhue</v>
      </c>
      <c r="H229" s="18" t="s">
        <v>454</v>
      </c>
      <c r="I229" s="18" t="s">
        <v>18</v>
      </c>
      <c r="J229" s="18">
        <v>250</v>
      </c>
      <c r="K229" s="18">
        <f>IFERROR(IF($I229="KM",ROUND((_xlfn.MAXIFS(tblLecturas[Kilometraje],tblLecturas[Codigo],$A229)-_xlfn.MINIFS(tblLecturas[Kilometraje],tblLecturas[Codigo],$A229))/(MAX(1,_xlfn.MAXIFS(tblLecturas[Fecha],tblLecturas[Codigo],$A229)-_xlfn.MINIFS(tblLecturas[Fecha],tblLecturas[Codigo],$A229))),1),ROUND((_xlfn.MAXIFS(tblLecturas[Horometro],tblLecturas[Codigo],$A229)-_xlfn.MINIFS(tblLecturas[Horometro],tblLecturas[Codigo],$A229))/(MAX(1,_xlfn.MAXIFS(tblLecturas[Fecha],tblLecturas[Codigo],$A229)-_xlfn.MINIFS(tblLecturas[Fecha],tblLecturas[Codigo],$A229))),1)),"")</f>
        <v>1.2</v>
      </c>
      <c r="L229" s="20">
        <f>IFERROR(_xlfn.MAXIFS(tblLecturas[Fecha],tblLecturas[Codigo],$A229),"")</f>
        <v>46104</v>
      </c>
      <c r="M229" s="26">
        <f>IFERROR(_xlfn.MAXIFS(Lecturas!$C:$C,Lecturas!$B:$B,$A229,Lecturas!$C:$C,"&gt;0"),"")</f>
        <v>1950</v>
      </c>
      <c r="N229" s="78">
        <f>IFERROR(_xlfn.MAXIFS(tblLecturas[Kilometraje],tblLecturas[Codigo],$A229,tblLecturas[Kilometraje],"&gt;0"),"")</f>
        <v>0</v>
      </c>
      <c r="O229" s="78" cm="1">
        <f t="array" ref="O229">IFERROR(IF($I229="KM",LOOKUP(2,1/(Lecturas!$B:$B=$A229)/(Lecturas!$D:$D&gt;0),Lecturas!$D:$D),LOOKUP(2,1/(Lecturas!$B:$B=$A229)/(Lecturas!$C:$C&gt;0),Lecturas!$C:$C)),"")</f>
        <v>1950</v>
      </c>
      <c r="P229" s="20">
        <f>IFERROR(_xlfn.MAXIFS(tblMantenciones[Fecha],tblMantenciones[Codigo],tblMaestroEquipos[[#This Row],[Codigo]],tblMantenciones[EsPM],"Sí"),"")</f>
        <v>0</v>
      </c>
      <c r="Q229" s="78" t="str">
        <f>IF(_xlfn.MAXIFS(Mantenciones!$D:$D,Mantenciones!$B:$B,A229)=0,"Sin datos de mantención registrado",_xlfn.MAXIFS(Mantenciones!$D:$D,Mantenciones!$B:$B,A229))</f>
        <v>Sin datos de mantención registrado</v>
      </c>
      <c r="R229" s="18" t="str">
        <f>IFERROR(IF(_xlfn.MAXIFS(Mantenciones!$D:$D,Mantenciones!$B:$B,$A229,Mantenciones!$E:$E,"Sí",Mantenciones!$D:$D,"&gt;0")=0,"Sin datos de mantención registrado",_xlfn.MAXIFS(Mantenciones!$D:$D,Mantenciones!$B:$B,$A229,Mantenciones!$E:$E,"Sí",Mantenciones!$D:$D,"&gt;0")),"Sin datos de mantención registrado")</f>
        <v>Sin datos de mantención registrado</v>
      </c>
      <c r="S229" s="21">
        <f>IFERROR(SUMIFS(tblMantenciones[Costo Mantencion CLP],tblMantenciones[Codigo],A229),0)</f>
        <v>0</v>
      </c>
      <c r="T229" s="21">
        <f>IFERROR(SUMIFS(tblComprasPM[Costo PM CLP],tblComprasPM[Codigo],tblMaestroEquipos[[#This Row],[Codigo]]),0)</f>
        <v>0</v>
      </c>
      <c r="U229" s="21">
        <f>IFERROR(tblMaestroEquipos[[#This Row],[Costo Mantenciones CLP]]+tblMaestroEquipos[[#This Row],[Costo Compras PM CLP]],0)</f>
        <v>0</v>
      </c>
      <c r="V229" s="18" t="str">
        <f>IFERROR(_xlfn.XLOOKUP(tblMaestroEquipos[[#This Row],[Codigo]],tblEquipos[Codigo],tblEquipos[Estado Base]),"")</f>
        <v>Operativo</v>
      </c>
      <c r="W229" s="18" t="str">
        <f t="shared" si="26"/>
        <v>EN PROCESO</v>
      </c>
      <c r="X229" s="18" t="str">
        <f t="shared" si="27"/>
        <v/>
      </c>
      <c r="Y22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29" s="25">
        <f>IFERROR(IF(_xlfn.MINIFS(tblComprasPM[Fecha],tblComprasPM[Codigo],tblMaestroEquipos[[#This Row],[Codigo]])=0,"",_xlfn.MINIFS(tblComprasPM[Fecha],tblComprasPM[Codigo],tblMaestroEquipos[[#This Row],[Codigo]])),"")</f>
        <v>46106</v>
      </c>
      <c r="AA229" s="25" t="str">
        <f>IFERROR(IF(_xlfn.MAXIFS(tblBodega[Fecha],tblBodega[Codigo],tblMaestroEquipos[[#This Row],[Codigo]])=0,"",_xlfn.MAXIFS(tblBodega[Fecha],tblBodega[Codigo],tblMaestroEquipos[[#This Row],[Codigo]])),"")</f>
        <v/>
      </c>
      <c r="AB22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39</v>
      </c>
      <c r="AC22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2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29" s="51" t="str">
        <f t="shared" si="25"/>
        <v>EN PROCESO</v>
      </c>
      <c r="AF229" s="18" t="str">
        <f t="shared" si="28"/>
        <v>SEGUIMIENTO</v>
      </c>
      <c r="AG229" s="18" t="str">
        <f t="shared" si="29"/>
        <v>Hacer seguimiento al taller y cerrar report</v>
      </c>
      <c r="AH229">
        <f t="shared" si="30"/>
        <v>0</v>
      </c>
      <c r="AI229" t="str">
        <f t="shared" si="31"/>
        <v/>
      </c>
      <c r="AJ229" s="24">
        <f t="shared" si="32"/>
        <v>2</v>
      </c>
    </row>
    <row r="230" spans="1:36">
      <c r="A230" s="18" t="s">
        <v>273</v>
      </c>
      <c r="B230" s="18" t="s">
        <v>269</v>
      </c>
      <c r="C230" s="18" t="s">
        <v>1070</v>
      </c>
      <c r="D230" s="18" t="s">
        <v>270</v>
      </c>
      <c r="E230" s="19" t="s">
        <v>274</v>
      </c>
      <c r="F230" s="18">
        <v>2019</v>
      </c>
      <c r="G230" s="18" t="str" cm="1">
        <f t="array" ref="G230">IFERROR(INDEX(Lecturas!$E$4:$E$3549,MATCH(1,(Lecturas!$B$4:$B$3549=$A230)*(Lecturas!$E$4:$E$3549&lt;&gt;"")*(Lecturas!$A$4:$A$3549=_xlfn.MAXIFS(Lecturas!$A$4:$A$3549,Lecturas!$B$4:$B$3549,$A230,Lecturas!$E$4:$E$3549,"&lt;&gt;")),0)),"")</f>
        <v>Cobquecura</v>
      </c>
      <c r="H230" s="18" t="s">
        <v>53</v>
      </c>
      <c r="I230" s="18" t="s">
        <v>18</v>
      </c>
      <c r="J230" s="18">
        <v>250</v>
      </c>
      <c r="K230" s="18">
        <f>IFERROR(IF($I230="KM",ROUND((_xlfn.MAXIFS(tblLecturas[Kilometraje],tblLecturas[Codigo],$A230)-_xlfn.MINIFS(tblLecturas[Kilometraje],tblLecturas[Codigo],$A230))/(MAX(1,_xlfn.MAXIFS(tblLecturas[Fecha],tblLecturas[Codigo],$A230)-_xlfn.MINIFS(tblLecturas[Fecha],tblLecturas[Codigo],$A230))),1),ROUND((_xlfn.MAXIFS(tblLecturas[Horometro],tblLecturas[Codigo],$A230)-_xlfn.MINIFS(tblLecturas[Horometro],tblLecturas[Codigo],$A230))/(MAX(1,_xlfn.MAXIFS(tblLecturas[Fecha],tblLecturas[Codigo],$A230)-_xlfn.MINIFS(tblLecturas[Fecha],tblLecturas[Codigo],$A230))),1)),"")</f>
        <v>4.2</v>
      </c>
      <c r="L230" s="20">
        <f>IFERROR(_xlfn.MAXIFS(tblLecturas[Fecha],tblLecturas[Codigo],$A230),"")</f>
        <v>46098</v>
      </c>
      <c r="M230" s="26">
        <f>IFERROR(_xlfn.MAXIFS(Lecturas!$C:$C,Lecturas!$B:$B,$A230,Lecturas!$C:$C,"&gt;0"),"")</f>
        <v>4327</v>
      </c>
      <c r="N230" s="78">
        <f>IFERROR(_xlfn.MAXIFS(tblLecturas[Kilometraje],tblLecturas[Codigo],$A230,tblLecturas[Kilometraje],"&gt;0"),"")</f>
        <v>4226</v>
      </c>
      <c r="O230" s="78" cm="1">
        <f t="array" ref="O230">IFERROR(IF($I230="KM",LOOKUP(2,1/(Lecturas!$B:$B=$A230)/(Lecturas!$D:$D&gt;0),Lecturas!$D:$D),LOOKUP(2,1/(Lecturas!$B:$B=$A230)/(Lecturas!$C:$C&gt;0),Lecturas!$C:$C)),"")</f>
        <v>4327</v>
      </c>
      <c r="P230" s="20">
        <f>IFERROR(_xlfn.MAXIFS(tblMantenciones[Fecha],tblMantenciones[Codigo],tblMaestroEquipos[[#This Row],[Codigo]],tblMantenciones[EsPM],"Sí"),"")</f>
        <v>46132</v>
      </c>
      <c r="Q230" s="78">
        <f>IF(_xlfn.MAXIFS(Mantenciones!$D:$D,Mantenciones!$B:$B,A230)=0,"Sin datos de mantención registrado",_xlfn.MAXIFS(Mantenciones!$D:$D,Mantenciones!$B:$B,A230))</f>
        <v>4308</v>
      </c>
      <c r="R230" s="18">
        <f>IFERROR(IF(_xlfn.MAXIFS(Mantenciones!$D:$D,Mantenciones!$B:$B,$A230,Mantenciones!$E:$E,"Sí",Mantenciones!$D:$D,"&gt;0")=0,"Sin datos de mantención registrado",_xlfn.MAXIFS(Mantenciones!$D:$D,Mantenciones!$B:$B,$A230,Mantenciones!$E:$E,"Sí",Mantenciones!$D:$D,"&gt;0")),"Sin datos de mantención registrado")</f>
        <v>4308</v>
      </c>
      <c r="S230" s="21">
        <f>IFERROR(SUMIFS(tblMantenciones[Costo Mantencion CLP],tblMantenciones[Codigo],A230),0)</f>
        <v>0</v>
      </c>
      <c r="T230" s="21">
        <f>IFERROR(SUMIFS(tblComprasPM[Costo PM CLP],tblComprasPM[Codigo],tblMaestroEquipos[[#This Row],[Codigo]]),0)</f>
        <v>263781.34999999998</v>
      </c>
      <c r="U230" s="21">
        <f>IFERROR(tblMaestroEquipos[[#This Row],[Costo Mantenciones CLP]]+tblMaestroEquipos[[#This Row],[Costo Compras PM CLP]],0)</f>
        <v>263781.34999999998</v>
      </c>
      <c r="V230" s="18" t="str">
        <f>IFERROR(_xlfn.XLOOKUP(tblMaestroEquipos[[#This Row],[Codigo]],tblEquipos[Codigo],tblEquipos[Estado Base]),"")</f>
        <v>Operativo</v>
      </c>
      <c r="W230" s="18" t="str">
        <f t="shared" si="26"/>
        <v>AL DÍA</v>
      </c>
      <c r="X230" s="18">
        <f t="shared" si="27"/>
        <v>231</v>
      </c>
      <c r="Y230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46329</v>
      </c>
      <c r="Z230" s="25">
        <f>IFERROR(IF(_xlfn.MINIFS(tblComprasPM[Fecha],tblComprasPM[Codigo],tblMaestroEquipos[[#This Row],[Codigo]])=0,"",_xlfn.MINIFS(tblComprasPM[Fecha],tblComprasPM[Codigo],tblMaestroEquipos[[#This Row],[Codigo]])),"")</f>
        <v>46083.444348263904</v>
      </c>
      <c r="AA230" s="25">
        <f>IFERROR(IF(_xlfn.MAXIFS(tblBodega[Fecha],tblBodega[Codigo],tblMaestroEquipos[[#This Row],[Codigo]])=0,"",_xlfn.MAXIFS(tblBodega[Fecha],tblBodega[Codigo],tblMaestroEquipos[[#This Row],[Codigo]])),"")</f>
        <v>46093</v>
      </c>
      <c r="AB230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49</v>
      </c>
      <c r="AC230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39</v>
      </c>
      <c r="AD23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230" s="51" t="str">
        <f t="shared" si="25"/>
        <v>OPERATIVO</v>
      </c>
      <c r="AF230" s="18" t="str">
        <f t="shared" si="28"/>
        <v>BAJA</v>
      </c>
      <c r="AG230" s="18" t="str">
        <f t="shared" si="29"/>
        <v>Monitorear próximo vencimiento</v>
      </c>
      <c r="AH230">
        <f t="shared" si="30"/>
        <v>0</v>
      </c>
      <c r="AI230" t="str">
        <f t="shared" si="31"/>
        <v/>
      </c>
      <c r="AJ230" s="24">
        <f t="shared" si="32"/>
        <v>99</v>
      </c>
    </row>
    <row r="231" spans="1:36" s="27" customFormat="1">
      <c r="A231" s="18" t="s">
        <v>299</v>
      </c>
      <c r="B231" s="18" t="s">
        <v>264</v>
      </c>
      <c r="C231" s="18" t="s">
        <v>1070</v>
      </c>
      <c r="D231" s="18" t="s">
        <v>296</v>
      </c>
      <c r="E231" s="19" t="s">
        <v>297</v>
      </c>
      <c r="F231" s="18">
        <v>2019</v>
      </c>
      <c r="G231" s="18" t="str" cm="1">
        <f t="array" ref="G231">IFERROR(INDEX(Lecturas!$E$4:$E$3549,MATCH(1,(Lecturas!$B$4:$B$3549=$A231)*(Lecturas!$E$4:$E$3549&lt;&gt;"")*(Lecturas!$A$4:$A$3549=_xlfn.MAXIFS(Lecturas!$A$4:$A$3549,Lecturas!$B$4:$B$3549,$A231,Lecturas!$E$4:$E$3549,"&lt;&gt;")),0)),"")</f>
        <v>Quirihue</v>
      </c>
      <c r="H231" s="18"/>
      <c r="I231" s="18" t="s">
        <v>18</v>
      </c>
      <c r="J231" s="18">
        <v>250</v>
      </c>
      <c r="K231" s="18">
        <f>IFERROR(IF($I231="KM",ROUND((_xlfn.MAXIFS(tblLecturas[Kilometraje],tblLecturas[Codigo],$A231)-_xlfn.MINIFS(tblLecturas[Kilometraje],tblLecturas[Codigo],$A231))/(MAX(1,_xlfn.MAXIFS(tblLecturas[Fecha],tblLecturas[Codigo],$A231)-_xlfn.MINIFS(tblLecturas[Fecha],tblLecturas[Codigo],$A231))),1),ROUND((_xlfn.MAXIFS(tblLecturas[Horometro],tblLecturas[Codigo],$A231)-_xlfn.MINIFS(tblLecturas[Horometro],tblLecturas[Codigo],$A231))/(MAX(1,_xlfn.MAXIFS(tblLecturas[Fecha],tblLecturas[Codigo],$A231)-_xlfn.MINIFS(tblLecturas[Fecha],tblLecturas[Codigo],$A231))),1)),"")</f>
        <v>7.3</v>
      </c>
      <c r="L231" s="20">
        <f>IFERROR(_xlfn.MAXIFS(tblLecturas[Fecha],tblLecturas[Codigo],$A231),"")</f>
        <v>46101</v>
      </c>
      <c r="M231" s="26">
        <f>IFERROR(_xlfn.MAXIFS(Lecturas!$C:$C,Lecturas!$B:$B,$A231,Lecturas!$C:$C,"&gt;0"),"")</f>
        <v>8819</v>
      </c>
      <c r="N231" s="78">
        <f>IFERROR(_xlfn.MAXIFS(tblLecturas[Kilometraje],tblLecturas[Codigo],$A231,tblLecturas[Kilometraje],"&gt;0"),"")</f>
        <v>0</v>
      </c>
      <c r="O231" s="78" cm="1">
        <f t="array" ref="O231">IFERROR(IF($I231="KM",LOOKUP(2,1/(Lecturas!$B:$B=$A231)/(Lecturas!$D:$D&gt;0),Lecturas!$D:$D),LOOKUP(2,1/(Lecturas!$B:$B=$A231)/(Lecturas!$C:$C&gt;0),Lecturas!$C:$C)),"")</f>
        <v>8819</v>
      </c>
      <c r="P231" s="20">
        <f>IFERROR(_xlfn.MAXIFS(tblMantenciones[Fecha],tblMantenciones[Codigo],tblMaestroEquipos[[#This Row],[Codigo]],tblMantenciones[EsPM],"Sí"),"")</f>
        <v>46058</v>
      </c>
      <c r="Q231" s="78">
        <f>IF(_xlfn.MAXIFS(Mantenciones!$D:$D,Mantenciones!$B:$B,A231)=0,"Sin datos de mantención registrado",_xlfn.MAXIFS(Mantenciones!$D:$D,Mantenciones!$B:$B,A231))</f>
        <v>8547</v>
      </c>
      <c r="R231" s="18">
        <f>IFERROR(IF(_xlfn.MAXIFS(Mantenciones!$D:$D,Mantenciones!$B:$B,$A231,Mantenciones!$E:$E,"Sí",Mantenciones!$D:$D,"&gt;0")=0,"Sin datos de mantención registrado",_xlfn.MAXIFS(Mantenciones!$D:$D,Mantenciones!$B:$B,$A231,Mantenciones!$E:$E,"Sí",Mantenciones!$D:$D,"&gt;0")),"Sin datos de mantención registrado")</f>
        <v>8547</v>
      </c>
      <c r="S231" s="21">
        <f>IFERROR(SUMIFS(tblMantenciones[Costo Mantencion CLP],tblMantenciones[Codigo],A231),0)</f>
        <v>0</v>
      </c>
      <c r="T231" s="21">
        <f>IFERROR(SUMIFS(tblComprasPM[Costo PM CLP],tblComprasPM[Codigo],tblMaestroEquipos[[#This Row],[Codigo]]),0)</f>
        <v>775405.19</v>
      </c>
      <c r="U231" s="21">
        <f>IFERROR(tblMaestroEquipos[[#This Row],[Costo Mantenciones CLP]]+tblMaestroEquipos[[#This Row],[Costo Compras PM CLP]],0)</f>
        <v>775405.19</v>
      </c>
      <c r="V231" s="18" t="str">
        <f>IFERROR(_xlfn.XLOOKUP(tblMaestroEquipos[[#This Row],[Codigo]],tblEquipos[Codigo],tblEquipos[Estado Base]),"")</f>
        <v>Operativo</v>
      </c>
      <c r="W231" s="18" t="str">
        <f t="shared" si="26"/>
        <v>ATRASADA</v>
      </c>
      <c r="X231" s="18">
        <f t="shared" si="27"/>
        <v>-22</v>
      </c>
      <c r="Y231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46079</v>
      </c>
      <c r="Z231" s="25">
        <f>IFERROR(IF(_xlfn.MINIFS(tblComprasPM[Fecha],tblComprasPM[Codigo],tblMaestroEquipos[[#This Row],[Codigo]])=0,"",_xlfn.MINIFS(tblComprasPM[Fecha],tblComprasPM[Codigo],tblMaestroEquipos[[#This Row],[Codigo]])),"")</f>
        <v>46111</v>
      </c>
      <c r="AA231" s="25">
        <f>IFERROR(IF(_xlfn.MAXIFS(tblBodega[Fecha],tblBodega[Codigo],tblMaestroEquipos[[#This Row],[Codigo]])=0,"",_xlfn.MAXIFS(tblBodega[Fecha],tblBodega[Codigo],tblMaestroEquipos[[#This Row],[Codigo]])),"")</f>
        <v>46058</v>
      </c>
      <c r="AB23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231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23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231" s="51" t="str">
        <f t="shared" si="25"/>
        <v>OPERATIVO</v>
      </c>
      <c r="AF231" s="18" t="str">
        <f t="shared" si="28"/>
        <v>BAJA</v>
      </c>
      <c r="AG231" s="18" t="str">
        <f t="shared" si="29"/>
        <v>Monitorear próximo vencimiento</v>
      </c>
      <c r="AH231">
        <f t="shared" si="30"/>
        <v>0</v>
      </c>
      <c r="AI231" t="str">
        <f t="shared" si="31"/>
        <v/>
      </c>
      <c r="AJ231" s="24">
        <f t="shared" si="32"/>
        <v>1</v>
      </c>
    </row>
    <row r="232" spans="1:36" s="27" customFormat="1">
      <c r="A232" s="18" t="s">
        <v>65</v>
      </c>
      <c r="B232" s="18" t="s">
        <v>62</v>
      </c>
      <c r="C232" s="18" t="s">
        <v>1069</v>
      </c>
      <c r="D232" s="18" t="s">
        <v>66</v>
      </c>
      <c r="E232" s="19" t="s">
        <v>67</v>
      </c>
      <c r="F232" s="18">
        <v>1998</v>
      </c>
      <c r="G232" s="18" t="str" cm="1">
        <f t="array" ref="G232">IFERROR(INDEX(Lecturas!$E$4:$E$3549,MATCH(1,(Lecturas!$B$4:$B$3549=$A232)*(Lecturas!$E$4:$E$3549&lt;&gt;"")*(Lecturas!$A$4:$A$3549=_xlfn.MAXIFS(Lecturas!$A$4:$A$3549,Lecturas!$B$4:$B$3549,$A232,Lecturas!$E$4:$E$3549,"&lt;&gt;")),0)),"")</f>
        <v>Palmucho</v>
      </c>
      <c r="H232" s="18" t="s">
        <v>57</v>
      </c>
      <c r="I232" s="18" t="s">
        <v>18</v>
      </c>
      <c r="J232" s="18">
        <v>250</v>
      </c>
      <c r="K232" s="18">
        <f>IFERROR(IF($I232="KM",ROUND((_xlfn.MAXIFS(tblLecturas[Kilometraje],tblLecturas[Codigo],$A232)-_xlfn.MINIFS(tblLecturas[Kilometraje],tblLecturas[Codigo],$A232))/(MAX(1,_xlfn.MAXIFS(tblLecturas[Fecha],tblLecturas[Codigo],$A232)-_xlfn.MINIFS(tblLecturas[Fecha],tblLecturas[Codigo],$A232))),1),ROUND((_xlfn.MAXIFS(tblLecturas[Horometro],tblLecturas[Codigo],$A232)-_xlfn.MINIFS(tblLecturas[Horometro],tblLecturas[Codigo],$A232))/(MAX(1,_xlfn.MAXIFS(tblLecturas[Fecha],tblLecturas[Codigo],$A232)-_xlfn.MINIFS(tblLecturas[Fecha],tblLecturas[Codigo],$A232))),1)),"")</f>
        <v>2.1</v>
      </c>
      <c r="L232" s="20">
        <f>IFERROR(_xlfn.MAXIFS(tblLecturas[Fecha],tblLecturas[Codigo],$A232),"")</f>
        <v>46107</v>
      </c>
      <c r="M232" s="26">
        <f>IFERROR(_xlfn.MAXIFS(Lecturas!$C:$C,Lecturas!$B:$B,$A232,Lecturas!$C:$C,"&gt;0"),"")</f>
        <v>3895</v>
      </c>
      <c r="N232" s="78">
        <f>IFERROR(_xlfn.MAXIFS(tblLecturas[Kilometraje],tblLecturas[Codigo],$A232,tblLecturas[Kilometraje],"&gt;0"),"")</f>
        <v>63131</v>
      </c>
      <c r="O232" s="78" cm="1">
        <f t="array" ref="O232">IFERROR(IF($I232="KM",LOOKUP(2,1/(Lecturas!$B:$B=$A232)/(Lecturas!$D:$D&gt;0),Lecturas!$D:$D),LOOKUP(2,1/(Lecturas!$B:$B=$A232)/(Lecturas!$C:$C&gt;0),Lecturas!$C:$C)),"")</f>
        <v>3882</v>
      </c>
      <c r="P232" s="20">
        <f>IFERROR(_xlfn.MAXIFS(tblMantenciones[Fecha],tblMantenciones[Codigo],tblMaestroEquipos[[#This Row],[Codigo]],tblMantenciones[EsPM],"Sí"),"")</f>
        <v>0</v>
      </c>
      <c r="Q232" s="78" t="str">
        <f>IF(_xlfn.MAXIFS(Mantenciones!$D:$D,Mantenciones!$B:$B,A232)=0,"Sin datos de mantención registrado",_xlfn.MAXIFS(Mantenciones!$D:$D,Mantenciones!$B:$B,A232))</f>
        <v>Sin datos de mantención registrado</v>
      </c>
      <c r="R232" s="18" t="str">
        <f>IFERROR(IF(_xlfn.MAXIFS(Mantenciones!$D:$D,Mantenciones!$B:$B,$A232,Mantenciones!$E:$E,"Sí",Mantenciones!$D:$D,"&gt;0")=0,"Sin datos de mantención registrado",_xlfn.MAXIFS(Mantenciones!$D:$D,Mantenciones!$B:$B,$A232,Mantenciones!$E:$E,"Sí",Mantenciones!$D:$D,"&gt;0")),"Sin datos de mantención registrado")</f>
        <v>Sin datos de mantención registrado</v>
      </c>
      <c r="S232" s="21">
        <f>IFERROR(SUMIFS(tblMantenciones[Costo Mantencion CLP],tblMantenciones[Codigo],A232),0)</f>
        <v>0</v>
      </c>
      <c r="T232" s="21">
        <f>IFERROR(SUMIFS(tblComprasPM[Costo PM CLP],tblComprasPM[Codigo],tblMaestroEquipos[[#This Row],[Codigo]]),0)</f>
        <v>147899.15</v>
      </c>
      <c r="U232" s="21">
        <f>IFERROR(tblMaestroEquipos[[#This Row],[Costo Mantenciones CLP]]+tblMaestroEquipos[[#This Row],[Costo Compras PM CLP]],0)</f>
        <v>147899.15</v>
      </c>
      <c r="V232" s="18" t="str">
        <f>IFERROR(_xlfn.XLOOKUP(tblMaestroEquipos[[#This Row],[Codigo]],tblEquipos[Codigo],tblEquipos[Estado Base]),"")</f>
        <v>Operativo</v>
      </c>
      <c r="W232" s="18" t="str">
        <f t="shared" si="26"/>
        <v>EN PROCESO</v>
      </c>
      <c r="X232" s="18" t="str">
        <f t="shared" si="27"/>
        <v/>
      </c>
      <c r="Y23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32" s="25">
        <f>IFERROR(IF(_xlfn.MINIFS(tblComprasPM[Fecha],tblComprasPM[Codigo],tblMaestroEquipos[[#This Row],[Codigo]])=0,"",_xlfn.MINIFS(tblComprasPM[Fecha],tblComprasPM[Codigo],tblMaestroEquipos[[#This Row],[Codigo]])),"")</f>
        <v>46119.349964039298</v>
      </c>
      <c r="AA232" s="25" t="str">
        <f>IFERROR(IF(_xlfn.MAXIFS(tblBodega[Fecha],tblBodega[Codigo],tblMaestroEquipos[[#This Row],[Codigo]])=0,"",_xlfn.MAXIFS(tblBodega[Fecha],tblBodega[Codigo],tblMaestroEquipos[[#This Row],[Codigo]])),"")</f>
        <v/>
      </c>
      <c r="AB232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26</v>
      </c>
      <c r="AC23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3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32" s="51" t="str">
        <f t="shared" si="25"/>
        <v>EN PROCESO</v>
      </c>
      <c r="AF232" s="18" t="str">
        <f t="shared" si="28"/>
        <v>SEGUIMIENTO</v>
      </c>
      <c r="AG232" s="18" t="str">
        <f t="shared" si="29"/>
        <v>Hacer seguimiento al taller y cerrar report</v>
      </c>
      <c r="AH232">
        <f t="shared" si="30"/>
        <v>0</v>
      </c>
      <c r="AI232" t="str">
        <f t="shared" si="31"/>
        <v/>
      </c>
      <c r="AJ232" s="24">
        <f t="shared" si="32"/>
        <v>2</v>
      </c>
    </row>
    <row r="233" spans="1:36" s="27" customFormat="1">
      <c r="A233" s="18" t="s">
        <v>29</v>
      </c>
      <c r="B233" s="18" t="s">
        <v>20</v>
      </c>
      <c r="C233" s="18" t="s">
        <v>1069</v>
      </c>
      <c r="D233" s="18" t="s">
        <v>21</v>
      </c>
      <c r="E233" s="19" t="s">
        <v>22</v>
      </c>
      <c r="F233" s="18">
        <v>2019</v>
      </c>
      <c r="G233" s="18" t="str" cm="1">
        <f t="array" ref="G233">IFERROR(INDEX(Lecturas!$E$4:$E$3549,MATCH(1,(Lecturas!$B$4:$B$3549=$A233)*(Lecturas!$E$4:$E$3549&lt;&gt;"")*(Lecturas!$A$4:$A$3549=_xlfn.MAXIFS(Lecturas!$A$4:$A$3549,Lecturas!$B$4:$B$3549,$A233,Lecturas!$E$4:$E$3549,"&lt;&gt;")),0)),"")</f>
        <v>Curicó</v>
      </c>
      <c r="H233" s="18" t="s">
        <v>1076</v>
      </c>
      <c r="I233" s="18" t="s">
        <v>18</v>
      </c>
      <c r="J233" s="18">
        <v>250</v>
      </c>
      <c r="K233" s="18">
        <f>IFERROR(IF($I233="KM",ROUND((_xlfn.MAXIFS(tblLecturas[Kilometraje],tblLecturas[Codigo],$A233)-_xlfn.MINIFS(tblLecturas[Kilometraje],tblLecturas[Codigo],$A233))/(MAX(1,_xlfn.MAXIFS(tblLecturas[Fecha],tblLecturas[Codigo],$A233)-_xlfn.MINIFS(tblLecturas[Fecha],tblLecturas[Codigo],$A233))),1),ROUND((_xlfn.MAXIFS(tblLecturas[Horometro],tblLecturas[Codigo],$A233)-_xlfn.MINIFS(tblLecturas[Horometro],tblLecturas[Codigo],$A233))/(MAX(1,_xlfn.MAXIFS(tblLecturas[Fecha],tblLecturas[Codigo],$A233)-_xlfn.MINIFS(tblLecturas[Fecha],tblLecturas[Codigo],$A233))),1)),"")</f>
        <v>5.6</v>
      </c>
      <c r="L233" s="20">
        <f>IFERROR(_xlfn.MAXIFS(tblLecturas[Fecha],tblLecturas[Codigo],$A233),"")</f>
        <v>46114</v>
      </c>
      <c r="M233" s="26">
        <f>IFERROR(_xlfn.MAXIFS(Lecturas!$C:$C,Lecturas!$B:$B,$A233,Lecturas!$C:$C,"&gt;0"),"")</f>
        <v>10709</v>
      </c>
      <c r="N233" s="78">
        <f>IFERROR(_xlfn.MAXIFS(tblLecturas[Kilometraje],tblLecturas[Codigo],$A233,tblLecturas[Kilometraje],"&gt;0"),"")</f>
        <v>261250</v>
      </c>
      <c r="O233" s="78" cm="1">
        <f t="array" ref="O233">IFERROR(IF($I233="KM",LOOKUP(2,1/(Lecturas!$B:$B=$A233)/(Lecturas!$D:$D&gt;0),Lecturas!$D:$D),LOOKUP(2,1/(Lecturas!$B:$B=$A233)/(Lecturas!$C:$C&gt;0),Lecturas!$C:$C)),"")</f>
        <v>10709</v>
      </c>
      <c r="P233" s="20">
        <f>IFERROR(_xlfn.MAXIFS(tblMantenciones[Fecha],tblMantenciones[Codigo],tblMaestroEquipos[[#This Row],[Codigo]],tblMantenciones[EsPM],"Sí"),"")</f>
        <v>46060</v>
      </c>
      <c r="Q233" s="78" t="str">
        <f>IF(_xlfn.MAXIFS(Mantenciones!$D:$D,Mantenciones!$B:$B,A233)=0,"Sin datos de mantención registrado",_xlfn.MAXIFS(Mantenciones!$D:$D,Mantenciones!$B:$B,A233))</f>
        <v>Sin datos de mantención registrado</v>
      </c>
      <c r="R233" s="18" t="str">
        <f>IFERROR(IF(_xlfn.MAXIFS(Mantenciones!$D:$D,Mantenciones!$B:$B,$A233,Mantenciones!$E:$E,"Sí",Mantenciones!$D:$D,"&gt;0")=0,"Sin datos de mantención registrado",_xlfn.MAXIFS(Mantenciones!$D:$D,Mantenciones!$B:$B,$A233,Mantenciones!$E:$E,"Sí",Mantenciones!$D:$D,"&gt;0")),"Sin datos de mantención registrado")</f>
        <v>Sin datos de mantención registrado</v>
      </c>
      <c r="S233" s="21">
        <f>IFERROR(SUMIFS(tblMantenciones[Costo Mantencion CLP],tblMantenciones[Codigo],A233),0)</f>
        <v>0</v>
      </c>
      <c r="T233" s="21">
        <f>IFERROR(SUMIFS(tblComprasPM[Costo PM CLP],tblComprasPM[Codigo],tblMaestroEquipos[[#This Row],[Codigo]]),0)</f>
        <v>63430.805899999999</v>
      </c>
      <c r="U233" s="21">
        <f>IFERROR(tblMaestroEquipos[[#This Row],[Costo Mantenciones CLP]]+tblMaestroEquipos[[#This Row],[Costo Compras PM CLP]],0)</f>
        <v>63430.805899999999</v>
      </c>
      <c r="V233" s="18" t="str">
        <f>IFERROR(_xlfn.XLOOKUP(tblMaestroEquipos[[#This Row],[Codigo]],tblEquipos[Codigo],tblEquipos[Estado Base]),"")</f>
        <v>Operativo</v>
      </c>
      <c r="W233" s="18" t="str">
        <f t="shared" si="26"/>
        <v>AL DÍA</v>
      </c>
      <c r="X233" s="18" t="str">
        <f t="shared" si="27"/>
        <v/>
      </c>
      <c r="Y233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33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233" s="25">
        <f>IFERROR(IF(_xlfn.MAXIFS(tblBodega[Fecha],tblBodega[Codigo],tblMaestroEquipos[[#This Row],[Codigo]])=0,"",_xlfn.MAXIFS(tblBodega[Fecha],tblBodega[Codigo],tblMaestroEquipos[[#This Row],[Codigo]])),"")</f>
        <v>46060</v>
      </c>
      <c r="AB233" s="26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233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23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233" s="51" t="str">
        <f t="shared" si="25"/>
        <v>OPERATIVO</v>
      </c>
      <c r="AF233" s="18" t="str">
        <f t="shared" si="28"/>
        <v>BAJA</v>
      </c>
      <c r="AG233" s="18" t="str">
        <f t="shared" si="29"/>
        <v>Monitorear próximo vencimiento</v>
      </c>
      <c r="AH233">
        <f t="shared" si="30"/>
        <v>0</v>
      </c>
      <c r="AI233" t="str">
        <f t="shared" si="31"/>
        <v/>
      </c>
      <c r="AJ233" s="24">
        <f t="shared" si="32"/>
        <v>99</v>
      </c>
    </row>
    <row r="234" spans="1:36" s="27" customFormat="1">
      <c r="A234" s="18" t="s">
        <v>431</v>
      </c>
      <c r="B234" s="18" t="s">
        <v>264</v>
      </c>
      <c r="C234" s="18" t="s">
        <v>1070</v>
      </c>
      <c r="D234" s="18" t="s">
        <v>317</v>
      </c>
      <c r="E234" s="19" t="s">
        <v>322</v>
      </c>
      <c r="F234" s="18">
        <v>2012</v>
      </c>
      <c r="G234" s="18" t="str" cm="1">
        <f t="array" ref="G234">IFERROR(INDEX(Lecturas!$E$4:$E$3549,MATCH(1,(Lecturas!$B$4:$B$3549=$A234)*(Lecturas!$E$4:$E$3549&lt;&gt;"")*(Lecturas!$A$4:$A$3549=_xlfn.MAXIFS(Lecturas!$A$4:$A$3549,Lecturas!$B$4:$B$3549,$A234,Lecturas!$E$4:$E$3549,"&lt;&gt;")),0)),"")</f>
        <v>Cobquecura</v>
      </c>
      <c r="H234" s="18" t="s">
        <v>432</v>
      </c>
      <c r="I234" s="18" t="s">
        <v>18</v>
      </c>
      <c r="J234" s="18">
        <v>250</v>
      </c>
      <c r="K234" s="18">
        <f>IFERROR(IF($I234="KM",ROUND((_xlfn.MAXIFS(tblLecturas[Kilometraje],tblLecturas[Codigo],$A234)-_xlfn.MINIFS(tblLecturas[Kilometraje],tblLecturas[Codigo],$A234))/(MAX(1,_xlfn.MAXIFS(tblLecturas[Fecha],tblLecturas[Codigo],$A234)-_xlfn.MINIFS(tblLecturas[Fecha],tblLecturas[Codigo],$A234))),1),ROUND((_xlfn.MAXIFS(tblLecturas[Horometro],tblLecturas[Codigo],$A234)-_xlfn.MINIFS(tblLecturas[Horometro],tblLecturas[Codigo],$A234))/(MAX(1,_xlfn.MAXIFS(tblLecturas[Fecha],tblLecturas[Codigo],$A234)-_xlfn.MINIFS(tblLecturas[Fecha],tblLecturas[Codigo],$A234))),1)),"")</f>
        <v>3.8</v>
      </c>
      <c r="L234" s="20">
        <f>IFERROR(_xlfn.MAXIFS(tblLecturas[Fecha],tblLecturas[Codigo],$A234),"")</f>
        <v>46098</v>
      </c>
      <c r="M234" s="26">
        <f>IFERROR(_xlfn.MAXIFS(Lecturas!$C:$C,Lecturas!$B:$B,$A234,Lecturas!$C:$C,"&gt;0"),"")</f>
        <v>10101</v>
      </c>
      <c r="N234" s="78">
        <f>IFERROR(_xlfn.MAXIFS(tblLecturas[Kilometraje],tblLecturas[Codigo],$A234,tblLecturas[Kilometraje],"&gt;0"),"")</f>
        <v>0</v>
      </c>
      <c r="O234" s="78" cm="1">
        <f t="array" ref="O234">IFERROR(IF($I234="KM",LOOKUP(2,1/(Lecturas!$B:$B=$A234)/(Lecturas!$D:$D&gt;0),Lecturas!$D:$D),LOOKUP(2,1/(Lecturas!$B:$B=$A234)/(Lecturas!$C:$C&gt;0),Lecturas!$C:$C)),"")</f>
        <v>10101</v>
      </c>
      <c r="P234" s="20">
        <f>IFERROR(_xlfn.MAXIFS(tblMantenciones[Fecha],tblMantenciones[Codigo],tblMaestroEquipos[[#This Row],[Codigo]],tblMantenciones[EsPM],"Sí"),"")</f>
        <v>46133</v>
      </c>
      <c r="Q234" s="78">
        <f>IF(_xlfn.MAXIFS(Mantenciones!$D:$D,Mantenciones!$B:$B,A234)=0,"Sin datos de mantención registrado",_xlfn.MAXIFS(Mantenciones!$D:$D,Mantenciones!$B:$B,A234))</f>
        <v>10222</v>
      </c>
      <c r="R234" s="18">
        <f>IFERROR(IF(_xlfn.MAXIFS(Mantenciones!$D:$D,Mantenciones!$B:$B,$A234,Mantenciones!$E:$E,"Sí",Mantenciones!$D:$D,"&gt;0")=0,"Sin datos de mantención registrado",_xlfn.MAXIFS(Mantenciones!$D:$D,Mantenciones!$B:$B,$A234,Mantenciones!$E:$E,"Sí",Mantenciones!$D:$D,"&gt;0")),"Sin datos de mantención registrado")</f>
        <v>10222</v>
      </c>
      <c r="S234" s="21">
        <f>IFERROR(SUMIFS(tblMantenciones[Costo Mantencion CLP],tblMantenciones[Codigo],A234),0)</f>
        <v>0</v>
      </c>
      <c r="T234" s="21">
        <f>IFERROR(SUMIFS(tblComprasPM[Costo PM CLP],tblComprasPM[Codigo],tblMaestroEquipos[[#This Row],[Codigo]]),0)</f>
        <v>237325.27</v>
      </c>
      <c r="U234" s="21">
        <f>IFERROR(tblMaestroEquipos[[#This Row],[Costo Mantenciones CLP]]+tblMaestroEquipos[[#This Row],[Costo Compras PM CLP]],0)</f>
        <v>237325.27</v>
      </c>
      <c r="V234" s="18" t="str">
        <f>IFERROR(_xlfn.XLOOKUP(tblMaestroEquipos[[#This Row],[Codigo]],tblEquipos[Codigo],tblEquipos[Estado Base]),"")</f>
        <v>Operativo</v>
      </c>
      <c r="W234" s="18" t="str">
        <f t="shared" si="26"/>
        <v>AL DÍA</v>
      </c>
      <c r="X234" s="18">
        <f t="shared" si="27"/>
        <v>371</v>
      </c>
      <c r="Y234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46469</v>
      </c>
      <c r="Z234" s="25">
        <f>IFERROR(IF(_xlfn.MINIFS(tblComprasPM[Fecha],tblComprasPM[Codigo],tblMaestroEquipos[[#This Row],[Codigo]])=0,"",_xlfn.MINIFS(tblComprasPM[Fecha],tblComprasPM[Codigo],tblMaestroEquipos[[#This Row],[Codigo]])),"")</f>
        <v>46084.554178669001</v>
      </c>
      <c r="AA234" s="25">
        <f>IFERROR(IF(_xlfn.MAXIFS(tblBodega[Fecha],tblBodega[Codigo],tblMaestroEquipos[[#This Row],[Codigo]])=0,"",_xlfn.MAXIFS(tblBodega[Fecha],tblBodega[Codigo],tblMaestroEquipos[[#This Row],[Codigo]])),"")</f>
        <v>46093</v>
      </c>
      <c r="AB234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49</v>
      </c>
      <c r="AC23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40</v>
      </c>
      <c r="AD23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234" s="51" t="str">
        <f t="shared" si="25"/>
        <v>OPERATIVO</v>
      </c>
      <c r="AF234" s="18" t="str">
        <f t="shared" si="28"/>
        <v>BAJA</v>
      </c>
      <c r="AG234" s="18" t="str">
        <f t="shared" si="29"/>
        <v>Monitorear próximo vencimiento</v>
      </c>
      <c r="AH234">
        <f t="shared" si="30"/>
        <v>0</v>
      </c>
      <c r="AI234" t="str">
        <f t="shared" si="31"/>
        <v/>
      </c>
      <c r="AJ234" s="24">
        <f t="shared" si="32"/>
        <v>99</v>
      </c>
    </row>
    <row r="235" spans="1:36" s="27" customFormat="1">
      <c r="A235" s="18" t="s">
        <v>32</v>
      </c>
      <c r="B235" s="18" t="s">
        <v>20</v>
      </c>
      <c r="C235" s="18" t="s">
        <v>1069</v>
      </c>
      <c r="D235" s="18" t="s">
        <v>21</v>
      </c>
      <c r="E235" s="19" t="s">
        <v>22</v>
      </c>
      <c r="F235" s="18">
        <v>2018</v>
      </c>
      <c r="G235" s="18" t="str" cm="1">
        <f t="array" ref="G235">IFERROR(INDEX(Lecturas!$E$4:$E$3549,MATCH(1,(Lecturas!$B$4:$B$3549=$A235)*(Lecturas!$E$4:$E$3549&lt;&gt;"")*(Lecturas!$A$4:$A$3549=_xlfn.MAXIFS(Lecturas!$A$4:$A$3549,Lecturas!$B$4:$B$3549,$A235,Lecturas!$E$4:$E$3549,"&lt;&gt;")),0)),"")</f>
        <v>Palmucho</v>
      </c>
      <c r="H235" s="18" t="s">
        <v>1072</v>
      </c>
      <c r="I235" s="18" t="s">
        <v>18</v>
      </c>
      <c r="J235" s="18">
        <v>250</v>
      </c>
      <c r="K235" s="18">
        <f>IFERROR(IF($I235="KM",ROUND((_xlfn.MAXIFS(tblLecturas[Kilometraje],tblLecturas[Codigo],$A235)-_xlfn.MINIFS(tblLecturas[Kilometraje],tblLecturas[Codigo],$A235))/(MAX(1,_xlfn.MAXIFS(tblLecturas[Fecha],tblLecturas[Codigo],$A235)-_xlfn.MINIFS(tblLecturas[Fecha],tblLecturas[Codigo],$A235))),1),ROUND((_xlfn.MAXIFS(tblLecturas[Horometro],tblLecturas[Codigo],$A235)-_xlfn.MINIFS(tblLecturas[Horometro],tblLecturas[Codigo],$A235))/(MAX(1,_xlfn.MAXIFS(tblLecturas[Fecha],tblLecturas[Codigo],$A235)-_xlfn.MINIFS(tblLecturas[Fecha],tblLecturas[Codigo],$A235))),1)),"")</f>
        <v>3.7</v>
      </c>
      <c r="L235" s="20">
        <f>IFERROR(_xlfn.MAXIFS(tblLecturas[Fecha],tblLecturas[Codigo],$A235),"")</f>
        <v>46107</v>
      </c>
      <c r="M235" s="26">
        <f>IFERROR(_xlfn.MAXIFS(Lecturas!$C:$C,Lecturas!$B:$B,$A235,Lecturas!$C:$C,"&gt;0"),"")</f>
        <v>10623</v>
      </c>
      <c r="N235" s="78">
        <f>IFERROR(_xlfn.MAXIFS(tblLecturas[Kilometraje],tblLecturas[Codigo],$A235,tblLecturas[Kilometraje],"&gt;0"),"")</f>
        <v>257067</v>
      </c>
      <c r="O235" s="78" cm="1">
        <f t="array" ref="O235">IFERROR(IF($I235="KM",LOOKUP(2,1/(Lecturas!$B:$B=$A235)/(Lecturas!$D:$D&gt;0),Lecturas!$D:$D),LOOKUP(2,1/(Lecturas!$B:$B=$A235)/(Lecturas!$C:$C&gt;0),Lecturas!$C:$C)),"")</f>
        <v>6702</v>
      </c>
      <c r="P235" s="20">
        <f>IFERROR(_xlfn.MAXIFS(tblMantenciones[Fecha],tblMantenciones[Codigo],tblMaestroEquipos[[#This Row],[Codigo]],tblMantenciones[EsPM],"Sí"),"")</f>
        <v>46127</v>
      </c>
      <c r="Q235" s="78">
        <f>IF(_xlfn.MAXIFS(Mantenciones!$D:$D,Mantenciones!$B:$B,A235)=0,"Sin datos de mantención registrado",_xlfn.MAXIFS(Mantenciones!$D:$D,Mantenciones!$B:$B,A235))</f>
        <v>10738</v>
      </c>
      <c r="R235" s="18">
        <f>IFERROR(IF(_xlfn.MAXIFS(Mantenciones!$D:$D,Mantenciones!$B:$B,$A235,Mantenciones!$E:$E,"Sí",Mantenciones!$D:$D,"&gt;0")=0,"Sin datos de mantención registrado",_xlfn.MAXIFS(Mantenciones!$D:$D,Mantenciones!$B:$B,$A235,Mantenciones!$E:$E,"Sí",Mantenciones!$D:$D,"&gt;0")),"Sin datos de mantención registrado")</f>
        <v>10738</v>
      </c>
      <c r="S235" s="21">
        <f>IFERROR(SUMIFS(tblMantenciones[Costo Mantencion CLP],tblMantenciones[Codigo],A235),0)</f>
        <v>0</v>
      </c>
      <c r="T235" s="21">
        <f>IFERROR(SUMIFS(tblComprasPM[Costo PM CLP],tblComprasPM[Codigo],tblMaestroEquipos[[#This Row],[Codigo]]),0)</f>
        <v>63430.805899999999</v>
      </c>
      <c r="U235" s="21">
        <f>IFERROR(tblMaestroEquipos[[#This Row],[Costo Mantenciones CLP]]+tblMaestroEquipos[[#This Row],[Costo Compras PM CLP]],0)</f>
        <v>63430.805899999999</v>
      </c>
      <c r="V235" s="18" t="str">
        <f>IFERROR(_xlfn.XLOOKUP(tblMaestroEquipos[[#This Row],[Codigo]],tblEquipos[Codigo],tblEquipos[Estado Base]),"")</f>
        <v>Operativo</v>
      </c>
      <c r="W235" s="18" t="str">
        <f t="shared" si="26"/>
        <v>AL DÍA</v>
      </c>
      <c r="X235" s="18">
        <f t="shared" si="27"/>
        <v>4286</v>
      </c>
      <c r="Y23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50393</v>
      </c>
      <c r="Z235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235" s="25">
        <f>IFERROR(IF(_xlfn.MAXIFS(tblBodega[Fecha],tblBodega[Codigo],tblMaestroEquipos[[#This Row],[Codigo]])=0,"",_xlfn.MAXIFS(tblBodega[Fecha],tblBodega[Codigo],tblMaestroEquipos[[#This Row],[Codigo]])),"")</f>
        <v>46105</v>
      </c>
      <c r="AB235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58</v>
      </c>
      <c r="AC23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22</v>
      </c>
      <c r="AD23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235" s="51" t="str">
        <f t="shared" si="25"/>
        <v>OPERATIVO</v>
      </c>
      <c r="AF235" s="18" t="str">
        <f t="shared" si="28"/>
        <v>BAJA</v>
      </c>
      <c r="AG235" s="18" t="str">
        <f t="shared" si="29"/>
        <v>Monitorear próximo vencimiento</v>
      </c>
      <c r="AH235">
        <f t="shared" si="30"/>
        <v>0</v>
      </c>
      <c r="AI235" t="str">
        <f t="shared" si="31"/>
        <v/>
      </c>
      <c r="AJ235" s="24">
        <f t="shared" si="32"/>
        <v>99</v>
      </c>
    </row>
    <row r="236" spans="1:36" s="27" customFormat="1">
      <c r="A236" s="18" t="s">
        <v>185</v>
      </c>
      <c r="B236" s="18" t="s">
        <v>116</v>
      </c>
      <c r="C236" s="18" t="s">
        <v>1069</v>
      </c>
      <c r="D236" s="18" t="s">
        <v>55</v>
      </c>
      <c r="E236" s="19" t="s">
        <v>56</v>
      </c>
      <c r="F236" s="18">
        <v>2007</v>
      </c>
      <c r="G236" s="18" t="str" cm="1">
        <f t="array" ref="G236">IFERROR(INDEX(Lecturas!$E$4:$E$3549,MATCH(1,(Lecturas!$B$4:$B$3549=$A236)*(Lecturas!$E$4:$E$3549&lt;&gt;"")*(Lecturas!$A$4:$A$3549=_xlfn.MAXIFS(Lecturas!$A$4:$A$3549,Lecturas!$B$4:$B$3549,$A236,Lecturas!$E$4:$E$3549,"&lt;&gt;")),0)),"")</f>
        <v>Palmucho</v>
      </c>
      <c r="H236" s="18" t="s">
        <v>186</v>
      </c>
      <c r="I236" s="18" t="s">
        <v>462</v>
      </c>
      <c r="J236" s="18">
        <v>250</v>
      </c>
      <c r="K236" s="18">
        <f>IFERROR(IF($I236="KM",ROUND((_xlfn.MAXIFS(tblLecturas[Kilometraje],tblLecturas[Codigo],$A236)-_xlfn.MINIFS(tblLecturas[Kilometraje],tblLecturas[Codigo],$A236))/(MAX(1,_xlfn.MAXIFS(tblLecturas[Fecha],tblLecturas[Codigo],$A236)-_xlfn.MINIFS(tblLecturas[Fecha],tblLecturas[Codigo],$A236))),1),ROUND((_xlfn.MAXIFS(tblLecturas[Horometro],tblLecturas[Codigo],$A236)-_xlfn.MINIFS(tblLecturas[Horometro],tblLecturas[Codigo],$A236))/(MAX(1,_xlfn.MAXIFS(tblLecturas[Fecha],tblLecturas[Codigo],$A236)-_xlfn.MINIFS(tblLecturas[Fecha],tblLecturas[Codigo],$A236))),1)),"")</f>
        <v>189.3</v>
      </c>
      <c r="L236" s="20">
        <f>IFERROR(_xlfn.MAXIFS(tblLecturas[Fecha],tblLecturas[Codigo],$A236),"")</f>
        <v>46065</v>
      </c>
      <c r="M236" s="26">
        <f>IFERROR(_xlfn.MAXIFS(Lecturas!$C:$C,Lecturas!$B:$B,$A236,Lecturas!$C:$C,"&gt;0"),"")</f>
        <v>8273</v>
      </c>
      <c r="N236" s="78">
        <f>IFERROR(_xlfn.MAXIFS(tblLecturas[Kilometraje],tblLecturas[Codigo],$A236,tblLecturas[Kilometraje],"&gt;0"),"")</f>
        <v>571151</v>
      </c>
      <c r="O236" s="78" cm="1">
        <f t="array" ref="O236">IFERROR(IF($I236="KM",LOOKUP(2,1/(Lecturas!$B:$B=$A236)/(Lecturas!$D:$D&gt;0),Lecturas!$D:$D),LOOKUP(2,1/(Lecturas!$B:$B=$A236)/(Lecturas!$C:$C&gt;0),Lecturas!$C:$C)),"")</f>
        <v>571151</v>
      </c>
      <c r="P236" s="20">
        <f>IFERROR(_xlfn.MAXIFS(tblMantenciones[Fecha],tblMantenciones[Codigo],tblMaestroEquipos[[#This Row],[Codigo]],tblMantenciones[EsPM],"Sí"),"")</f>
        <v>0</v>
      </c>
      <c r="Q236" s="78" t="str">
        <f>IF(_xlfn.MAXIFS(Mantenciones!$D:$D,Mantenciones!$B:$B,A236)=0,"Sin datos de mantención registrado",_xlfn.MAXIFS(Mantenciones!$D:$D,Mantenciones!$B:$B,A236))</f>
        <v>Sin datos de mantención registrado</v>
      </c>
      <c r="R236" s="18" t="str">
        <f>IFERROR(IF(_xlfn.MAXIFS(Mantenciones!$D:$D,Mantenciones!$B:$B,$A236,Mantenciones!$E:$E,"Sí",Mantenciones!$D:$D,"&gt;0")=0,"Sin datos de mantención registrado",_xlfn.MAXIFS(Mantenciones!$D:$D,Mantenciones!$B:$B,$A236,Mantenciones!$E:$E,"Sí",Mantenciones!$D:$D,"&gt;0")),"Sin datos de mantención registrado")</f>
        <v>Sin datos de mantención registrado</v>
      </c>
      <c r="S236" s="21">
        <f>IFERROR(SUMIFS(tblMantenciones[Costo Mantencion CLP],tblMantenciones[Codigo],A236),0)</f>
        <v>0</v>
      </c>
      <c r="T236" s="21">
        <f>IFERROR(SUMIFS(tblComprasPM[Costo PM CLP],tblComprasPM[Codigo],tblMaestroEquipos[[#This Row],[Codigo]]),0)</f>
        <v>75899.973100000003</v>
      </c>
      <c r="U236" s="21">
        <f>IFERROR(tblMaestroEquipos[[#This Row],[Costo Mantenciones CLP]]+tblMaestroEquipos[[#This Row],[Costo Compras PM CLP]],0)</f>
        <v>75899.973100000003</v>
      </c>
      <c r="V236" s="18" t="str">
        <f>IFERROR(_xlfn.XLOOKUP(tblMaestroEquipos[[#This Row],[Codigo]],tblEquipos[Codigo],tblEquipos[Estado Base]),"")</f>
        <v>Operativo</v>
      </c>
      <c r="W236" s="18" t="str">
        <f t="shared" si="26"/>
        <v>POR RECIBIR</v>
      </c>
      <c r="X236" s="18" t="str">
        <f t="shared" si="27"/>
        <v/>
      </c>
      <c r="Y23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36" s="25">
        <f>IFERROR(IF(_xlfn.MINIFS(tblComprasPM[Fecha],tblComprasPM[Codigo],tblMaestroEquipos[[#This Row],[Codigo]])=0,"",_xlfn.MINIFS(tblComprasPM[Fecha],tblComprasPM[Codigo],tblMaestroEquipos[[#This Row],[Codigo]])),"")</f>
        <v>46079.451422071797</v>
      </c>
      <c r="AA236" s="25">
        <f>IFERROR(IF(_xlfn.MAXIFS(tblBodega[Fecha],tblBodega[Codigo],tblMaestroEquipos[[#This Row],[Codigo]])=0,"",_xlfn.MAXIFS(tblBodega[Fecha],tblBodega[Codigo],tblMaestroEquipos[[#This Row],[Codigo]])),"")</f>
        <v>46097</v>
      </c>
      <c r="AB23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66</v>
      </c>
      <c r="AC23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48</v>
      </c>
      <c r="AD23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36" s="51" t="str">
        <f t="shared" si="25"/>
        <v>OPERATIVO</v>
      </c>
      <c r="AF236" s="18" t="str">
        <f t="shared" si="28"/>
        <v>BAJA</v>
      </c>
      <c r="AG236" s="18" t="str">
        <f t="shared" si="29"/>
        <v>Monitorear próximo vencimiento</v>
      </c>
      <c r="AH236">
        <f t="shared" si="30"/>
        <v>0</v>
      </c>
      <c r="AI236" t="str">
        <f t="shared" si="31"/>
        <v/>
      </c>
      <c r="AJ236" s="24">
        <f t="shared" si="32"/>
        <v>3</v>
      </c>
    </row>
    <row r="237" spans="1:36" s="27" customFormat="1">
      <c r="A237" s="18" t="s">
        <v>173</v>
      </c>
      <c r="B237" s="18" t="s">
        <v>20</v>
      </c>
      <c r="C237" s="18" t="s">
        <v>1069</v>
      </c>
      <c r="D237" s="18" t="s">
        <v>21</v>
      </c>
      <c r="E237" s="19" t="s">
        <v>87</v>
      </c>
      <c r="F237" s="18">
        <v>2020</v>
      </c>
      <c r="G237" s="18" t="str" cm="1">
        <f t="array" ref="G237">IFERROR(INDEX(Lecturas!$E$4:$E$3549,MATCH(1,(Lecturas!$B$4:$B$3549=$A237)*(Lecturas!$E$4:$E$3549&lt;&gt;"")*(Lecturas!$A$4:$A$3549=_xlfn.MAXIFS(Lecturas!$A$4:$A$3549,Lecturas!$B$4:$B$3549,$A237,Lecturas!$E$4:$E$3549,"&lt;&gt;")),0)),"")</f>
        <v>Palmucho</v>
      </c>
      <c r="H237" s="18" t="s">
        <v>1073</v>
      </c>
      <c r="I237" s="18" t="s">
        <v>18</v>
      </c>
      <c r="J237" s="18">
        <v>250</v>
      </c>
      <c r="K237" s="18">
        <f>IFERROR(IF($I237="KM",ROUND((_xlfn.MAXIFS(tblLecturas[Kilometraje],tblLecturas[Codigo],$A237)-_xlfn.MINIFS(tblLecturas[Kilometraje],tblLecturas[Codigo],$A237))/(MAX(1,_xlfn.MAXIFS(tblLecturas[Fecha],tblLecturas[Codigo],$A237)-_xlfn.MINIFS(tblLecturas[Fecha],tblLecturas[Codigo],$A237))),1),ROUND((_xlfn.MAXIFS(tblLecturas[Horometro],tblLecturas[Codigo],$A237)-_xlfn.MINIFS(tblLecturas[Horometro],tblLecturas[Codigo],$A237))/(MAX(1,_xlfn.MAXIFS(tblLecturas[Fecha],tblLecturas[Codigo],$A237)-_xlfn.MINIFS(tblLecturas[Fecha],tblLecturas[Codigo],$A237))),1)),"")</f>
        <v>3.5</v>
      </c>
      <c r="L237" s="20">
        <f>IFERROR(_xlfn.MAXIFS(tblLecturas[Fecha],tblLecturas[Codigo],$A237),"")</f>
        <v>46107</v>
      </c>
      <c r="M237" s="26">
        <f>IFERROR(_xlfn.MAXIFS(Lecturas!$C:$C,Lecturas!$B:$B,$A237,Lecturas!$C:$C,"&gt;0"),"")</f>
        <v>8634</v>
      </c>
      <c r="N237" s="78">
        <f>IFERROR(_xlfn.MAXIFS(tblLecturas[Kilometraje],tblLecturas[Codigo],$A237,tblLecturas[Kilometraje],"&gt;0"),"")</f>
        <v>166100</v>
      </c>
      <c r="O237" s="78" cm="1">
        <f t="array" ref="O237">IFERROR(IF($I237="KM",LOOKUP(2,1/(Lecturas!$B:$B=$A237)/(Lecturas!$D:$D&gt;0),Lecturas!$D:$D),LOOKUP(2,1/(Lecturas!$B:$B=$A237)/(Lecturas!$C:$C&gt;0),Lecturas!$C:$C)),"")</f>
        <v>8634</v>
      </c>
      <c r="P237" s="20">
        <f>IFERROR(_xlfn.MAXIFS(tblMantenciones[Fecha],tblMantenciones[Codigo],tblMaestroEquipos[[#This Row],[Codigo]],tblMantenciones[EsPM],"Sí"),"")</f>
        <v>0</v>
      </c>
      <c r="Q237" s="78" t="str">
        <f>IF(_xlfn.MAXIFS(Mantenciones!$D:$D,Mantenciones!$B:$B,A237)=0,"Sin datos de mantención registrado",_xlfn.MAXIFS(Mantenciones!$D:$D,Mantenciones!$B:$B,A237))</f>
        <v>Sin datos de mantención registrado</v>
      </c>
      <c r="R237" s="18" t="str">
        <f>IFERROR(IF(_xlfn.MAXIFS(Mantenciones!$D:$D,Mantenciones!$B:$B,$A237,Mantenciones!$E:$E,"Sí",Mantenciones!$D:$D,"&gt;0")=0,"Sin datos de mantención registrado",_xlfn.MAXIFS(Mantenciones!$D:$D,Mantenciones!$B:$B,$A237,Mantenciones!$E:$E,"Sí",Mantenciones!$D:$D,"&gt;0")),"Sin datos de mantención registrado")</f>
        <v>Sin datos de mantención registrado</v>
      </c>
      <c r="S237" s="21">
        <f>IFERROR(SUMIFS(tblMantenciones[Costo Mantencion CLP],tblMantenciones[Codigo],A237),0)</f>
        <v>0</v>
      </c>
      <c r="T237" s="21">
        <f>IFERROR(SUMIFS(tblComprasPM[Costo PM CLP],tblComprasPM[Codigo],tblMaestroEquipos[[#This Row],[Codigo]]),0)</f>
        <v>63430.805899999999</v>
      </c>
      <c r="U237" s="21">
        <f>IFERROR(tblMaestroEquipos[[#This Row],[Costo Mantenciones CLP]]+tblMaestroEquipos[[#This Row],[Costo Compras PM CLP]],0)</f>
        <v>63430.805899999999</v>
      </c>
      <c r="V237" s="18" t="str">
        <f>IFERROR(_xlfn.XLOOKUP(tblMaestroEquipos[[#This Row],[Codigo]],tblEquipos[Codigo],tblEquipos[Estado Base]),"")</f>
        <v>Operativo</v>
      </c>
      <c r="W237" s="18" t="str">
        <f t="shared" si="26"/>
        <v>POR RECIBIR</v>
      </c>
      <c r="X237" s="18" t="str">
        <f t="shared" si="27"/>
        <v/>
      </c>
      <c r="Y23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37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237" s="25">
        <f>IFERROR(IF(_xlfn.MAXIFS(tblBodega[Fecha],tblBodega[Codigo],tblMaestroEquipos[[#This Row],[Codigo]])=0,"",_xlfn.MAXIFS(tblBodega[Fecha],tblBodega[Codigo],tblMaestroEquipos[[#This Row],[Codigo]])),"")</f>
        <v>46105</v>
      </c>
      <c r="AB23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76</v>
      </c>
      <c r="AC237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40</v>
      </c>
      <c r="AD23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37" s="51" t="str">
        <f t="shared" si="25"/>
        <v>OPERATIVO</v>
      </c>
      <c r="AF237" s="18" t="str">
        <f t="shared" si="28"/>
        <v>BAJA</v>
      </c>
      <c r="AG237" s="18" t="str">
        <f t="shared" si="29"/>
        <v>Monitorear próximo vencimiento</v>
      </c>
      <c r="AH237">
        <f t="shared" si="30"/>
        <v>0</v>
      </c>
      <c r="AI237" t="str">
        <f t="shared" si="31"/>
        <v/>
      </c>
      <c r="AJ237" s="24">
        <f t="shared" si="32"/>
        <v>3</v>
      </c>
    </row>
    <row r="238" spans="1:36" s="27" customFormat="1">
      <c r="A238" s="18" t="s">
        <v>333</v>
      </c>
      <c r="B238" s="18" t="s">
        <v>259</v>
      </c>
      <c r="C238" s="18" t="s">
        <v>1070</v>
      </c>
      <c r="D238" s="18" t="s">
        <v>307</v>
      </c>
      <c r="E238" s="19" t="s">
        <v>308</v>
      </c>
      <c r="F238" s="18">
        <v>2019</v>
      </c>
      <c r="G238" s="18" t="str" cm="1">
        <f t="array" ref="G238">IFERROR(INDEX(Lecturas!$E$4:$E$3549,MATCH(1,(Lecturas!$B$4:$B$3549=$A238)*(Lecturas!$E$4:$E$3549&lt;&gt;"")*(Lecturas!$A$4:$A$3549=_xlfn.MAXIFS(Lecturas!$A$4:$A$3549,Lecturas!$B$4:$B$3549,$A238,Lecturas!$E$4:$E$3549,"&lt;&gt;")),0)),"")</f>
        <v/>
      </c>
      <c r="H238" s="18" t="s">
        <v>335</v>
      </c>
      <c r="I238" s="18" t="s">
        <v>18</v>
      </c>
      <c r="J238" s="18">
        <v>250</v>
      </c>
      <c r="K238" s="18">
        <f>IFERROR(IF($I238="KM",ROUND((_xlfn.MAXIFS(tblLecturas[Kilometraje],tblLecturas[Codigo],$A238)-_xlfn.MINIFS(tblLecturas[Kilometraje],tblLecturas[Codigo],$A238))/(MAX(1,_xlfn.MAXIFS(tblLecturas[Fecha],tblLecturas[Codigo],$A238)-_xlfn.MINIFS(tblLecturas[Fecha],tblLecturas[Codigo],$A238))),1),ROUND((_xlfn.MAXIFS(tblLecturas[Horometro],tblLecturas[Codigo],$A238)-_xlfn.MINIFS(tblLecturas[Horometro],tblLecturas[Codigo],$A238))/(MAX(1,_xlfn.MAXIFS(tblLecturas[Fecha],tblLecturas[Codigo],$A238)-_xlfn.MINIFS(tblLecturas[Fecha],tblLecturas[Codigo],$A238))),1)),"")</f>
        <v>4.0999999999999996</v>
      </c>
      <c r="L238" s="20">
        <f>IFERROR(_xlfn.MAXIFS(tblLecturas[Fecha],tblLecturas[Codigo],$A238),"")</f>
        <v>46079</v>
      </c>
      <c r="M238" s="26">
        <f>IFERROR(_xlfn.MAXIFS(Lecturas!$C:$C,Lecturas!$B:$B,$A238,Lecturas!$C:$C,"&gt;0"),"")</f>
        <v>11976</v>
      </c>
      <c r="N238" s="78">
        <f>IFERROR(_xlfn.MAXIFS(tblLecturas[Kilometraje],tblLecturas[Codigo],$A238,tblLecturas[Kilometraje],"&gt;0"),"")</f>
        <v>0</v>
      </c>
      <c r="O238" s="78" cm="1">
        <f t="array" ref="O238">IFERROR(IF($I238="KM",LOOKUP(2,1/(Lecturas!$B:$B=$A238)/(Lecturas!$D:$D&gt;0),Lecturas!$D:$D),LOOKUP(2,1/(Lecturas!$B:$B=$A238)/(Lecturas!$C:$C&gt;0),Lecturas!$C:$C)),"")</f>
        <v>11425</v>
      </c>
      <c r="P238" s="20">
        <f>IFERROR(_xlfn.MAXIFS(tblMantenciones[Fecha],tblMantenciones[Codigo],tblMaestroEquipos[[#This Row],[Codigo]],tblMantenciones[EsPM],"Sí"),"")</f>
        <v>0</v>
      </c>
      <c r="Q238" s="78" t="str">
        <f>IF(_xlfn.MAXIFS(Mantenciones!$D:$D,Mantenciones!$B:$B,A238)=0,"Sin datos de mantención registrado",_xlfn.MAXIFS(Mantenciones!$D:$D,Mantenciones!$B:$B,A238))</f>
        <v>Sin datos de mantención registrado</v>
      </c>
      <c r="R238" s="18" t="str">
        <f>IFERROR(IF(_xlfn.MAXIFS(Mantenciones!$D:$D,Mantenciones!$B:$B,$A238,Mantenciones!$E:$E,"Sí",Mantenciones!$D:$D,"&gt;0")=0,"Sin datos de mantención registrado",_xlfn.MAXIFS(Mantenciones!$D:$D,Mantenciones!$B:$B,$A238,Mantenciones!$E:$E,"Sí",Mantenciones!$D:$D,"&gt;0")),"Sin datos de mantención registrado")</f>
        <v>Sin datos de mantención registrado</v>
      </c>
      <c r="S238" s="21">
        <f>IFERROR(SUMIFS(tblMantenciones[Costo Mantencion CLP],tblMantenciones[Codigo],A238),0)</f>
        <v>0</v>
      </c>
      <c r="T238" s="21">
        <f>IFERROR(SUMIFS(tblComprasPM[Costo PM CLP],tblComprasPM[Codigo],tblMaestroEquipos[[#This Row],[Codigo]]),0)</f>
        <v>228336.01</v>
      </c>
      <c r="U238" s="21">
        <f>IFERROR(tblMaestroEquipos[[#This Row],[Costo Mantenciones CLP]]+tblMaestroEquipos[[#This Row],[Costo Compras PM CLP]],0)</f>
        <v>228336.01</v>
      </c>
      <c r="V238" s="18" t="str">
        <f>IFERROR(_xlfn.XLOOKUP(tblMaestroEquipos[[#This Row],[Codigo]],tblEquipos[Codigo],tblEquipos[Estado Base]),"")</f>
        <v>Operativo</v>
      </c>
      <c r="W238" s="18" t="str">
        <f t="shared" si="26"/>
        <v>EN PROCESO</v>
      </c>
      <c r="X238" s="18" t="str">
        <f t="shared" si="27"/>
        <v/>
      </c>
      <c r="Y23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38" s="25">
        <f>IFERROR(IF(_xlfn.MINIFS(tblComprasPM[Fecha],tblComprasPM[Codigo],tblMaestroEquipos[[#This Row],[Codigo]])=0,"",_xlfn.MINIFS(tblComprasPM[Fecha],tblComprasPM[Codigo],tblMaestroEquipos[[#This Row],[Codigo]])),"")</f>
        <v>46100</v>
      </c>
      <c r="AA238" s="25" t="str">
        <f>IFERROR(IF(_xlfn.MAXIFS(tblBodega[Fecha],tblBodega[Codigo],tblMaestroEquipos[[#This Row],[Codigo]])=0,"",_xlfn.MAXIFS(tblBodega[Fecha],tblBodega[Codigo],tblMaestroEquipos[[#This Row],[Codigo]])),"")</f>
        <v/>
      </c>
      <c r="AB23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45</v>
      </c>
      <c r="AC23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3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38" s="51" t="str">
        <f t="shared" si="25"/>
        <v>EN PROCESO</v>
      </c>
      <c r="AF238" s="18" t="str">
        <f t="shared" si="28"/>
        <v>SEGUIMIENTO</v>
      </c>
      <c r="AG238" s="18" t="str">
        <f t="shared" si="29"/>
        <v>Hacer seguimiento al taller y cerrar report</v>
      </c>
      <c r="AH238">
        <f t="shared" si="30"/>
        <v>0</v>
      </c>
      <c r="AI238" t="str">
        <f t="shared" si="31"/>
        <v/>
      </c>
      <c r="AJ238" s="24">
        <f t="shared" si="32"/>
        <v>2</v>
      </c>
    </row>
    <row r="239" spans="1:36" s="27" customFormat="1">
      <c r="A239" s="18" t="s">
        <v>414</v>
      </c>
      <c r="B239" s="18" t="s">
        <v>259</v>
      </c>
      <c r="C239" s="18" t="s">
        <v>1070</v>
      </c>
      <c r="D239" s="18" t="s">
        <v>307</v>
      </c>
      <c r="E239" s="19" t="s">
        <v>415</v>
      </c>
      <c r="F239" s="18">
        <v>2019</v>
      </c>
      <c r="G239" s="18" t="str" cm="1">
        <f t="array" ref="G239">IFERROR(INDEX(Lecturas!$E$4:$E$3549,MATCH(1,(Lecturas!$B$4:$B$3549=$A239)*(Lecturas!$E$4:$E$3549&lt;&gt;"")*(Lecturas!$A$4:$A$3549=_xlfn.MAXIFS(Lecturas!$A$4:$A$3549,Lecturas!$B$4:$B$3549,$A239,Lecturas!$E$4:$E$3549,"&lt;&gt;")),0)),"")</f>
        <v>Palmucho</v>
      </c>
      <c r="H239" s="18" t="s">
        <v>416</v>
      </c>
      <c r="I239" s="18" t="s">
        <v>18</v>
      </c>
      <c r="J239" s="18">
        <v>250</v>
      </c>
      <c r="K239" s="18">
        <f>IFERROR(IF($I239="KM",ROUND((_xlfn.MAXIFS(tblLecturas[Kilometraje],tblLecturas[Codigo],$A239)-_xlfn.MINIFS(tblLecturas[Kilometraje],tblLecturas[Codigo],$A239))/(MAX(1,_xlfn.MAXIFS(tblLecturas[Fecha],tblLecturas[Codigo],$A239)-_xlfn.MINIFS(tblLecturas[Fecha],tblLecturas[Codigo],$A239))),1),ROUND((_xlfn.MAXIFS(tblLecturas[Horometro],tblLecturas[Codigo],$A239)-_xlfn.MINIFS(tblLecturas[Horometro],tblLecturas[Codigo],$A239))/(MAX(1,_xlfn.MAXIFS(tblLecturas[Fecha],tblLecturas[Codigo],$A239)-_xlfn.MINIFS(tblLecturas[Fecha],tblLecturas[Codigo],$A239))),1)),"")</f>
        <v>2.6</v>
      </c>
      <c r="L239" s="20">
        <f>IFERROR(_xlfn.MAXIFS(tblLecturas[Fecha],tblLecturas[Codigo],$A239),"")</f>
        <v>46106</v>
      </c>
      <c r="M239" s="26">
        <f>IFERROR(_xlfn.MAXIFS(Lecturas!$C:$C,Lecturas!$B:$B,$A239,Lecturas!$C:$C,"&gt;0"),"")</f>
        <v>10358</v>
      </c>
      <c r="N239" s="78">
        <f>IFERROR(_xlfn.MAXIFS(tblLecturas[Kilometraje],tblLecturas[Codigo],$A239,tblLecturas[Kilometraje],"&gt;0"),"")</f>
        <v>0</v>
      </c>
      <c r="O239" s="78" cm="1">
        <f t="array" ref="O239">IFERROR(IF($I239="KM",LOOKUP(2,1/(Lecturas!$B:$B=$A239)/(Lecturas!$D:$D&gt;0),Lecturas!$D:$D),LOOKUP(2,1/(Lecturas!$B:$B=$A239)/(Lecturas!$C:$C&gt;0),Lecturas!$C:$C)),"")</f>
        <v>10358</v>
      </c>
      <c r="P239" s="20">
        <f>IFERROR(_xlfn.MAXIFS(tblMantenciones[Fecha],tblMantenciones[Codigo],tblMaestroEquipos[[#This Row],[Codigo]],tblMantenciones[EsPM],"Sí"),"")</f>
        <v>46133</v>
      </c>
      <c r="Q239" s="78">
        <f>IF(_xlfn.MAXIFS(Mantenciones!$D:$D,Mantenciones!$B:$B,A239)=0,"Sin datos de mantención registrado",_xlfn.MAXIFS(Mantenciones!$D:$D,Mantenciones!$B:$B,A239))</f>
        <v>10453</v>
      </c>
      <c r="R239" s="18">
        <f>IFERROR(IF(_xlfn.MAXIFS(Mantenciones!$D:$D,Mantenciones!$B:$B,$A239,Mantenciones!$E:$E,"Sí",Mantenciones!$D:$D,"&gt;0")=0,"Sin datos de mantención registrado",_xlfn.MAXIFS(Mantenciones!$D:$D,Mantenciones!$B:$B,$A239,Mantenciones!$E:$E,"Sí",Mantenciones!$D:$D,"&gt;0")),"Sin datos de mantención registrado")</f>
        <v>10453</v>
      </c>
      <c r="S239" s="21">
        <f>IFERROR(SUMIFS(tblMantenciones[Costo Mantencion CLP],tblMantenciones[Codigo],A239),0)</f>
        <v>0</v>
      </c>
      <c r="T239" s="21">
        <f>IFERROR(SUMIFS(tblComprasPM[Costo PM CLP],tblComprasPM[Codigo],tblMaestroEquipos[[#This Row],[Codigo]]),0)</f>
        <v>321247.64</v>
      </c>
      <c r="U239" s="21">
        <f>IFERROR(tblMaestroEquipos[[#This Row],[Costo Mantenciones CLP]]+tblMaestroEquipos[[#This Row],[Costo Compras PM CLP]],0)</f>
        <v>321247.64</v>
      </c>
      <c r="V239" s="18" t="str">
        <f>IFERROR(_xlfn.XLOOKUP(tblMaestroEquipos[[#This Row],[Codigo]],tblEquipos[Codigo],tblEquipos[Estado Base]),"")</f>
        <v>Operativo</v>
      </c>
      <c r="W239" s="18" t="str">
        <f t="shared" si="26"/>
        <v>AL DÍA</v>
      </c>
      <c r="X239" s="18">
        <f t="shared" si="27"/>
        <v>345</v>
      </c>
      <c r="Y239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46451</v>
      </c>
      <c r="Z239" s="25">
        <f>IFERROR(IF(_xlfn.MINIFS(tblComprasPM[Fecha],tblComprasPM[Codigo],tblMaestroEquipos[[#This Row],[Codigo]])=0,"",_xlfn.MINIFS(tblComprasPM[Fecha],tblComprasPM[Codigo],tblMaestroEquipos[[#This Row],[Codigo]])),"")</f>
        <v>46086.684334803198</v>
      </c>
      <c r="AA239" s="25">
        <f>IFERROR(IF(_xlfn.MAXIFS(tblBodega[Fecha],tblBodega[Codigo],tblMaestroEquipos[[#This Row],[Codigo]])=0,"",_xlfn.MAXIFS(tblBodega[Fecha],tblBodega[Codigo],tblMaestroEquipos[[#This Row],[Codigo]])),"")</f>
        <v>46097</v>
      </c>
      <c r="AB23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47</v>
      </c>
      <c r="AC239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36</v>
      </c>
      <c r="AD23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239" s="51" t="str">
        <f t="shared" si="25"/>
        <v>OPERATIVO</v>
      </c>
      <c r="AF239" s="18" t="str">
        <f t="shared" si="28"/>
        <v>BAJA</v>
      </c>
      <c r="AG239" s="18" t="str">
        <f t="shared" si="29"/>
        <v>Monitorear próximo vencimiento</v>
      </c>
      <c r="AH239">
        <f t="shared" si="30"/>
        <v>0</v>
      </c>
      <c r="AI239" t="str">
        <f t="shared" si="31"/>
        <v/>
      </c>
      <c r="AJ239" s="24">
        <f t="shared" si="32"/>
        <v>99</v>
      </c>
    </row>
    <row r="240" spans="1:36" s="27" customFormat="1">
      <c r="A240" s="18" t="s">
        <v>177</v>
      </c>
      <c r="B240" s="18" t="s">
        <v>20</v>
      </c>
      <c r="C240" s="18" t="s">
        <v>1069</v>
      </c>
      <c r="D240" s="18" t="s">
        <v>21</v>
      </c>
      <c r="E240" s="19" t="s">
        <v>87</v>
      </c>
      <c r="F240" s="18">
        <v>2020</v>
      </c>
      <c r="G240" s="18" t="str" cm="1">
        <f t="array" ref="G240">IFERROR(INDEX(Lecturas!$E$4:$E$3549,MATCH(1,(Lecturas!$B$4:$B$3549=$A240)*(Lecturas!$E$4:$E$3549&lt;&gt;"")*(Lecturas!$A$4:$A$3549=_xlfn.MAXIFS(Lecturas!$A$4:$A$3549,Lecturas!$B$4:$B$3549,$A240,Lecturas!$E$4:$E$3549,"&lt;&gt;")),0)),"")</f>
        <v/>
      </c>
      <c r="H240" s="18" t="s">
        <v>57</v>
      </c>
      <c r="I240" s="18" t="s">
        <v>18</v>
      </c>
      <c r="J240" s="18">
        <v>250</v>
      </c>
      <c r="K240" s="18">
        <f>IFERROR(IF($I240="KM",ROUND((_xlfn.MAXIFS(tblLecturas[Kilometraje],tblLecturas[Codigo],$A240)-_xlfn.MINIFS(tblLecturas[Kilometraje],tblLecturas[Codigo],$A240))/(MAX(1,_xlfn.MAXIFS(tblLecturas[Fecha],tblLecturas[Codigo],$A240)-_xlfn.MINIFS(tblLecturas[Fecha],tblLecturas[Codigo],$A240))),1),ROUND((_xlfn.MAXIFS(tblLecturas[Horometro],tblLecturas[Codigo],$A240)-_xlfn.MINIFS(tblLecturas[Horometro],tblLecturas[Codigo],$A240))/(MAX(1,_xlfn.MAXIFS(tblLecturas[Fecha],tblLecturas[Codigo],$A240)-_xlfn.MINIFS(tblLecturas[Fecha],tblLecturas[Codigo],$A240))),1)),"")</f>
        <v>3.1</v>
      </c>
      <c r="L240" s="20">
        <f>IFERROR(_xlfn.MAXIFS(tblLecturas[Fecha],tblLecturas[Codigo],$A240),"")</f>
        <v>46085</v>
      </c>
      <c r="M240" s="26">
        <f>IFERROR(_xlfn.MAXIFS(Lecturas!$C:$C,Lecturas!$B:$B,$A240,Lecturas!$C:$C,"&gt;0"),"")</f>
        <v>8719</v>
      </c>
      <c r="N240" s="78">
        <f>IFERROR(_xlfn.MAXIFS(tblLecturas[Kilometraje],tblLecturas[Codigo],$A240,tblLecturas[Kilometraje],"&gt;0"),"")</f>
        <v>193551</v>
      </c>
      <c r="O240" s="78" cm="1">
        <f t="array" ref="O240">IFERROR(IF($I240="KM",LOOKUP(2,1/(Lecturas!$B:$B=$A240)/(Lecturas!$D:$D&gt;0),Lecturas!$D:$D),LOOKUP(2,1/(Lecturas!$B:$B=$A240)/(Lecturas!$C:$C&gt;0),Lecturas!$C:$C)),"")</f>
        <v>5036</v>
      </c>
      <c r="P240" s="20">
        <f>IFERROR(_xlfn.MAXIFS(tblMantenciones[Fecha],tblMantenciones[Codigo],tblMaestroEquipos[[#This Row],[Codigo]],tblMantenciones[EsPM],"Sí"),"")</f>
        <v>0</v>
      </c>
      <c r="Q240" s="78" t="str">
        <f>IF(_xlfn.MAXIFS(Mantenciones!$D:$D,Mantenciones!$B:$B,A240)=0,"Sin datos de mantención registrado",_xlfn.MAXIFS(Mantenciones!$D:$D,Mantenciones!$B:$B,A240))</f>
        <v>Sin datos de mantención registrado</v>
      </c>
      <c r="R240" s="18" t="str">
        <f>IFERROR(IF(_xlfn.MAXIFS(Mantenciones!$D:$D,Mantenciones!$B:$B,$A240,Mantenciones!$E:$E,"Sí",Mantenciones!$D:$D,"&gt;0")=0,"Sin datos de mantención registrado",_xlfn.MAXIFS(Mantenciones!$D:$D,Mantenciones!$B:$B,$A240,Mantenciones!$E:$E,"Sí",Mantenciones!$D:$D,"&gt;0")),"Sin datos de mantención registrado")</f>
        <v>Sin datos de mantención registrado</v>
      </c>
      <c r="S240" s="21">
        <f>IFERROR(SUMIFS(tblMantenciones[Costo Mantencion CLP],tblMantenciones[Codigo],A240),0)</f>
        <v>0</v>
      </c>
      <c r="T240" s="21">
        <f>IFERROR(SUMIFS(tblComprasPM[Costo PM CLP],tblComprasPM[Codigo],tblMaestroEquipos[[#This Row],[Codigo]]),0)</f>
        <v>63430.805899999999</v>
      </c>
      <c r="U240" s="21">
        <f>IFERROR(tblMaestroEquipos[[#This Row],[Costo Mantenciones CLP]]+tblMaestroEquipos[[#This Row],[Costo Compras PM CLP]],0)</f>
        <v>63430.805899999999</v>
      </c>
      <c r="V240" s="18" t="str">
        <f>IFERROR(_xlfn.XLOOKUP(tblMaestroEquipos[[#This Row],[Codigo]],tblEquipos[Codigo],tblEquipos[Estado Base]),"")</f>
        <v>Fuera de Servicio</v>
      </c>
      <c r="W240" s="18" t="str">
        <f t="shared" si="26"/>
        <v>FUERA DE SERVICIO</v>
      </c>
      <c r="X240" s="18" t="str">
        <f t="shared" si="27"/>
        <v/>
      </c>
      <c r="Y24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40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240" s="25" t="str">
        <f>IFERROR(IF(_xlfn.MAXIFS(tblBodega[Fecha],tblBodega[Codigo],tblMaestroEquipos[[#This Row],[Codigo]])=0,"",_xlfn.MAXIFS(tblBodega[Fecha],tblBodega[Codigo],tblMaestroEquipos[[#This Row],[Codigo]])),"")</f>
        <v/>
      </c>
      <c r="AB240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76</v>
      </c>
      <c r="AC24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4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40" s="51" t="str">
        <f t="shared" si="25"/>
        <v>FUERA DE SERVICIO</v>
      </c>
      <c r="AF240" s="18" t="str">
        <f t="shared" si="28"/>
        <v>NO APLICA</v>
      </c>
      <c r="AG240" s="18" t="str">
        <f t="shared" si="29"/>
        <v>No programar compra</v>
      </c>
      <c r="AH240">
        <f t="shared" si="30"/>
        <v>0</v>
      </c>
      <c r="AI240" t="str">
        <f t="shared" si="31"/>
        <v/>
      </c>
      <c r="AJ240" s="24">
        <f t="shared" si="32"/>
        <v>99</v>
      </c>
    </row>
    <row r="241" spans="1:36" s="27" customFormat="1">
      <c r="A241" s="18" t="s">
        <v>324</v>
      </c>
      <c r="B241" s="18" t="s">
        <v>269</v>
      </c>
      <c r="C241" s="18" t="s">
        <v>1070</v>
      </c>
      <c r="D241" s="18" t="s">
        <v>270</v>
      </c>
      <c r="E241" s="19" t="s">
        <v>271</v>
      </c>
      <c r="F241" s="18">
        <v>2011</v>
      </c>
      <c r="G241" s="18" t="str" cm="1">
        <f t="array" ref="G241">IFERROR(INDEX(Lecturas!$E$4:$E$3549,MATCH(1,(Lecturas!$B$4:$B$3549=$A241)*(Lecturas!$E$4:$E$3549&lt;&gt;"")*(Lecturas!$A$4:$A$3549=_xlfn.MAXIFS(Lecturas!$A$4:$A$3549,Lecturas!$B$4:$B$3549,$A241,Lecturas!$E$4:$E$3549,"&lt;&gt;")),0)),"")</f>
        <v>Palmucho</v>
      </c>
      <c r="H241" s="18" t="s">
        <v>1078</v>
      </c>
      <c r="I241" s="18" t="s">
        <v>18</v>
      </c>
      <c r="J241" s="18">
        <v>250</v>
      </c>
      <c r="K241" s="18">
        <f>IFERROR(IF($I241="KM",ROUND((_xlfn.MAXIFS(tblLecturas[Kilometraje],tblLecturas[Codigo],$A241)-_xlfn.MINIFS(tblLecturas[Kilometraje],tblLecturas[Codigo],$A241))/(MAX(1,_xlfn.MAXIFS(tblLecturas[Fecha],tblLecturas[Codigo],$A241)-_xlfn.MINIFS(tblLecturas[Fecha],tblLecturas[Codigo],$A241))),1),ROUND((_xlfn.MAXIFS(tblLecturas[Horometro],tblLecturas[Codigo],$A241)-_xlfn.MINIFS(tblLecturas[Horometro],tblLecturas[Codigo],$A241))/(MAX(1,_xlfn.MAXIFS(tblLecturas[Fecha],tblLecturas[Codigo],$A241)-_xlfn.MINIFS(tblLecturas[Fecha],tblLecturas[Codigo],$A241))),1)),"")</f>
        <v>1.4</v>
      </c>
      <c r="L241" s="20">
        <f>IFERROR(_xlfn.MAXIFS(tblLecturas[Fecha],tblLecturas[Codigo],$A241),"")</f>
        <v>46107</v>
      </c>
      <c r="M241" s="26">
        <f>IFERROR(_xlfn.MAXIFS(Lecturas!$C:$C,Lecturas!$B:$B,$A241,Lecturas!$C:$C,"&gt;0"),"")</f>
        <v>7073</v>
      </c>
      <c r="N241" s="78">
        <f>IFERROR(_xlfn.MAXIFS(tblLecturas[Kilometraje],tblLecturas[Codigo],$A241,tblLecturas[Kilometraje],"&gt;0"),"")</f>
        <v>0</v>
      </c>
      <c r="O241" s="78" cm="1">
        <f t="array" ref="O241">IFERROR(IF($I241="KM",LOOKUP(2,1/(Lecturas!$B:$B=$A241)/(Lecturas!$D:$D&gt;0),Lecturas!$D:$D),LOOKUP(2,1/(Lecturas!$B:$B=$A241)/(Lecturas!$C:$C&gt;0),Lecturas!$C:$C)),"")</f>
        <v>7073</v>
      </c>
      <c r="P241" s="20">
        <f>IFERROR(_xlfn.MAXIFS(tblMantenciones[Fecha],tblMantenciones[Codigo],tblMaestroEquipos[[#This Row],[Codigo]],tblMantenciones[EsPM],"Sí"),"")</f>
        <v>0</v>
      </c>
      <c r="Q241" s="78" t="str">
        <f>IF(_xlfn.MAXIFS(Mantenciones!$D:$D,Mantenciones!$B:$B,A241)=0,"Sin datos de mantención registrado",_xlfn.MAXIFS(Mantenciones!$D:$D,Mantenciones!$B:$B,A241))</f>
        <v>Sin datos de mantención registrado</v>
      </c>
      <c r="R241" s="18" t="str">
        <f>IFERROR(IF(_xlfn.MAXIFS(Mantenciones!$D:$D,Mantenciones!$B:$B,$A241,Mantenciones!$E:$E,"Sí",Mantenciones!$D:$D,"&gt;0")=0,"Sin datos de mantención registrado",_xlfn.MAXIFS(Mantenciones!$D:$D,Mantenciones!$B:$B,$A241,Mantenciones!$E:$E,"Sí",Mantenciones!$D:$D,"&gt;0")),"Sin datos de mantención registrado")</f>
        <v>Sin datos de mantención registrado</v>
      </c>
      <c r="S241" s="21">
        <f>IFERROR(SUMIFS(tblMantenciones[Costo Mantencion CLP],tblMantenciones[Codigo],A241),0)</f>
        <v>0</v>
      </c>
      <c r="T241" s="21">
        <f>IFERROR(SUMIFS(tblComprasPM[Costo PM CLP],tblComprasPM[Codigo],tblMaestroEquipos[[#This Row],[Codigo]]),0)</f>
        <v>0</v>
      </c>
      <c r="U241" s="21">
        <f>IFERROR(tblMaestroEquipos[[#This Row],[Costo Mantenciones CLP]]+tblMaestroEquipos[[#This Row],[Costo Compras PM CLP]],0)</f>
        <v>0</v>
      </c>
      <c r="V241" s="18" t="str">
        <f>IFERROR(_xlfn.XLOOKUP(tblMaestroEquipos[[#This Row],[Codigo]],tblEquipos[Codigo],tblEquipos[Estado Base]),"")</f>
        <v>Operativo</v>
      </c>
      <c r="W241" s="18" t="str">
        <f t="shared" si="26"/>
        <v>POR RECIBIR</v>
      </c>
      <c r="X241" s="18" t="str">
        <f t="shared" si="27"/>
        <v/>
      </c>
      <c r="Y24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41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41" s="25">
        <f>IFERROR(IF(_xlfn.MAXIFS(tblBodega[Fecha],tblBodega[Codigo],tblMaestroEquipos[[#This Row],[Codigo]])=0,"",_xlfn.MAXIFS(tblBodega[Fecha],tblBodega[Codigo],tblMaestroEquipos[[#This Row],[Codigo]])),"")</f>
        <v>46073</v>
      </c>
      <c r="AB241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41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72</v>
      </c>
      <c r="AD24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41" s="51" t="str">
        <f t="shared" si="25"/>
        <v>OPERATIVO</v>
      </c>
      <c r="AF241" s="18" t="str">
        <f t="shared" si="28"/>
        <v>BAJA</v>
      </c>
      <c r="AG241" s="18" t="str">
        <f t="shared" si="29"/>
        <v>Monitorear próximo vencimiento</v>
      </c>
      <c r="AH241">
        <f t="shared" si="30"/>
        <v>0</v>
      </c>
      <c r="AI241" t="str">
        <f t="shared" si="31"/>
        <v/>
      </c>
      <c r="AJ241" s="24">
        <f t="shared" si="32"/>
        <v>3</v>
      </c>
    </row>
    <row r="242" spans="1:36" s="27" customFormat="1">
      <c r="A242" s="18" t="s">
        <v>396</v>
      </c>
      <c r="B242" s="18" t="s">
        <v>340</v>
      </c>
      <c r="C242" s="18" t="s">
        <v>1070</v>
      </c>
      <c r="D242" s="18" t="s">
        <v>375</v>
      </c>
      <c r="E242" s="19" t="s">
        <v>397</v>
      </c>
      <c r="F242" s="18">
        <v>2015</v>
      </c>
      <c r="G242" s="18" t="str" cm="1">
        <f t="array" ref="G242">IFERROR(INDEX(Lecturas!$E$4:$E$3549,MATCH(1,(Lecturas!$B$4:$B$3549=$A242)*(Lecturas!$E$4:$E$3549&lt;&gt;"")*(Lecturas!$A$4:$A$3549=_xlfn.MAXIFS(Lecturas!$A$4:$A$3549,Lecturas!$B$4:$B$3549,$A242,Lecturas!$E$4:$E$3549,"&lt;&gt;")),0)),"")</f>
        <v>Palmucho</v>
      </c>
      <c r="H242" s="18" t="s">
        <v>1071</v>
      </c>
      <c r="I242" s="18" t="s">
        <v>18</v>
      </c>
      <c r="J242" s="18">
        <v>250</v>
      </c>
      <c r="K242" s="18">
        <f>IFERROR(IF($I242="KM",ROUND((_xlfn.MAXIFS(tblLecturas[Kilometraje],tblLecturas[Codigo],$A242)-_xlfn.MINIFS(tblLecturas[Kilometraje],tblLecturas[Codigo],$A242))/(MAX(1,_xlfn.MAXIFS(tblLecturas[Fecha],tblLecturas[Codigo],$A242)-_xlfn.MINIFS(tblLecturas[Fecha],tblLecturas[Codigo],$A242))),1),ROUND((_xlfn.MAXIFS(tblLecturas[Horometro],tblLecturas[Codigo],$A242)-_xlfn.MINIFS(tblLecturas[Horometro],tblLecturas[Codigo],$A242))/(MAX(1,_xlfn.MAXIFS(tblLecturas[Fecha],tblLecturas[Codigo],$A242)-_xlfn.MINIFS(tblLecturas[Fecha],tblLecturas[Codigo],$A242))),1)),"")</f>
        <v>2.4</v>
      </c>
      <c r="L242" s="20">
        <f>IFERROR(_xlfn.MAXIFS(tblLecturas[Fecha],tblLecturas[Codigo],$A242),"")</f>
        <v>46107</v>
      </c>
      <c r="M242" s="26">
        <f>IFERROR(_xlfn.MAXIFS(Lecturas!$C:$C,Lecturas!$B:$B,$A242,Lecturas!$C:$C,"&gt;0"),"")</f>
        <v>8660</v>
      </c>
      <c r="N242" s="78">
        <f>IFERROR(_xlfn.MAXIFS(tblLecturas[Kilometraje],tblLecturas[Codigo],$A242,tblLecturas[Kilometraje],"&gt;0"),"")</f>
        <v>8622</v>
      </c>
      <c r="O242" s="78" cm="1">
        <f t="array" ref="O242">IFERROR(IF($I242="KM",LOOKUP(2,1/(Lecturas!$B:$B=$A242)/(Lecturas!$D:$D&gt;0),Lecturas!$D:$D),LOOKUP(2,1/(Lecturas!$B:$B=$A242)/(Lecturas!$C:$C&gt;0),Lecturas!$C:$C)),"")</f>
        <v>6050</v>
      </c>
      <c r="P242" s="20">
        <f>IFERROR(_xlfn.MAXIFS(tblMantenciones[Fecha],tblMantenciones[Codigo],tblMaestroEquipos[[#This Row],[Codigo]],tblMantenciones[EsPM],"Sí"),"")</f>
        <v>46136</v>
      </c>
      <c r="Q242" s="78">
        <f>IF(_xlfn.MAXIFS(Mantenciones!$D:$D,Mantenciones!$B:$B,A242)=0,"Sin datos de mantención registrado",_xlfn.MAXIFS(Mantenciones!$D:$D,Mantenciones!$B:$B,A242))</f>
        <v>8705</v>
      </c>
      <c r="R242" s="18">
        <f>IFERROR(IF(_xlfn.MAXIFS(Mantenciones!$D:$D,Mantenciones!$B:$B,$A242,Mantenciones!$E:$E,"Sí",Mantenciones!$D:$D,"&gt;0")=0,"Sin datos de mantención registrado",_xlfn.MAXIFS(Mantenciones!$D:$D,Mantenciones!$B:$B,$A242,Mantenciones!$E:$E,"Sí",Mantenciones!$D:$D,"&gt;0")),"Sin datos de mantención registrado")</f>
        <v>8705</v>
      </c>
      <c r="S242" s="21">
        <f>IFERROR(SUMIFS(tblMantenciones[Costo Mantencion CLP],tblMantenciones[Codigo],A242),0)</f>
        <v>0</v>
      </c>
      <c r="T242" s="21">
        <f>IFERROR(SUMIFS(tblComprasPM[Costo PM CLP],tblComprasPM[Codigo],tblMaestroEquipos[[#This Row],[Codigo]]),0)</f>
        <v>298436.53000000003</v>
      </c>
      <c r="U242" s="21">
        <f>IFERROR(tblMaestroEquipos[[#This Row],[Costo Mantenciones CLP]]+tblMaestroEquipos[[#This Row],[Costo Compras PM CLP]],0)</f>
        <v>298436.53000000003</v>
      </c>
      <c r="V242" s="18" t="str">
        <f>IFERROR(_xlfn.XLOOKUP(tblMaestroEquipos[[#This Row],[Codigo]],tblEquipos[Codigo],tblEquipos[Estado Base]),"")</f>
        <v>Operativo</v>
      </c>
      <c r="W242" s="18" t="str">
        <f t="shared" si="26"/>
        <v>AL DÍA</v>
      </c>
      <c r="X242" s="18">
        <f t="shared" si="27"/>
        <v>2905</v>
      </c>
      <c r="Y242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49012</v>
      </c>
      <c r="Z242" s="25">
        <f>IFERROR(IF(_xlfn.MINIFS(tblComprasPM[Fecha],tblComprasPM[Codigo],tblMaestroEquipos[[#This Row],[Codigo]])=0,"",_xlfn.MINIFS(tblComprasPM[Fecha],tblComprasPM[Codigo],tblMaestroEquipos[[#This Row],[Codigo]])),"")</f>
        <v>46086.701264432901</v>
      </c>
      <c r="AA242" s="25">
        <f>IFERROR(IF(_xlfn.MAXIFS(tblBodega[Fecha],tblBodega[Codigo],tblMaestroEquipos[[#This Row],[Codigo]])=0,"",_xlfn.MAXIFS(tblBodega[Fecha],tblBodega[Codigo],tblMaestroEquipos[[#This Row],[Codigo]])),"")</f>
        <v>46090</v>
      </c>
      <c r="AB242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50</v>
      </c>
      <c r="AC242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46</v>
      </c>
      <c r="AD24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242" s="51" t="str">
        <f t="shared" si="25"/>
        <v>OPERATIVO</v>
      </c>
      <c r="AF242" s="18" t="str">
        <f t="shared" si="28"/>
        <v>BAJA</v>
      </c>
      <c r="AG242" s="18" t="str">
        <f t="shared" si="29"/>
        <v>Monitorear próximo vencimiento</v>
      </c>
      <c r="AH242">
        <f t="shared" si="30"/>
        <v>0</v>
      </c>
      <c r="AI242" t="str">
        <f t="shared" si="31"/>
        <v/>
      </c>
      <c r="AJ242" s="24">
        <f t="shared" si="32"/>
        <v>99</v>
      </c>
    </row>
    <row r="243" spans="1:36">
      <c r="A243" s="18" t="s">
        <v>314</v>
      </c>
      <c r="B243" s="18" t="s">
        <v>279</v>
      </c>
      <c r="C243" s="18" t="s">
        <v>1070</v>
      </c>
      <c r="D243" s="18" t="s">
        <v>296</v>
      </c>
      <c r="E243" s="19" t="s">
        <v>315</v>
      </c>
      <c r="F243" s="18">
        <v>2012</v>
      </c>
      <c r="G243" s="18" t="str" cm="1">
        <f t="array" ref="G243">IFERROR(INDEX(Lecturas!$E$4:$E$3549,MATCH(1,(Lecturas!$B$4:$B$3549=$A243)*(Lecturas!$E$4:$E$3549&lt;&gt;"")*(Lecturas!$A$4:$A$3549=_xlfn.MAXIFS(Lecturas!$A$4:$A$3549,Lecturas!$B$4:$B$3549,$A243,Lecturas!$E$4:$E$3549,"&lt;&gt;")),0)),"")</f>
        <v/>
      </c>
      <c r="H243" s="18" t="s">
        <v>1083</v>
      </c>
      <c r="I243" s="18" t="s">
        <v>18</v>
      </c>
      <c r="J243" s="18">
        <v>250</v>
      </c>
      <c r="K243" s="18">
        <f>IFERROR(IF($I243="KM",ROUND((_xlfn.MAXIFS(tblLecturas[Kilometraje],tblLecturas[Codigo],$A243)-_xlfn.MINIFS(tblLecturas[Kilometraje],tblLecturas[Codigo],$A243))/(MAX(1,_xlfn.MAXIFS(tblLecturas[Fecha],tblLecturas[Codigo],$A243)-_xlfn.MINIFS(tblLecturas[Fecha],tblLecturas[Codigo],$A243))),1),ROUND((_xlfn.MAXIFS(tblLecturas[Horometro],tblLecturas[Codigo],$A243)-_xlfn.MINIFS(tblLecturas[Horometro],tblLecturas[Codigo],$A243))/(MAX(1,_xlfn.MAXIFS(tblLecturas[Fecha],tblLecturas[Codigo],$A243)-_xlfn.MINIFS(tblLecturas[Fecha],tblLecturas[Codigo],$A243))),1)),"")</f>
        <v>3.3</v>
      </c>
      <c r="L243" s="20">
        <f>IFERROR(_xlfn.MAXIFS(tblLecturas[Fecha],tblLecturas[Codigo],$A243),"")</f>
        <v>46079</v>
      </c>
      <c r="M243" s="26">
        <f>IFERROR(_xlfn.MAXIFS(Lecturas!$C:$C,Lecturas!$B:$B,$A243,Lecturas!$C:$C,"&gt;0"),"")</f>
        <v>27779</v>
      </c>
      <c r="N243" s="78">
        <f>IFERROR(_xlfn.MAXIFS(tblLecturas[Kilometraje],tblLecturas[Codigo],$A243,tblLecturas[Kilometraje],"&gt;0"),"")</f>
        <v>0</v>
      </c>
      <c r="O243" s="78" cm="1">
        <f t="array" ref="O243">IFERROR(IF($I243="KM",LOOKUP(2,1/(Lecturas!$B:$B=$A243)/(Lecturas!$D:$D&gt;0),Lecturas!$D:$D),LOOKUP(2,1/(Lecturas!$B:$B=$A243)/(Lecturas!$C:$C&gt;0),Lecturas!$C:$C)),"")</f>
        <v>27779</v>
      </c>
      <c r="P243" s="20">
        <f>IFERROR(_xlfn.MAXIFS(tblMantenciones[Fecha],tblMantenciones[Codigo],tblMaestroEquipos[[#This Row],[Codigo]],tblMantenciones[EsPM],"Sí"),"")</f>
        <v>0</v>
      </c>
      <c r="Q243" s="78" t="str">
        <f>IF(_xlfn.MAXIFS(Mantenciones!$D:$D,Mantenciones!$B:$B,A243)=0,"Sin datos de mantención registrado",_xlfn.MAXIFS(Mantenciones!$D:$D,Mantenciones!$B:$B,A243))</f>
        <v>Sin datos de mantención registrado</v>
      </c>
      <c r="R243" s="18" t="str">
        <f>IFERROR(IF(_xlfn.MAXIFS(Mantenciones!$D:$D,Mantenciones!$B:$B,$A243,Mantenciones!$E:$E,"Sí",Mantenciones!$D:$D,"&gt;0")=0,"Sin datos de mantención registrado",_xlfn.MAXIFS(Mantenciones!$D:$D,Mantenciones!$B:$B,$A243,Mantenciones!$E:$E,"Sí",Mantenciones!$D:$D,"&gt;0")),"Sin datos de mantención registrado")</f>
        <v>Sin datos de mantención registrado</v>
      </c>
      <c r="S243" s="21">
        <f>IFERROR(SUMIFS(tblMantenciones[Costo Mantencion CLP],tblMantenciones[Codigo],A243),0)</f>
        <v>0</v>
      </c>
      <c r="T243" s="21">
        <f>IFERROR(SUMIFS(tblComprasPM[Costo PM CLP],tblComprasPM[Codigo],tblMaestroEquipos[[#This Row],[Codigo]]),0)</f>
        <v>634845.96</v>
      </c>
      <c r="U243" s="21">
        <f>IFERROR(tblMaestroEquipos[[#This Row],[Costo Mantenciones CLP]]+tblMaestroEquipos[[#This Row],[Costo Compras PM CLP]],0)</f>
        <v>634845.96</v>
      </c>
      <c r="V243" s="18" t="str">
        <f>IFERROR(_xlfn.XLOOKUP(tblMaestroEquipos[[#This Row],[Codigo]],tblEquipos[Codigo],tblEquipos[Estado Base]),"")</f>
        <v>Taller</v>
      </c>
      <c r="W243" s="18" t="str">
        <f t="shared" si="26"/>
        <v>EN TALLER</v>
      </c>
      <c r="X243" s="18" t="str">
        <f t="shared" si="27"/>
        <v/>
      </c>
      <c r="Y243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43" s="25">
        <f>IFERROR(IF(_xlfn.MINIFS(tblComprasPM[Fecha],tblComprasPM[Codigo],tblMaestroEquipos[[#This Row],[Codigo]])=0,"",_xlfn.MINIFS(tblComprasPM[Fecha],tblComprasPM[Codigo],tblMaestroEquipos[[#This Row],[Codigo]])),"")</f>
        <v>46118.4804357986</v>
      </c>
      <c r="AA243" s="25" t="str">
        <f>IFERROR(IF(_xlfn.MAXIFS(tblBodega[Fecha],tblBodega[Codigo],tblMaestroEquipos[[#This Row],[Codigo]])=0,"",_xlfn.MAXIFS(tblBodega[Fecha],tblBodega[Codigo],tblMaestroEquipos[[#This Row],[Codigo]])),"")</f>
        <v/>
      </c>
      <c r="AB24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27</v>
      </c>
      <c r="AC24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4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43" s="51" t="str">
        <f t="shared" si="25"/>
        <v>EN TALLER</v>
      </c>
      <c r="AF243" s="18" t="str">
        <f t="shared" si="28"/>
        <v>BAJA</v>
      </c>
      <c r="AG243" s="18" t="str">
        <f t="shared" si="29"/>
        <v>Monitorear próximo vencimiento</v>
      </c>
      <c r="AH243">
        <f t="shared" si="30"/>
        <v>0</v>
      </c>
      <c r="AI243" t="str">
        <f t="shared" si="31"/>
        <v/>
      </c>
      <c r="AJ243" s="24">
        <f t="shared" si="32"/>
        <v>99</v>
      </c>
    </row>
    <row r="244" spans="1:36">
      <c r="A244" s="18" t="s">
        <v>330</v>
      </c>
      <c r="B244" s="18" t="s">
        <v>279</v>
      </c>
      <c r="C244" s="18" t="s">
        <v>1070</v>
      </c>
      <c r="D244" s="18" t="s">
        <v>302</v>
      </c>
      <c r="E244" s="19" t="s">
        <v>331</v>
      </c>
      <c r="F244" s="18">
        <v>2014</v>
      </c>
      <c r="G244" s="18" t="str" cm="1">
        <f t="array" ref="G244">IFERROR(INDEX(Lecturas!$E$4:$E$3549,MATCH(1,(Lecturas!$B$4:$B$3549=$A244)*(Lecturas!$E$4:$E$3549&lt;&gt;"")*(Lecturas!$A$4:$A$3549=_xlfn.MAXIFS(Lecturas!$A$4:$A$3549,Lecturas!$B$4:$B$3549,$A244,Lecturas!$E$4:$E$3549,"&lt;&gt;")),0)),"")</f>
        <v>Palmucho</v>
      </c>
      <c r="H244" s="18" t="s">
        <v>377</v>
      </c>
      <c r="I244" s="18" t="s">
        <v>18</v>
      </c>
      <c r="J244" s="18">
        <v>250</v>
      </c>
      <c r="K244" s="18">
        <f>IFERROR(IF($I244="KM",ROUND((_xlfn.MAXIFS(tblLecturas[Kilometraje],tblLecturas[Codigo],$A244)-_xlfn.MINIFS(tblLecturas[Kilometraje],tblLecturas[Codigo],$A244))/(MAX(1,_xlfn.MAXIFS(tblLecturas[Fecha],tblLecturas[Codigo],$A244)-_xlfn.MINIFS(tblLecturas[Fecha],tblLecturas[Codigo],$A244))),1),ROUND((_xlfn.MAXIFS(tblLecturas[Horometro],tblLecturas[Codigo],$A244)-_xlfn.MINIFS(tblLecturas[Horometro],tblLecturas[Codigo],$A244))/(MAX(1,_xlfn.MAXIFS(tblLecturas[Fecha],tblLecturas[Codigo],$A244)-_xlfn.MINIFS(tblLecturas[Fecha],tblLecturas[Codigo],$A244))),1)),"")</f>
        <v>2</v>
      </c>
      <c r="L244" s="20">
        <f>IFERROR(_xlfn.MAXIFS(tblLecturas[Fecha],tblLecturas[Codigo],$A244),"")</f>
        <v>46107</v>
      </c>
      <c r="M244" s="26">
        <f>IFERROR(_xlfn.MAXIFS(Lecturas!$C:$C,Lecturas!$B:$B,$A244,Lecturas!$C:$C,"&gt;0"),"")</f>
        <v>26059</v>
      </c>
      <c r="N244" s="78">
        <f>IFERROR(_xlfn.MAXIFS(tblLecturas[Kilometraje],tblLecturas[Codigo],$A244,tblLecturas[Kilometraje],"&gt;0"),"")</f>
        <v>0</v>
      </c>
      <c r="O244" s="78" cm="1">
        <f t="array" ref="O244">IFERROR(IF($I244="KM",LOOKUP(2,1/(Lecturas!$B:$B=$A244)/(Lecturas!$D:$D&gt;0),Lecturas!$D:$D),LOOKUP(2,1/(Lecturas!$B:$B=$A244)/(Lecturas!$C:$C&gt;0),Lecturas!$C:$C)),"")</f>
        <v>24054</v>
      </c>
      <c r="P244" s="20">
        <f>IFERROR(_xlfn.MAXIFS(tblMantenciones[Fecha],tblMantenciones[Codigo],tblMaestroEquipos[[#This Row],[Codigo]],tblMantenciones[EsPM],"Sí"),"")</f>
        <v>0</v>
      </c>
      <c r="Q244" s="78" t="str">
        <f>IF(_xlfn.MAXIFS(Mantenciones!$D:$D,Mantenciones!$B:$B,A244)=0,"Sin datos de mantención registrado",_xlfn.MAXIFS(Mantenciones!$D:$D,Mantenciones!$B:$B,A244))</f>
        <v>Sin datos de mantención registrado</v>
      </c>
      <c r="R244" s="18" t="str">
        <f>IFERROR(IF(_xlfn.MAXIFS(Mantenciones!$D:$D,Mantenciones!$B:$B,$A244,Mantenciones!$E:$E,"Sí",Mantenciones!$D:$D,"&gt;0")=0,"Sin datos de mantención registrado",_xlfn.MAXIFS(Mantenciones!$D:$D,Mantenciones!$B:$B,$A244,Mantenciones!$E:$E,"Sí",Mantenciones!$D:$D,"&gt;0")),"Sin datos de mantención registrado")</f>
        <v>Sin datos de mantención registrado</v>
      </c>
      <c r="S244" s="21">
        <f>IFERROR(SUMIFS(tblMantenciones[Costo Mantencion CLP],tblMantenciones[Codigo],A244),0)</f>
        <v>0</v>
      </c>
      <c r="T244" s="21">
        <f>IFERROR(SUMIFS(tblComprasPM[Costo PM CLP],tblComprasPM[Codigo],tblMaestroEquipos[[#This Row],[Codigo]]),0)</f>
        <v>0</v>
      </c>
      <c r="U244" s="21">
        <f>IFERROR(tblMaestroEquipos[[#This Row],[Costo Mantenciones CLP]]+tblMaestroEquipos[[#This Row],[Costo Compras PM CLP]],0)</f>
        <v>0</v>
      </c>
      <c r="V244" s="18" t="str">
        <f>IFERROR(_xlfn.XLOOKUP(tblMaestroEquipos[[#This Row],[Codigo]],tblEquipos[Codigo],tblEquipos[Estado Base]),"")</f>
        <v>Operativo</v>
      </c>
      <c r="W244" s="18" t="str">
        <f t="shared" si="26"/>
        <v>POR RECIBIR</v>
      </c>
      <c r="X244" s="18" t="str">
        <f t="shared" si="27"/>
        <v/>
      </c>
      <c r="Y24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4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44" s="25">
        <f>IFERROR(IF(_xlfn.MAXIFS(tblBodega[Fecha],tblBodega[Codigo],tblMaestroEquipos[[#This Row],[Codigo]])=0,"",_xlfn.MAXIFS(tblBodega[Fecha],tblBodega[Codigo],tblMaestroEquipos[[#This Row],[Codigo]])),"")</f>
        <v>46073</v>
      </c>
      <c r="AB24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4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72</v>
      </c>
      <c r="AD24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44" s="51" t="str">
        <f t="shared" si="25"/>
        <v>OPERATIVO</v>
      </c>
      <c r="AF244" s="18" t="str">
        <f t="shared" si="28"/>
        <v>BAJA</v>
      </c>
      <c r="AG244" s="18" t="str">
        <f t="shared" si="29"/>
        <v>Monitorear próximo vencimiento</v>
      </c>
      <c r="AH244">
        <f t="shared" si="30"/>
        <v>0</v>
      </c>
      <c r="AI244" t="str">
        <f t="shared" si="31"/>
        <v/>
      </c>
      <c r="AJ244" s="24">
        <f t="shared" si="32"/>
        <v>3</v>
      </c>
    </row>
    <row r="245" spans="1:36">
      <c r="A245" s="18" t="s">
        <v>364</v>
      </c>
      <c r="B245" s="18" t="s">
        <v>259</v>
      </c>
      <c r="C245" s="18" t="s">
        <v>1070</v>
      </c>
      <c r="D245" s="18" t="s">
        <v>307</v>
      </c>
      <c r="E245" s="19" t="s">
        <v>308</v>
      </c>
      <c r="F245" s="18">
        <v>2015</v>
      </c>
      <c r="G245" s="18" t="str" cm="1">
        <f t="array" ref="G245">IFERROR(INDEX(Lecturas!$E$4:$E$3549,MATCH(1,(Lecturas!$B$4:$B$3549=$A245)*(Lecturas!$E$4:$E$3549&lt;&gt;"")*(Lecturas!$A$4:$A$3549=_xlfn.MAXIFS(Lecturas!$A$4:$A$3549,Lecturas!$B$4:$B$3549,$A245,Lecturas!$E$4:$E$3549,"&lt;&gt;")),0)),"")</f>
        <v/>
      </c>
      <c r="H245" s="18" t="s">
        <v>57</v>
      </c>
      <c r="I245" s="18" t="s">
        <v>18</v>
      </c>
      <c r="J245" s="18">
        <v>250</v>
      </c>
      <c r="K245" s="18">
        <f>IFERROR(IF($I245="KM",ROUND((_xlfn.MAXIFS(tblLecturas[Kilometraje],tblLecturas[Codigo],$A245)-_xlfn.MINIFS(tblLecturas[Kilometraje],tblLecturas[Codigo],$A245))/(MAX(1,_xlfn.MAXIFS(tblLecturas[Fecha],tblLecturas[Codigo],$A245)-_xlfn.MINIFS(tblLecturas[Fecha],tblLecturas[Codigo],$A245))),1),ROUND((_xlfn.MAXIFS(tblLecturas[Horometro],tblLecturas[Codigo],$A245)-_xlfn.MINIFS(tblLecturas[Horometro],tblLecturas[Codigo],$A245))/(MAX(1,_xlfn.MAXIFS(tblLecturas[Fecha],tblLecturas[Codigo],$A245)-_xlfn.MINIFS(tblLecturas[Fecha],tblLecturas[Codigo],$A245))),1)),"")</f>
        <v>1.6</v>
      </c>
      <c r="L245" s="20">
        <f>IFERROR(_xlfn.MAXIFS(tblLecturas[Fecha],tblLecturas[Codigo],$A245),"")</f>
        <v>46107</v>
      </c>
      <c r="M245" s="26">
        <f>IFERROR(_xlfn.MAXIFS(Lecturas!$C:$C,Lecturas!$B:$B,$A245,Lecturas!$C:$C,"&gt;0"),"")</f>
        <v>16889</v>
      </c>
      <c r="N245" s="78">
        <f>IFERROR(_xlfn.MAXIFS(tblLecturas[Kilometraje],tblLecturas[Codigo],$A245,tblLecturas[Kilometraje],"&gt;0"),"")</f>
        <v>0</v>
      </c>
      <c r="O245" s="78" cm="1">
        <f t="array" ref="O245">IFERROR(IF($I245="KM",LOOKUP(2,1/(Lecturas!$B:$B=$A245)/(Lecturas!$D:$D&gt;0),Lecturas!$D:$D),LOOKUP(2,1/(Lecturas!$B:$B=$A245)/(Lecturas!$C:$C&gt;0),Lecturas!$C:$C)),"")</f>
        <v>16889</v>
      </c>
      <c r="P245" s="20">
        <f>IFERROR(_xlfn.MAXIFS(tblMantenciones[Fecha],tblMantenciones[Codigo],tblMaestroEquipos[[#This Row],[Codigo]],tblMantenciones[EsPM],"Sí"),"")</f>
        <v>0</v>
      </c>
      <c r="Q245" s="78" t="str">
        <f>IF(_xlfn.MAXIFS(Mantenciones!$D:$D,Mantenciones!$B:$B,A245)=0,"Sin datos de mantención registrado",_xlfn.MAXIFS(Mantenciones!$D:$D,Mantenciones!$B:$B,A245))</f>
        <v>Sin datos de mantención registrado</v>
      </c>
      <c r="R245" s="18" t="str">
        <f>IFERROR(IF(_xlfn.MAXIFS(Mantenciones!$D:$D,Mantenciones!$B:$B,$A245,Mantenciones!$E:$E,"Sí",Mantenciones!$D:$D,"&gt;0")=0,"Sin datos de mantención registrado",_xlfn.MAXIFS(Mantenciones!$D:$D,Mantenciones!$B:$B,$A245,Mantenciones!$E:$E,"Sí",Mantenciones!$D:$D,"&gt;0")),"Sin datos de mantención registrado")</f>
        <v>Sin datos de mantención registrado</v>
      </c>
      <c r="S245" s="21">
        <f>IFERROR(SUMIFS(tblMantenciones[Costo Mantencion CLP],tblMantenciones[Codigo],A245),0)</f>
        <v>0</v>
      </c>
      <c r="T245" s="21">
        <f>IFERROR(SUMIFS(tblComprasPM[Costo PM CLP],tblComprasPM[Codigo],tblMaestroEquipos[[#This Row],[Codigo]]),0)</f>
        <v>115923.85</v>
      </c>
      <c r="U245" s="21">
        <f>IFERROR(tblMaestroEquipos[[#This Row],[Costo Mantenciones CLP]]+tblMaestroEquipos[[#This Row],[Costo Compras PM CLP]],0)</f>
        <v>115923.85</v>
      </c>
      <c r="V245" s="18" t="str">
        <f>IFERROR(_xlfn.XLOOKUP(tblMaestroEquipos[[#This Row],[Codigo]],tblEquipos[Codigo],tblEquipos[Estado Base]),"")</f>
        <v>Operativo</v>
      </c>
      <c r="W245" s="18" t="str">
        <f t="shared" si="26"/>
        <v>POR RECIBIR</v>
      </c>
      <c r="X245" s="18" t="str">
        <f t="shared" si="27"/>
        <v/>
      </c>
      <c r="Y24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45" s="25">
        <f>IFERROR(IF(_xlfn.MINIFS(tblComprasPM[Fecha],tblComprasPM[Codigo],tblMaestroEquipos[[#This Row],[Codigo]])=0,"",_xlfn.MINIFS(tblComprasPM[Fecha],tblComprasPM[Codigo],tblMaestroEquipos[[#This Row],[Codigo]])),"")</f>
        <v>46084.6612838773</v>
      </c>
      <c r="AA245" s="25">
        <f>IFERROR(IF(_xlfn.MAXIFS(tblBodega[Fecha],tblBodega[Codigo],tblMaestroEquipos[[#This Row],[Codigo]])=0,"",_xlfn.MAXIFS(tblBodega[Fecha],tblBodega[Codigo],tblMaestroEquipos[[#This Row],[Codigo]])),"")</f>
        <v>46087</v>
      </c>
      <c r="AB245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61</v>
      </c>
      <c r="AC24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58</v>
      </c>
      <c r="AD24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45" s="51" t="str">
        <f t="shared" si="25"/>
        <v>OPERATIVO</v>
      </c>
      <c r="AF245" s="18" t="str">
        <f t="shared" si="28"/>
        <v>BAJA</v>
      </c>
      <c r="AG245" s="18" t="str">
        <f t="shared" si="29"/>
        <v>Monitorear próximo vencimiento</v>
      </c>
      <c r="AH245">
        <f t="shared" si="30"/>
        <v>0</v>
      </c>
      <c r="AI245" t="str">
        <f t="shared" si="31"/>
        <v/>
      </c>
      <c r="AJ245" s="24">
        <f t="shared" si="32"/>
        <v>3</v>
      </c>
    </row>
    <row r="246" spans="1:36">
      <c r="A246" s="18" t="s">
        <v>130</v>
      </c>
      <c r="B246" s="18" t="s">
        <v>131</v>
      </c>
      <c r="C246" s="18" t="s">
        <v>1070</v>
      </c>
      <c r="D246" s="18" t="s">
        <v>132</v>
      </c>
      <c r="E246" s="19" t="s">
        <v>133</v>
      </c>
      <c r="F246" s="18"/>
      <c r="G246" s="18" t="str" cm="1">
        <f t="array" ref="G246">IFERROR(INDEX(Lecturas!$E$4:$E$3549,MATCH(1,(Lecturas!$B$4:$B$3549=$A246)*(Lecturas!$E$4:$E$3549&lt;&gt;"")*(Lecturas!$A$4:$A$3549=_xlfn.MAXIFS(Lecturas!$A$4:$A$3549,Lecturas!$B$4:$B$3549,$A246,Lecturas!$E$4:$E$3549,"&lt;&gt;")),0)),"")</f>
        <v>San Carlos</v>
      </c>
      <c r="H246" s="18"/>
      <c r="I246" s="18" t="s">
        <v>18</v>
      </c>
      <c r="J246" s="18">
        <v>250</v>
      </c>
      <c r="K246" s="18">
        <f>IFERROR(IF($I246="KM",ROUND((_xlfn.MAXIFS(tblLecturas[Kilometraje],tblLecturas[Codigo],$A246)-_xlfn.MINIFS(tblLecturas[Kilometraje],tblLecturas[Codigo],$A246))/(MAX(1,_xlfn.MAXIFS(tblLecturas[Fecha],tblLecturas[Codigo],$A246)-_xlfn.MINIFS(tblLecturas[Fecha],tblLecturas[Codigo],$A246))),1),ROUND((_xlfn.MAXIFS(tblLecturas[Horometro],tblLecturas[Codigo],$A246)-_xlfn.MINIFS(tblLecturas[Horometro],tblLecturas[Codigo],$A246))/(MAX(1,_xlfn.MAXIFS(tblLecturas[Fecha],tblLecturas[Codigo],$A246)-_xlfn.MINIFS(tblLecturas[Fecha],tblLecturas[Codigo],$A246))),1)),"")</f>
        <v>1</v>
      </c>
      <c r="L246" s="20">
        <f>IFERROR(_xlfn.MAXIFS(tblLecturas[Fecha],tblLecturas[Codigo],$A246),"")</f>
        <v>46098</v>
      </c>
      <c r="M246" s="26">
        <f>IFERROR(_xlfn.MAXIFS(Lecturas!$C:$C,Lecturas!$B:$B,$A246,Lecturas!$C:$C,"&gt;0"),"")</f>
        <v>26470</v>
      </c>
      <c r="N246" s="78">
        <f>IFERROR(_xlfn.MAXIFS(tblLecturas[Kilometraje],tblLecturas[Codigo],$A246,tblLecturas[Kilometraje],"&gt;0"),"")</f>
        <v>121996</v>
      </c>
      <c r="O246" s="78" cm="1">
        <f t="array" ref="O246">IFERROR(IF($I246="KM",LOOKUP(2,1/(Lecturas!$B:$B=$A246)/(Lecturas!$D:$D&gt;0),Lecturas!$D:$D),LOOKUP(2,1/(Lecturas!$B:$B=$A246)/(Lecturas!$C:$C&gt;0),Lecturas!$C:$C)),"")</f>
        <v>26470</v>
      </c>
      <c r="P246" s="20">
        <f>IFERROR(_xlfn.MAXIFS(tblMantenciones[Fecha],tblMantenciones[Codigo],tblMaestroEquipos[[#This Row],[Codigo]],tblMantenciones[EsPM],"Sí"),"")</f>
        <v>0</v>
      </c>
      <c r="Q246" s="78" t="str">
        <f>IF(_xlfn.MAXIFS(Mantenciones!$D:$D,Mantenciones!$B:$B,A246)=0,"Sin datos de mantención registrado",_xlfn.MAXIFS(Mantenciones!$D:$D,Mantenciones!$B:$B,A246))</f>
        <v>Sin datos de mantención registrado</v>
      </c>
      <c r="R246" s="18" t="str">
        <f>IFERROR(IF(_xlfn.MAXIFS(Mantenciones!$D:$D,Mantenciones!$B:$B,$A246,Mantenciones!$E:$E,"Sí",Mantenciones!$D:$D,"&gt;0")=0,"Sin datos de mantención registrado",_xlfn.MAXIFS(Mantenciones!$D:$D,Mantenciones!$B:$B,$A246,Mantenciones!$E:$E,"Sí",Mantenciones!$D:$D,"&gt;0")),"Sin datos de mantención registrado")</f>
        <v>Sin datos de mantención registrado</v>
      </c>
      <c r="S246" s="21">
        <f>IFERROR(SUMIFS(tblMantenciones[Costo Mantencion CLP],tblMantenciones[Codigo],A246),0)</f>
        <v>0</v>
      </c>
      <c r="T246" s="21">
        <f>IFERROR(SUMIFS(tblComprasPM[Costo PM CLP],tblComprasPM[Codigo],tblMaestroEquipos[[#This Row],[Codigo]]),0)</f>
        <v>305483.71000000002</v>
      </c>
      <c r="U246" s="21">
        <f>IFERROR(tblMaestroEquipos[[#This Row],[Costo Mantenciones CLP]]+tblMaestroEquipos[[#This Row],[Costo Compras PM CLP]],0)</f>
        <v>305483.71000000002</v>
      </c>
      <c r="V246" s="18" t="str">
        <f>IFERROR(_xlfn.XLOOKUP(tblMaestroEquipos[[#This Row],[Codigo]],tblEquipos[Codigo],tblEquipos[Estado Base]),"")</f>
        <v>Fuera de Servicio</v>
      </c>
      <c r="W246" s="18" t="str">
        <f t="shared" si="26"/>
        <v>FUERA DE SERVICIO</v>
      </c>
      <c r="X246" s="18" t="str">
        <f t="shared" si="27"/>
        <v/>
      </c>
      <c r="Y24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46" s="25">
        <f>IFERROR(IF(_xlfn.MINIFS(tblComprasPM[Fecha],tblComprasPM[Codigo],tblMaestroEquipos[[#This Row],[Codigo]])=0,"",_xlfn.MINIFS(tblComprasPM[Fecha],tblComprasPM[Codigo],tblMaestroEquipos[[#This Row],[Codigo]])),"")</f>
        <v>46104.734478391198</v>
      </c>
      <c r="AA246" s="25" t="str">
        <f>IFERROR(IF(_xlfn.MAXIFS(tblBodega[Fecha],tblBodega[Codigo],tblMaestroEquipos[[#This Row],[Codigo]])=0,"",_xlfn.MAXIFS(tblBodega[Fecha],tblBodega[Codigo],tblMaestroEquipos[[#This Row],[Codigo]])),"")</f>
        <v/>
      </c>
      <c r="AB24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41</v>
      </c>
      <c r="AC24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4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46" s="51" t="str">
        <f t="shared" si="25"/>
        <v>FUERA DE SERVICIO</v>
      </c>
      <c r="AF246" s="18" t="str">
        <f t="shared" si="28"/>
        <v>NO APLICA</v>
      </c>
      <c r="AG246" s="18" t="str">
        <f t="shared" si="29"/>
        <v>No programar compra</v>
      </c>
      <c r="AH246">
        <f t="shared" si="30"/>
        <v>0</v>
      </c>
      <c r="AI246" t="str">
        <f t="shared" si="31"/>
        <v/>
      </c>
      <c r="AJ246" s="24">
        <f t="shared" si="32"/>
        <v>99</v>
      </c>
    </row>
    <row r="247" spans="1:36">
      <c r="A247" s="18" t="s">
        <v>193</v>
      </c>
      <c r="B247" s="18" t="s">
        <v>116</v>
      </c>
      <c r="C247" s="18" t="s">
        <v>1069</v>
      </c>
      <c r="D247" s="18" t="s">
        <v>66</v>
      </c>
      <c r="E247" s="19" t="s">
        <v>67</v>
      </c>
      <c r="F247" s="18">
        <v>2013</v>
      </c>
      <c r="G247" s="18" t="str" cm="1">
        <f t="array" ref="G247">IFERROR(INDEX(Lecturas!$E$4:$E$3549,MATCH(1,(Lecturas!$B$4:$B$3549=$A247)*(Lecturas!$E$4:$E$3549&lt;&gt;"")*(Lecturas!$A$4:$A$3549=_xlfn.MAXIFS(Lecturas!$A$4:$A$3549,Lecturas!$B$4:$B$3549,$A247,Lecturas!$E$4:$E$3549,"&lt;&gt;")),0)),"")</f>
        <v>Palmucho</v>
      </c>
      <c r="H247" s="18" t="s">
        <v>57</v>
      </c>
      <c r="I247" s="18" t="s">
        <v>18</v>
      </c>
      <c r="J247" s="18">
        <v>250</v>
      </c>
      <c r="K247" s="18">
        <f>IFERROR(IF($I247="KM",ROUND((_xlfn.MAXIFS(tblLecturas[Kilometraje],tblLecturas[Codigo],$A247)-_xlfn.MINIFS(tblLecturas[Kilometraje],tblLecturas[Codigo],$A247))/(MAX(1,_xlfn.MAXIFS(tblLecturas[Fecha],tblLecturas[Codigo],$A247)-_xlfn.MINIFS(tblLecturas[Fecha],tblLecturas[Codigo],$A247))),1),ROUND((_xlfn.MAXIFS(tblLecturas[Horometro],tblLecturas[Codigo],$A247)-_xlfn.MINIFS(tblLecturas[Horometro],tblLecturas[Codigo],$A247))/(MAX(1,_xlfn.MAXIFS(tblLecturas[Fecha],tblLecturas[Codigo],$A247)-_xlfn.MINIFS(tblLecturas[Fecha],tblLecturas[Codigo],$A247))),1)),"")</f>
        <v>0.2</v>
      </c>
      <c r="L247" s="20">
        <f>IFERROR(_xlfn.MAXIFS(tblLecturas[Fecha],tblLecturas[Codigo],$A247),"")</f>
        <v>46092</v>
      </c>
      <c r="M247" s="26">
        <f>IFERROR(_xlfn.MAXIFS(Lecturas!$C:$C,Lecturas!$B:$B,$A247,Lecturas!$C:$C,"&gt;0"),"")</f>
        <v>13594</v>
      </c>
      <c r="N247" s="78">
        <f>IFERROR(_xlfn.MAXIFS(tblLecturas[Kilometraje],tblLecturas[Codigo],$A247,tblLecturas[Kilometraje],"&gt;0"),"")</f>
        <v>354613</v>
      </c>
      <c r="O247" s="78" cm="1">
        <f t="array" ref="O247">IFERROR(IF($I247="KM",LOOKUP(2,1/(Lecturas!$B:$B=$A247)/(Lecturas!$D:$D&gt;0),Lecturas!$D:$D),LOOKUP(2,1/(Lecturas!$B:$B=$A247)/(Lecturas!$C:$C&gt;0),Lecturas!$C:$C)),"")</f>
        <v>13594</v>
      </c>
      <c r="P247" s="20">
        <f>IFERROR(_xlfn.MAXIFS(tblMantenciones[Fecha],tblMantenciones[Codigo],tblMaestroEquipos[[#This Row],[Codigo]],tblMantenciones[EsPM],"Sí"),"")</f>
        <v>0</v>
      </c>
      <c r="Q247" s="78" t="str">
        <f>IF(_xlfn.MAXIFS(Mantenciones!$D:$D,Mantenciones!$B:$B,A247)=0,"Sin datos de mantención registrado",_xlfn.MAXIFS(Mantenciones!$D:$D,Mantenciones!$B:$B,A247))</f>
        <v>Sin datos de mantención registrado</v>
      </c>
      <c r="R247" s="18" t="str">
        <f>IFERROR(IF(_xlfn.MAXIFS(Mantenciones!$D:$D,Mantenciones!$B:$B,$A247,Mantenciones!$E:$E,"Sí",Mantenciones!$D:$D,"&gt;0")=0,"Sin datos de mantención registrado",_xlfn.MAXIFS(Mantenciones!$D:$D,Mantenciones!$B:$B,$A247,Mantenciones!$E:$E,"Sí",Mantenciones!$D:$D,"&gt;0")),"Sin datos de mantención registrado")</f>
        <v>Sin datos de mantención registrado</v>
      </c>
      <c r="S247" s="21">
        <f>IFERROR(SUMIFS(tblMantenciones[Costo Mantencion CLP],tblMantenciones[Codigo],A247),0)</f>
        <v>0</v>
      </c>
      <c r="T247" s="21">
        <f>IFERROR(SUMIFS(tblComprasPM[Costo PM CLP],tblComprasPM[Codigo],tblMaestroEquipos[[#This Row],[Codigo]]),0)</f>
        <v>0</v>
      </c>
      <c r="U247" s="21">
        <f>IFERROR(tblMaestroEquipos[[#This Row],[Costo Mantenciones CLP]]+tblMaestroEquipos[[#This Row],[Costo Compras PM CLP]],0)</f>
        <v>0</v>
      </c>
      <c r="V247" s="18" t="str">
        <f>IFERROR(_xlfn.XLOOKUP(tblMaestroEquipos[[#This Row],[Codigo]],tblEquipos[Codigo],tblEquipos[Estado Base]),"")</f>
        <v>Fuera de Servicio</v>
      </c>
      <c r="W247" s="18" t="str">
        <f t="shared" si="26"/>
        <v>FUERA DE SERVICIO</v>
      </c>
      <c r="X247" s="18" t="str">
        <f t="shared" si="27"/>
        <v/>
      </c>
      <c r="Y24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47" s="28" t="str">
        <f>IFERROR(IF(_xlfn.MINIFS(tblComprasPM[Fecha],tblComprasPM[Codigo],tblMaestroEquipos[[#This Row],[Codigo]])=0,"",_xlfn.MINIFS(tblComprasPM[Fecha],tblComprasPM[Codigo],tblMaestroEquipos[[#This Row],[Codigo]])),"")</f>
        <v/>
      </c>
      <c r="AA247" s="66" t="str">
        <f>IFERROR(IF(_xlfn.MAXIFS(tblBodega[Fecha],tblBodega[Codigo],tblMaestroEquipos[[#This Row],[Codigo]])=0,"",_xlfn.MAXIFS(tblBodega[Fecha],tblBodega[Codigo],tblMaestroEquipos[[#This Row],[Codigo]])),"")</f>
        <v/>
      </c>
      <c r="AB247" s="29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4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4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47" s="51" t="str">
        <f t="shared" si="25"/>
        <v>FUERA DE SERVICIO</v>
      </c>
      <c r="AF247" s="18" t="str">
        <f t="shared" si="28"/>
        <v>NO APLICA</v>
      </c>
      <c r="AG247" s="18" t="str">
        <f t="shared" si="29"/>
        <v>No programar compra</v>
      </c>
      <c r="AH247" s="24">
        <f t="shared" si="30"/>
        <v>0</v>
      </c>
      <c r="AI247" s="24" t="str">
        <f t="shared" si="31"/>
        <v/>
      </c>
      <c r="AJ247" s="24">
        <f t="shared" si="32"/>
        <v>99</v>
      </c>
    </row>
  </sheetData>
  <mergeCells count="1">
    <mergeCell ref="A1:F2"/>
  </mergeCells>
  <conditionalFormatting sqref="A4:AG247">
    <cfRule type="expression" dxfId="30" priority="8">
      <formula>$W4="ATRASADA"</formula>
    </cfRule>
    <cfRule type="expression" dxfId="29" priority="9">
      <formula>$W4="REVISAR LECTURA"</formula>
    </cfRule>
    <cfRule type="expression" dxfId="28" priority="10">
      <formula>$W4="FUERA DE SERVICIO"</formula>
    </cfRule>
  </conditionalFormatting>
  <conditionalFormatting sqref="A4:AJ247">
    <cfRule type="expression" dxfId="27" priority="2">
      <formula>$W4="POR RECIBIR"</formula>
    </cfRule>
    <cfRule type="expression" dxfId="26" priority="3">
      <formula>$W4="EN TALLER"</formula>
    </cfRule>
    <cfRule type="expression" dxfId="25" priority="5">
      <formula>$W4="AL DÍA"</formula>
    </cfRule>
    <cfRule type="expression" dxfId="24" priority="6">
      <formula>$W4="PRÓXIMA"</formula>
    </cfRule>
    <cfRule type="expression" dxfId="23" priority="7">
      <formula>$W4="EN PROCESO"</formula>
    </cfRule>
  </conditionalFormatting>
  <conditionalFormatting sqref="AD1:A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A247" r:id="rId1" display="mailto:=SI.ERROR(SI(MAX.SI.CONJUNTO(tblBodega[Fecha];tblBodega[Codigo];[@Codigo])=0;%22%22;MAX.SI.CONJUNTO(tblBodega[Fecha];tblBodega[Codigo];[@Codigo]));%22%22)" xr:uid="{00000000-0004-0000-0500-000000000000}"/>
  </hyperlinks>
  <pageMargins left="0.75" right="0.75" top="1" bottom="1" header="0.511811023622047" footer="0.511811023622047"/>
  <pageSetup paperSize="9" orientation="portrait" horizontalDpi="300" verticalDpi="300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47"/>
  <sheetViews>
    <sheetView zoomScaleNormal="100" workbookViewId="0">
      <pane ySplit="3" topLeftCell="A111" activePane="bottomLeft" state="frozen"/>
      <selection activeCell="J1" sqref="J1"/>
      <selection pane="bottomLeft" activeCell="F235" sqref="F235"/>
    </sheetView>
  </sheetViews>
  <sheetFormatPr baseColWidth="10" defaultColWidth="9.140625" defaultRowHeight="15" customHeight="1"/>
  <cols>
    <col min="1" max="1" width="9.42578125" customWidth="1"/>
    <col min="2" max="2" width="20.85546875" customWidth="1"/>
    <col min="3" max="3" width="17.85546875" customWidth="1"/>
    <col min="4" max="4" width="8.42578125" customWidth="1"/>
    <col min="5" max="5" width="15.7109375" customWidth="1"/>
    <col min="6" max="6" width="13.140625" customWidth="1"/>
    <col min="7" max="7" width="17.7109375" customWidth="1"/>
    <col min="8" max="8" width="16.42578125" customWidth="1"/>
    <col min="9" max="9" width="16.85546875" style="41" customWidth="1"/>
    <col min="10" max="10" width="18" customWidth="1"/>
    <col min="11" max="11" width="16" customWidth="1"/>
    <col min="12" max="12" width="14" customWidth="1"/>
    <col min="13" max="13" width="14" style="41" customWidth="1"/>
    <col min="14" max="14" width="16" customWidth="1"/>
    <col min="15" max="15" width="18" customWidth="1"/>
    <col min="16" max="16" width="31.28515625" bestFit="1" customWidth="1"/>
    <col min="17" max="17" width="31" bestFit="1" customWidth="1"/>
    <col min="18" max="18" width="24.5703125" bestFit="1" customWidth="1"/>
    <col min="19" max="19" width="40.28515625" customWidth="1"/>
  </cols>
  <sheetData>
    <row r="1" spans="1:19" ht="23.25" customHeight="1">
      <c r="A1" s="87" t="s">
        <v>1105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</row>
    <row r="2" spans="1:19">
      <c r="A2" s="88" t="s">
        <v>1106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</row>
    <row r="3" spans="1:19">
      <c r="A3" s="16" t="s">
        <v>1</v>
      </c>
      <c r="B3" s="16" t="s">
        <v>2</v>
      </c>
      <c r="C3" s="16" t="s">
        <v>1043</v>
      </c>
      <c r="D3" s="16" t="s">
        <v>1107</v>
      </c>
      <c r="E3" s="16" t="s">
        <v>1047</v>
      </c>
      <c r="F3" s="16" t="s">
        <v>1108</v>
      </c>
      <c r="G3" s="17" t="s">
        <v>11</v>
      </c>
      <c r="H3" s="16" t="s">
        <v>1109</v>
      </c>
      <c r="I3" s="56" t="s">
        <v>1110</v>
      </c>
      <c r="J3" s="16" t="s">
        <v>1111</v>
      </c>
      <c r="K3" s="17" t="s">
        <v>1112</v>
      </c>
      <c r="L3" s="16" t="s">
        <v>1113</v>
      </c>
      <c r="M3" s="57" t="s">
        <v>1048</v>
      </c>
      <c r="N3" s="17" t="s">
        <v>1058</v>
      </c>
      <c r="O3" s="16" t="s">
        <v>1059</v>
      </c>
      <c r="P3" s="17" t="s">
        <v>1114</v>
      </c>
      <c r="Q3" s="17" t="s">
        <v>1115</v>
      </c>
      <c r="R3" s="17" t="s">
        <v>1116</v>
      </c>
      <c r="S3" s="16" t="s">
        <v>1065</v>
      </c>
    </row>
    <row r="4" spans="1:19">
      <c r="A4" t="str" cm="1">
        <f t="array" ref="A4">IFERROR(INDEX(_xlfn._xlws.FILTER(Maestro_Equipos!$A$4:$A$247,Maestro_Equipos!$A$4:$A$247&lt;&gt;""),ROWS($A$4:A4)),"")</f>
        <v>CD-69</v>
      </c>
      <c r="B4" t="str">
        <f>IFERROR(_xlfn.XLOOKUP($A4,Maestro_Equipos!$A$4:$A$247,Maestro_Equipos!$B$4:$B$247,""),"")</f>
        <v>Tracto Camión</v>
      </c>
      <c r="C4" t="str">
        <f>IFERROR(_xlfn.XLOOKUP($A4,Maestro_Equipos!$A$4:$A$247,Maestro_Equipos!$C$4:$C$247,""),"")</f>
        <v>Camiones de Ruta</v>
      </c>
      <c r="D4" t="str">
        <f>IFERROR(_xlfn.XLOOKUP($A4,Maestro_Equipos!$A:$A,Maestro_Equipos!$I:$I,""),"")</f>
        <v>HORAS</v>
      </c>
      <c r="E4">
        <f>IFERROR(IF($D4="KM",_xlfn.XLOOKUP($A4,Maestro_Equipos!$A:$A,Maestro_Equipos!$N:$N,""),_xlfn.XLOOKUP($A4,Maestro_Equipos!$A:$A,Maestro_Equipos!$M:$M,"")),"")</f>
        <v>8002</v>
      </c>
      <c r="F4">
        <f>IFERROR(_xlfn.XLOOKUP($A4,Maestro_Equipos!$A:$A,Maestro_Equipos!$R:$R,"")+_xlfn.XLOOKUP($A4,Maestro_Equipos!$A:$A,Maestro_Equipos!$J:$J,""),"")</f>
        <v>461838</v>
      </c>
      <c r="G4">
        <f>IFERROR(_xlfn.XLOOKUP($A4,Maestro_Equipos!$A:$A,Maestro_Equipos!$K:$K,""),"")</f>
        <v>0.6</v>
      </c>
      <c r="H4">
        <f t="shared" ref="H4:H67" si="0">IFERROR(IF(OR($E4="",$F4="",$G4="",$G4&lt;=0),"",ROUND(($F4-$E4)/$G4,0)),"")</f>
        <v>756393</v>
      </c>
      <c r="I4" s="41">
        <f t="shared" ref="I4:I67" ca="1" si="1">IFERROR(IF($H4="","",TODAY()+$H4),"")</f>
        <v>802538</v>
      </c>
      <c r="J4" s="5" t="str">
        <f>IFERROR(INDEX(Maestro_Equipos!$V$4:$V$247,MATCH($A4,Maestro_Equipos!$A$4:$A$247,0)),"")</f>
        <v>Operativo</v>
      </c>
      <c r="K4" s="37">
        <f>IFERROR(
   SUMIFS(Mantenciones!$I:$I,Mantenciones!$B:$B,$A4)
 + SUMIFS('Compras PM'!$F:$F,'Compras PM'!$C:$C,$A4),0)</f>
        <v>255115.17499999999</v>
      </c>
      <c r="L4" s="30" t="str">
        <f t="shared" ref="L4:L67" si="2">IF($J4="Fuera de Servicio","NO PROGRAMAR",IF($H4="","SIN DATOS",IF($H4&lt;=0,"VENCIDA",IF($H4&lt;=7,"CRÍTICA",IF($H4&lt;=15,"ALTA",IF($H4&lt;=30,"MEDIA","BAJA"))))))</f>
        <v>BAJA</v>
      </c>
      <c r="M4" s="58" cm="1">
        <f t="array" ref="M4">IFERROR(_xlfn.AGGREGATE(14,6,Mantenciones!$A$2:$A$9997/(Mantenciones!$B$2:$B$9997=$A4),1),"")</f>
        <v>46073</v>
      </c>
      <c r="N4" s="31" cm="1">
        <f t="array" ref="N4">IFERROR(_xlfn.AGGREGATE(14,6,'Compras PM'!$A$4:$A$10014/('Compras PM'!$C$4:$C$10014=$A4),1),"")</f>
        <v>46076.468356400503</v>
      </c>
      <c r="O4" s="31">
        <f>IFERROR(VLOOKUP($A4,Maestro_Equipos!$A$4:$AG$247,27,FALSE()),"")</f>
        <v>46073</v>
      </c>
      <c r="P4" s="32">
        <f t="shared" ref="P4:P67" ca="1" si="3">IFERROR(IF($N4="","",IF(OR($M4="",$M4&lt;$N4),TODAY()-$N4,$M4-$N4)),"")</f>
        <v>68.531643599497329</v>
      </c>
      <c r="Q4" s="32">
        <f t="shared" ref="Q4:Q67" ca="1" si="4">IFERROR(IF($O4="","",IF(OR($M4="",$M4&lt;$O4),TODAY()-$O4,$M4-$O4)),"")</f>
        <v>0</v>
      </c>
      <c r="R4" s="30" t="str">
        <f t="shared" ref="R4:R67" si="5">IF($O4="","SIN SALIDA",IF(OR($M4="",$M4&lt;$O4),"PENDIENTE","REALIZADA"))</f>
        <v>REALIZADA</v>
      </c>
      <c r="S4" s="33" t="str">
        <f>IFERROR(VLOOKUP($A4,Maestro_Equipos!$A$4:$AG$247,33,FALSE()),"")</f>
        <v>Monitorear próximo vencimiento</v>
      </c>
    </row>
    <row r="5" spans="1:19" ht="15" customHeight="1">
      <c r="A5" t="str" cm="1">
        <f t="array" ref="A5">IFERROR(INDEX(_xlfn._xlws.FILTER(Maestro_Equipos!$A$4:$A$247,Maestro_Equipos!$A$4:$A$247&lt;&gt;""),ROWS($A$4:A5)),"")</f>
        <v>CD-118</v>
      </c>
      <c r="B5" t="str">
        <f>IFERROR(_xlfn.XLOOKUP($A5,Maestro_Equipos!$A$4:$A$247,Maestro_Equipos!$B$4:$B$247,""),"")</f>
        <v>Camión Plano</v>
      </c>
      <c r="C5" t="str">
        <f>IFERROR(_xlfn.XLOOKUP($A5,Maestro_Equipos!$A$4:$A$247,Maestro_Equipos!$C$4:$C$247,""),"")</f>
        <v>Camiones de Ruta</v>
      </c>
      <c r="D5" t="str">
        <f>IFERROR(_xlfn.XLOOKUP($A5,Maestro_Equipos!$A:$A,Maestro_Equipos!$I:$I,""),"")</f>
        <v>HORAS</v>
      </c>
      <c r="E5">
        <f>IFERROR(IF($D5="KM",_xlfn.XLOOKUP($A5,Maestro_Equipos!$A:$A,Maestro_Equipos!$N:$N,""),_xlfn.XLOOKUP($A5,Maestro_Equipos!$A:$A,Maestro_Equipos!$M:$M,"")),"")</f>
        <v>0</v>
      </c>
      <c r="F5" t="str">
        <f>IFERROR(_xlfn.XLOOKUP($A5,Maestro_Equipos!$A:$A,Maestro_Equipos!$R:$R,"")+_xlfn.XLOOKUP($A5,Maestro_Equipos!$A:$A,Maestro_Equipos!$J:$J,""),"")</f>
        <v/>
      </c>
      <c r="G5">
        <f>IFERROR(_xlfn.XLOOKUP($A5,Maestro_Equipos!$A:$A,Maestro_Equipos!$K:$K,""),"")</f>
        <v>0</v>
      </c>
      <c r="H5" t="str">
        <f t="shared" si="0"/>
        <v/>
      </c>
      <c r="I5" s="41" t="str">
        <f t="shared" ca="1" si="1"/>
        <v/>
      </c>
      <c r="J5" s="5" t="str">
        <f>IFERROR(INDEX(Maestro_Equipos!$V$4:$V$247,MATCH($A5,Maestro_Equipos!$A$4:$A$247,0)),"")</f>
        <v>Operativo</v>
      </c>
      <c r="K5" s="37">
        <f>IFERROR(
   SUMIFS(Mantenciones!$I:$I,Mantenciones!$B:$B,$A5)
 + SUMIFS('Compras PM'!$F:$F,'Compras PM'!$C:$C,$A5),0)</f>
        <v>0</v>
      </c>
      <c r="L5" s="30" t="str">
        <f t="shared" si="2"/>
        <v>SIN DATOS</v>
      </c>
      <c r="M5" s="58" t="str" cm="1">
        <f t="array" ref="M5">IFERROR(_xlfn.AGGREGATE(14,6,Mantenciones!$A$2:$A$9997/(Mantenciones!$B$2:$B$9997=$A5),1),"")</f>
        <v/>
      </c>
      <c r="N5" s="31" t="str" cm="1">
        <f t="array" ref="N5">IFERROR(_xlfn.AGGREGATE(14,6,'Compras PM'!$A$4:$A$10014/('Compras PM'!$C$4:$C$10014=$A5),1),"")</f>
        <v/>
      </c>
      <c r="O5" s="31" t="str">
        <f>IFERROR(VLOOKUP($A5,Maestro_Equipos!$A$4:$AG$247,27,FALSE()),"")</f>
        <v/>
      </c>
      <c r="P5" s="32" t="str">
        <f t="shared" ca="1" si="3"/>
        <v/>
      </c>
      <c r="Q5" s="32" t="str">
        <f t="shared" ca="1" si="4"/>
        <v/>
      </c>
      <c r="R5" s="30" t="str">
        <f t="shared" si="5"/>
        <v>SIN SALIDA</v>
      </c>
      <c r="S5" s="33" t="str">
        <f>IFERROR(VLOOKUP($A5,Maestro_Equipos!$A$4:$AG$247,33,FALSE()),"")</f>
        <v>Monitorear próximo vencimiento</v>
      </c>
    </row>
    <row r="6" spans="1:19">
      <c r="A6" t="str" cm="1">
        <f t="array" ref="A6">IFERROR(INDEX(_xlfn._xlws.FILTER(Maestro_Equipos!$A$4:$A$247,Maestro_Equipos!$A$4:$A$247&lt;&gt;""),ROWS($A$4:A6)),"")</f>
        <v>CD-127</v>
      </c>
      <c r="B6" t="str">
        <f>IFERROR(_xlfn.XLOOKUP($A6,Maestro_Equipos!$A$4:$A$247,Maestro_Equipos!$B$4:$B$247,""),"")</f>
        <v>Camión Pluma</v>
      </c>
      <c r="C6" t="str">
        <f>IFERROR(_xlfn.XLOOKUP($A6,Maestro_Equipos!$A$4:$A$247,Maestro_Equipos!$C$4:$C$247,""),"")</f>
        <v>Camiones de Ruta</v>
      </c>
      <c r="D6" t="str">
        <f>IFERROR(_xlfn.XLOOKUP($A6,Maestro_Equipos!$A:$A,Maestro_Equipos!$I:$I,""),"")</f>
        <v>HORAS</v>
      </c>
      <c r="E6">
        <f>IFERROR(IF($D6="KM",_xlfn.XLOOKUP($A6,Maestro_Equipos!$A:$A,Maestro_Equipos!$N:$N,""),_xlfn.XLOOKUP($A6,Maestro_Equipos!$A:$A,Maestro_Equipos!$M:$M,"")),"")</f>
        <v>0</v>
      </c>
      <c r="F6">
        <f>IFERROR(_xlfn.XLOOKUP($A6,Maestro_Equipos!$A:$A,Maestro_Equipos!$R:$R,"")+_xlfn.XLOOKUP($A6,Maestro_Equipos!$A:$A,Maestro_Equipos!$J:$J,""),"")</f>
        <v>138750</v>
      </c>
      <c r="G6">
        <f>IFERROR(_xlfn.XLOOKUP($A6,Maestro_Equipos!$A:$A,Maestro_Equipos!$K:$K,""),"")</f>
        <v>0</v>
      </c>
      <c r="H6" t="str">
        <f t="shared" si="0"/>
        <v/>
      </c>
      <c r="I6" s="41" t="str">
        <f t="shared" ca="1" si="1"/>
        <v/>
      </c>
      <c r="J6" s="5" t="str">
        <f>IFERROR(INDEX(Maestro_Equipos!$V$4:$V$247,MATCH($A6,Maestro_Equipos!$A$4:$A$247,0)),"")</f>
        <v>Operativo</v>
      </c>
      <c r="K6" s="37">
        <f>IFERROR(
   SUMIFS(Mantenciones!$I:$I,Mantenciones!$B:$B,$A6)
 + SUMIFS('Compras PM'!$F:$F,'Compras PM'!$C:$C,$A6),0)</f>
        <v>222792.99</v>
      </c>
      <c r="L6" s="30" t="str">
        <f t="shared" si="2"/>
        <v>SIN DATOS</v>
      </c>
      <c r="M6" s="58" cm="1">
        <f t="array" ref="M6">IFERROR(_xlfn.AGGREGATE(14,6,Mantenciones!$A$2:$A$9997/(Mantenciones!$B$2:$B$9997=$A6),1),"")</f>
        <v>46129</v>
      </c>
      <c r="N6" s="31" cm="1">
        <f t="array" ref="N6">IFERROR(_xlfn.AGGREGATE(14,6,'Compras PM'!$A$4:$A$10014/('Compras PM'!$C$4:$C$10014=$A6),1),"")</f>
        <v>46086.705769826403</v>
      </c>
      <c r="O6" s="31">
        <f>IFERROR(VLOOKUP($A6,Maestro_Equipos!$A$4:$AG$247,27,FALSE()),"")</f>
        <v>46129</v>
      </c>
      <c r="P6" s="32">
        <f t="shared" ca="1" si="3"/>
        <v>42.294230173596588</v>
      </c>
      <c r="Q6" s="32">
        <f t="shared" ca="1" si="4"/>
        <v>0</v>
      </c>
      <c r="R6" s="30" t="str">
        <f t="shared" si="5"/>
        <v>REALIZADA</v>
      </c>
      <c r="S6" s="33" t="str">
        <f>IFERROR(VLOOKUP($A6,Maestro_Equipos!$A$4:$AG$247,33,FALSE()),"")</f>
        <v>Monitorear próximo vencimiento</v>
      </c>
    </row>
    <row r="7" spans="1:19">
      <c r="A7" t="str" cm="1">
        <f t="array" ref="A7">IFERROR(INDEX(_xlfn._xlws.FILTER(Maestro_Equipos!$A$4:$A$247,Maestro_Equipos!$A$4:$A$247&lt;&gt;""),ROWS($A$4:A7)),"")</f>
        <v>CD-128</v>
      </c>
      <c r="B7" t="str">
        <f>IFERROR(_xlfn.XLOOKUP($A7,Maestro_Equipos!$A$4:$A$247,Maestro_Equipos!$B$4:$B$247,""),"")</f>
        <v>Camión slurry</v>
      </c>
      <c r="C7" t="str">
        <f>IFERROR(_xlfn.XLOOKUP($A7,Maestro_Equipos!$A$4:$A$247,Maestro_Equipos!$C$4:$C$247,""),"")</f>
        <v>Camiones de Ruta</v>
      </c>
      <c r="D7" t="str">
        <f>IFERROR(_xlfn.XLOOKUP($A7,Maestro_Equipos!$A:$A,Maestro_Equipos!$I:$I,""),"")</f>
        <v>HORAS</v>
      </c>
      <c r="E7">
        <f>IFERROR(IF($D7="KM",_xlfn.XLOOKUP($A7,Maestro_Equipos!$A:$A,Maestro_Equipos!$N:$N,""),_xlfn.XLOOKUP($A7,Maestro_Equipos!$A:$A,Maestro_Equipos!$M:$M,"")),"")</f>
        <v>0</v>
      </c>
      <c r="F7" t="str">
        <f>IFERROR(_xlfn.XLOOKUP($A7,Maestro_Equipos!$A:$A,Maestro_Equipos!$R:$R,"")+_xlfn.XLOOKUP($A7,Maestro_Equipos!$A:$A,Maestro_Equipos!$J:$J,""),"")</f>
        <v/>
      </c>
      <c r="G7">
        <f>IFERROR(_xlfn.XLOOKUP($A7,Maestro_Equipos!$A:$A,Maestro_Equipos!$K:$K,""),"")</f>
        <v>0</v>
      </c>
      <c r="H7" t="str">
        <f t="shared" si="0"/>
        <v/>
      </c>
      <c r="I7" s="41" t="str">
        <f t="shared" ca="1" si="1"/>
        <v/>
      </c>
      <c r="J7" s="5" t="str">
        <f>IFERROR(INDEX(Maestro_Equipos!$V$4:$V$247,MATCH($A7,Maestro_Equipos!$A$4:$A$247,0)),"")</f>
        <v>Operativo</v>
      </c>
      <c r="K7" s="37">
        <f>IFERROR(
   SUMIFS(Mantenciones!$I:$I,Mantenciones!$B:$B,$A7)
 + SUMIFS('Compras PM'!$F:$F,'Compras PM'!$C:$C,$A7),0)</f>
        <v>0</v>
      </c>
      <c r="L7" s="30" t="str">
        <f t="shared" si="2"/>
        <v>SIN DATOS</v>
      </c>
      <c r="M7" s="58" t="str" cm="1">
        <f t="array" ref="M7">IFERROR(_xlfn.AGGREGATE(14,6,Mantenciones!$A$2:$A$9997/(Mantenciones!$B$2:$B$9997=$A7),1),"")</f>
        <v/>
      </c>
      <c r="N7" s="31" t="str" cm="1">
        <f t="array" ref="N7">IFERROR(_xlfn.AGGREGATE(14,6,'Compras PM'!$A$4:$A$10014/('Compras PM'!$C$4:$C$10014=$A7),1),"")</f>
        <v/>
      </c>
      <c r="O7" s="31" t="str">
        <f>IFERROR(VLOOKUP($A7,Maestro_Equipos!$A$4:$AG$247,27,FALSE()),"")</f>
        <v/>
      </c>
      <c r="P7" s="32" t="str">
        <f t="shared" ca="1" si="3"/>
        <v/>
      </c>
      <c r="Q7" s="32" t="str">
        <f t="shared" ca="1" si="4"/>
        <v/>
      </c>
      <c r="R7" s="30" t="str">
        <f t="shared" si="5"/>
        <v>SIN SALIDA</v>
      </c>
      <c r="S7" s="33" t="str">
        <f>IFERROR(VLOOKUP($A7,Maestro_Equipos!$A$4:$AG$247,33,FALSE()),"")</f>
        <v>Monitorear próximo vencimiento</v>
      </c>
    </row>
    <row r="8" spans="1:19">
      <c r="A8" t="str" cm="1">
        <f t="array" ref="A8">IFERROR(INDEX(_xlfn._xlws.FILTER(Maestro_Equipos!$A$4:$A$247,Maestro_Equipos!$A$4:$A$247&lt;&gt;""),ROWS($A$4:A8)),"")</f>
        <v>CD-137</v>
      </c>
      <c r="B8" t="str">
        <f>IFERROR(_xlfn.XLOOKUP($A8,Maestro_Equipos!$A$4:$A$247,Maestro_Equipos!$B$4:$B$247,""),"")</f>
        <v>Tracto Camión</v>
      </c>
      <c r="C8" t="str">
        <f>IFERROR(_xlfn.XLOOKUP($A8,Maestro_Equipos!$A$4:$A$247,Maestro_Equipos!$C$4:$C$247,""),"")</f>
        <v>Camiones de Ruta</v>
      </c>
      <c r="D8" t="str">
        <f>IFERROR(_xlfn.XLOOKUP($A8,Maestro_Equipos!$A:$A,Maestro_Equipos!$I:$I,""),"")</f>
        <v>HORAS</v>
      </c>
      <c r="E8">
        <f>IFERROR(IF($D8="KM",_xlfn.XLOOKUP($A8,Maestro_Equipos!$A:$A,Maestro_Equipos!$N:$N,""),_xlfn.XLOOKUP($A8,Maestro_Equipos!$A:$A,Maestro_Equipos!$M:$M,"")),"")</f>
        <v>0</v>
      </c>
      <c r="F8" t="str">
        <f>IFERROR(_xlfn.XLOOKUP($A8,Maestro_Equipos!$A:$A,Maestro_Equipos!$R:$R,"")+_xlfn.XLOOKUP($A8,Maestro_Equipos!$A:$A,Maestro_Equipos!$J:$J,""),"")</f>
        <v/>
      </c>
      <c r="G8">
        <f>IFERROR(_xlfn.XLOOKUP($A8,Maestro_Equipos!$A:$A,Maestro_Equipos!$K:$K,""),"")</f>
        <v>0</v>
      </c>
      <c r="H8" t="str">
        <f t="shared" si="0"/>
        <v/>
      </c>
      <c r="I8" s="41" t="str">
        <f t="shared" ca="1" si="1"/>
        <v/>
      </c>
      <c r="J8" s="5" t="str">
        <f>IFERROR(INDEX(Maestro_Equipos!$V$4:$V$247,MATCH($A8,Maestro_Equipos!$A$4:$A$247,0)),"")</f>
        <v>Operativo</v>
      </c>
      <c r="K8" s="37">
        <f>IFERROR(
   SUMIFS(Mantenciones!$I:$I,Mantenciones!$B:$B,$A8)
 + SUMIFS('Compras PM'!$F:$F,'Compras PM'!$C:$C,$A8),0)</f>
        <v>223858.04</v>
      </c>
      <c r="L8" s="30" t="str">
        <f t="shared" si="2"/>
        <v>SIN DATOS</v>
      </c>
      <c r="M8" s="58" t="str" cm="1">
        <f t="array" ref="M8">IFERROR(_xlfn.AGGREGATE(14,6,Mantenciones!$A$2:$A$9997/(Mantenciones!$B$2:$B$9997=$A8),1),"")</f>
        <v/>
      </c>
      <c r="N8" s="31" cm="1">
        <f t="array" ref="N8">IFERROR(_xlfn.AGGREGATE(14,6,'Compras PM'!$A$4:$A$10014/('Compras PM'!$C$4:$C$10014=$A8),1),"")</f>
        <v>46128.535379282403</v>
      </c>
      <c r="O8" s="31" t="str">
        <f>IFERROR(VLOOKUP($A8,Maestro_Equipos!$A$4:$AG$247,27,FALSE()),"")</f>
        <v/>
      </c>
      <c r="P8" s="32">
        <f t="shared" ca="1" si="3"/>
        <v>16.464620717597427</v>
      </c>
      <c r="Q8" s="32" t="str">
        <f t="shared" ca="1" si="4"/>
        <v/>
      </c>
      <c r="R8" s="30" t="str">
        <f t="shared" si="5"/>
        <v>SIN SALIDA</v>
      </c>
      <c r="S8" s="33" t="str">
        <f>IFERROR(VLOOKUP($A8,Maestro_Equipos!$A$4:$AG$247,33,FALSE()),"")</f>
        <v>Hacer seguimiento al taller y cerrar report</v>
      </c>
    </row>
    <row r="9" spans="1:19">
      <c r="A9" t="str" cm="1">
        <f t="array" ref="A9">IFERROR(INDEX(_xlfn._xlws.FILTER(Maestro_Equipos!$A$4:$A$247,Maestro_Equipos!$A$4:$A$247&lt;&gt;""),ROWS($A$4:A9)),"")</f>
        <v>MD-65</v>
      </c>
      <c r="B9" t="str">
        <f>IFERROR(_xlfn.XLOOKUP($A9,Maestro_Equipos!$A$4:$A$247,Maestro_Equipos!$B$4:$B$247,""),"")</f>
        <v>Cargador Frontal</v>
      </c>
      <c r="C9" t="str">
        <f>IFERROR(_xlfn.XLOOKUP($A9,Maestro_Equipos!$A$4:$A$247,Maestro_Equipos!$C$4:$C$247,""),"")</f>
        <v>Maquinaria Pesada</v>
      </c>
      <c r="D9" t="str">
        <f>IFERROR(_xlfn.XLOOKUP($A9,Maestro_Equipos!$A:$A,Maestro_Equipos!$I:$I,""),"")</f>
        <v>HORAS</v>
      </c>
      <c r="E9">
        <f>IFERROR(IF($D9="KM",_xlfn.XLOOKUP($A9,Maestro_Equipos!$A:$A,Maestro_Equipos!$N:$N,""),_xlfn.XLOOKUP($A9,Maestro_Equipos!$A:$A,Maestro_Equipos!$M:$M,"")),"")</f>
        <v>5671</v>
      </c>
      <c r="F9" t="str">
        <f>IFERROR(_xlfn.XLOOKUP($A9,Maestro_Equipos!$A:$A,Maestro_Equipos!$R:$R,"")+_xlfn.XLOOKUP($A9,Maestro_Equipos!$A:$A,Maestro_Equipos!$J:$J,""),"")</f>
        <v/>
      </c>
      <c r="G9">
        <f>IFERROR(_xlfn.XLOOKUP($A9,Maestro_Equipos!$A:$A,Maestro_Equipos!$K:$K,""),"")</f>
        <v>1.6</v>
      </c>
      <c r="H9" t="str">
        <f t="shared" si="0"/>
        <v/>
      </c>
      <c r="I9" s="41" t="str">
        <f t="shared" ca="1" si="1"/>
        <v/>
      </c>
      <c r="J9" s="5" t="str">
        <f>IFERROR(INDEX(Maestro_Equipos!$V$4:$V$247,MATCH($A9,Maestro_Equipos!$A$4:$A$247,0)),"")</f>
        <v>Operativo</v>
      </c>
      <c r="K9" s="37">
        <f>IFERROR(
   SUMIFS(Mantenciones!$I:$I,Mantenciones!$B:$B,$A9)
 + SUMIFS('Compras PM'!$F:$F,'Compras PM'!$C:$C,$A9),0)</f>
        <v>0</v>
      </c>
      <c r="L9" s="30" t="str">
        <f t="shared" si="2"/>
        <v>SIN DATOS</v>
      </c>
      <c r="M9" s="58" t="str" cm="1">
        <f t="array" ref="M9">IFERROR(_xlfn.AGGREGATE(14,6,Mantenciones!$A$2:$A$9997/(Mantenciones!$B$2:$B$9997=$A9),1),"")</f>
        <v/>
      </c>
      <c r="N9" s="31" t="str" cm="1">
        <f t="array" ref="N9">IFERROR(_xlfn.AGGREGATE(14,6,'Compras PM'!$A$4:$A$10014/('Compras PM'!$C$4:$C$10014=$A9),1),"")</f>
        <v/>
      </c>
      <c r="O9" s="31" t="str">
        <f>IFERROR(VLOOKUP($A9,Maestro_Equipos!$A$4:$AG$247,27,FALSE()),"")</f>
        <v/>
      </c>
      <c r="P9" s="32" t="str">
        <f t="shared" ca="1" si="3"/>
        <v/>
      </c>
      <c r="Q9" s="32" t="str">
        <f t="shared" ca="1" si="4"/>
        <v/>
      </c>
      <c r="R9" s="30" t="str">
        <f t="shared" si="5"/>
        <v>SIN SALIDA</v>
      </c>
      <c r="S9" s="33" t="str">
        <f>IFERROR(VLOOKUP($A9,Maestro_Equipos!$A$4:$AG$247,33,FALSE()),"")</f>
        <v>Monitorear próximo vencimiento</v>
      </c>
    </row>
    <row r="10" spans="1:19">
      <c r="A10" t="str" cm="1">
        <f t="array" ref="A10">IFERROR(INDEX(_xlfn._xlws.FILTER(Maestro_Equipos!$A$4:$A$247,Maestro_Equipos!$A$4:$A$247&lt;&gt;""),ROWS($A$4:A10)),"")</f>
        <v>CD-97</v>
      </c>
      <c r="B10" t="str">
        <f>IFERROR(_xlfn.XLOOKUP($A10,Maestro_Equipos!$A$4:$A$247,Maestro_Equipos!$B$4:$B$247,""),"")</f>
        <v>Tracto Camión</v>
      </c>
      <c r="C10" t="str">
        <f>IFERROR(_xlfn.XLOOKUP($A10,Maestro_Equipos!$A$4:$A$247,Maestro_Equipos!$C$4:$C$247,""),"")</f>
        <v>Camiones de Ruta</v>
      </c>
      <c r="D10" t="str">
        <f>IFERROR(_xlfn.XLOOKUP($A10,Maestro_Equipos!$A:$A,Maestro_Equipos!$I:$I,""),"")</f>
        <v>HORAS</v>
      </c>
      <c r="E10">
        <f>IFERROR(IF($D10="KM",_xlfn.XLOOKUP($A10,Maestro_Equipos!$A:$A,Maestro_Equipos!$N:$N,""),_xlfn.XLOOKUP($A10,Maestro_Equipos!$A:$A,Maestro_Equipos!$M:$M,"")),"")</f>
        <v>0</v>
      </c>
      <c r="F10">
        <f>IFERROR(_xlfn.XLOOKUP($A10,Maestro_Equipos!$A:$A,Maestro_Equipos!$R:$R,"")+_xlfn.XLOOKUP($A10,Maestro_Equipos!$A:$A,Maestro_Equipos!$J:$J,""),"")</f>
        <v>530461</v>
      </c>
      <c r="G10">
        <f>IFERROR(_xlfn.XLOOKUP($A10,Maestro_Equipos!$A:$A,Maestro_Equipos!$K:$K,""),"")</f>
        <v>0</v>
      </c>
      <c r="H10" t="str">
        <f t="shared" si="0"/>
        <v/>
      </c>
      <c r="I10" s="41" t="str">
        <f t="shared" ca="1" si="1"/>
        <v/>
      </c>
      <c r="J10" s="5" t="str">
        <f>IFERROR(INDEX(Maestro_Equipos!$V$4:$V$247,MATCH($A10,Maestro_Equipos!$A$4:$A$247,0)),"")</f>
        <v>Operativo</v>
      </c>
      <c r="K10" s="37">
        <f>IFERROR(
   SUMIFS(Mantenciones!$I:$I,Mantenciones!$B:$B,$A10)
 + SUMIFS('Compras PM'!$F:$F,'Compras PM'!$C:$C,$A10),0)</f>
        <v>0</v>
      </c>
      <c r="L10" s="30" t="str">
        <f t="shared" si="2"/>
        <v>SIN DATOS</v>
      </c>
      <c r="M10" s="58" cm="1">
        <f t="array" ref="M10">IFERROR(_xlfn.AGGREGATE(14,6,Mantenciones!$A$2:$A$9997/(Mantenciones!$B$2:$B$9997=$A10),1),"")</f>
        <v>46014</v>
      </c>
      <c r="N10" s="31" t="str" cm="1">
        <f t="array" ref="N10">IFERROR(_xlfn.AGGREGATE(14,6,'Compras PM'!$A$4:$A$10014/('Compras PM'!$C$4:$C$10014=$A10),1),"")</f>
        <v/>
      </c>
      <c r="O10" s="31" t="str">
        <f>IFERROR(VLOOKUP($A10,Maestro_Equipos!$A$4:$AG$247,27,FALSE()),"")</f>
        <v/>
      </c>
      <c r="P10" s="32" t="str">
        <f t="shared" ca="1" si="3"/>
        <v/>
      </c>
      <c r="Q10" s="32" t="str">
        <f t="shared" ca="1" si="4"/>
        <v/>
      </c>
      <c r="R10" s="30" t="str">
        <f t="shared" si="5"/>
        <v>SIN SALIDA</v>
      </c>
      <c r="S10" s="33" t="str">
        <f>IFERROR(VLOOKUP($A10,Maestro_Equipos!$A$4:$AG$247,33,FALSE()),"")</f>
        <v>Monitorear próximo vencimiento</v>
      </c>
    </row>
    <row r="11" spans="1:19" ht="15" customHeight="1">
      <c r="A11" t="str" cm="1">
        <f t="array" ref="A11">IFERROR(INDEX(_xlfn._xlws.FILTER(Maestro_Equipos!$A$4:$A$247,Maestro_Equipos!$A$4:$A$247&lt;&gt;""),ROWS($A$4:A11)),"")</f>
        <v>CD-140</v>
      </c>
      <c r="B11" t="str">
        <f>IFERROR(_xlfn.XLOOKUP($A11,Maestro_Equipos!$A$4:$A$247,Maestro_Equipos!$B$4:$B$247,""),"")</f>
        <v>Camion Plano</v>
      </c>
      <c r="C11" t="str">
        <f>IFERROR(_xlfn.XLOOKUP($A11,Maestro_Equipos!$A$4:$A$247,Maestro_Equipos!$C$4:$C$247,""),"")</f>
        <v>Maquinaria Pesada</v>
      </c>
      <c r="D11" t="str">
        <f>IFERROR(_xlfn.XLOOKUP($A11,Maestro_Equipos!$A:$A,Maestro_Equipos!$I:$I,""),"")</f>
        <v>HORAS</v>
      </c>
      <c r="E11">
        <f>IFERROR(IF($D11="KM",_xlfn.XLOOKUP($A11,Maestro_Equipos!$A:$A,Maestro_Equipos!$N:$N,""),_xlfn.XLOOKUP($A11,Maestro_Equipos!$A:$A,Maestro_Equipos!$M:$M,"")),"")</f>
        <v>0</v>
      </c>
      <c r="F11">
        <f>IFERROR(_xlfn.XLOOKUP($A11,Maestro_Equipos!$A:$A,Maestro_Equipos!$R:$R,"")+_xlfn.XLOOKUP($A11,Maestro_Equipos!$A:$A,Maestro_Equipos!$J:$J,""),"")</f>
        <v>295250</v>
      </c>
      <c r="G11">
        <f>IFERROR(_xlfn.XLOOKUP($A11,Maestro_Equipos!$A:$A,Maestro_Equipos!$K:$K,""),"")</f>
        <v>0</v>
      </c>
      <c r="H11" t="str">
        <f t="shared" si="0"/>
        <v/>
      </c>
      <c r="I11" s="41" t="str">
        <f t="shared" ca="1" si="1"/>
        <v/>
      </c>
      <c r="J11" s="5" t="str">
        <f>IFERROR(INDEX(Maestro_Equipos!$V$4:$V$247,MATCH($A11,Maestro_Equipos!$A$4:$A$247,0)),"")</f>
        <v>Operativo</v>
      </c>
      <c r="K11" s="37">
        <f>IFERROR(
   SUMIFS(Mantenciones!$I:$I,Mantenciones!$B:$B,$A11)
 + SUMIFS('Compras PM'!$F:$F,'Compras PM'!$C:$C,$A11),0)</f>
        <v>0</v>
      </c>
      <c r="L11" s="30" t="str">
        <f t="shared" si="2"/>
        <v>SIN DATOS</v>
      </c>
      <c r="M11" s="58" cm="1">
        <f t="array" ref="M11">IFERROR(_xlfn.AGGREGATE(14,6,Mantenciones!$A$2:$A$9997/(Mantenciones!$B$2:$B$9997=$A11),1),"")</f>
        <v>46086</v>
      </c>
      <c r="N11" s="31" t="str" cm="1">
        <f t="array" ref="N11">IFERROR(_xlfn.AGGREGATE(14,6,'Compras PM'!$A$4:$A$10014/('Compras PM'!$C$4:$C$10014=$A11),1),"")</f>
        <v/>
      </c>
      <c r="O11" s="31">
        <f>IFERROR(VLOOKUP($A11,Maestro_Equipos!$A$4:$AG$247,27,FALSE()),"")</f>
        <v>46090</v>
      </c>
      <c r="P11" s="32" t="str">
        <f t="shared" ca="1" si="3"/>
        <v/>
      </c>
      <c r="Q11" s="32">
        <f t="shared" ca="1" si="4"/>
        <v>55</v>
      </c>
      <c r="R11" s="30" t="str">
        <f t="shared" si="5"/>
        <v>PENDIENTE</v>
      </c>
      <c r="S11" s="33" t="str">
        <f>IFERROR(VLOOKUP($A11,Maestro_Equipos!$A$4:$AG$247,33,FALSE()),"")</f>
        <v>Monitorear próximo vencimiento</v>
      </c>
    </row>
    <row r="12" spans="1:19">
      <c r="A12" t="str" cm="1">
        <f t="array" ref="A12">IFERROR(INDEX(_xlfn._xlws.FILTER(Maestro_Equipos!$A$4:$A$247,Maestro_Equipos!$A$4:$A$247&lt;&gt;""),ROWS($A$4:A12)),"")</f>
        <v>CD-71</v>
      </c>
      <c r="B12" t="str">
        <f>IFERROR(_xlfn.XLOOKUP($A12,Maestro_Equipos!$A$4:$A$247,Maestro_Equipos!$B$4:$B$247,""),"")</f>
        <v>Camión Aljibe</v>
      </c>
      <c r="C12" t="str">
        <f>IFERROR(_xlfn.XLOOKUP($A12,Maestro_Equipos!$A$4:$A$247,Maestro_Equipos!$C$4:$C$247,""),"")</f>
        <v>Camiones de Ruta</v>
      </c>
      <c r="D12" t="str">
        <f>IFERROR(_xlfn.XLOOKUP($A12,Maestro_Equipos!$A:$A,Maestro_Equipos!$I:$I,""),"")</f>
        <v>HORAS</v>
      </c>
      <c r="E12">
        <f>IFERROR(IF($D12="KM",_xlfn.XLOOKUP($A12,Maestro_Equipos!$A:$A,Maestro_Equipos!$N:$N,""),_xlfn.XLOOKUP($A12,Maestro_Equipos!$A:$A,Maestro_Equipos!$M:$M,"")),"")</f>
        <v>0</v>
      </c>
      <c r="F12" t="str">
        <f>IFERROR(_xlfn.XLOOKUP($A12,Maestro_Equipos!$A:$A,Maestro_Equipos!$R:$R,"")+_xlfn.XLOOKUP($A12,Maestro_Equipos!$A:$A,Maestro_Equipos!$J:$J,""),"")</f>
        <v/>
      </c>
      <c r="G12">
        <f>IFERROR(_xlfn.XLOOKUP($A12,Maestro_Equipos!$A:$A,Maestro_Equipos!$K:$K,""),"")</f>
        <v>0</v>
      </c>
      <c r="H12" t="str">
        <f t="shared" si="0"/>
        <v/>
      </c>
      <c r="I12" s="41" t="str">
        <f t="shared" ca="1" si="1"/>
        <v/>
      </c>
      <c r="J12" s="5" t="str">
        <f>IFERROR(INDEX(Maestro_Equipos!$V$4:$V$247,MATCH($A12,Maestro_Equipos!$A$4:$A$247,0)),"")</f>
        <v>Operativo</v>
      </c>
      <c r="K12" s="37">
        <f>IFERROR(
   SUMIFS(Mantenciones!$I:$I,Mantenciones!$B:$B,$A12)
 + SUMIFS('Compras PM'!$F:$F,'Compras PM'!$C:$C,$A12),0)</f>
        <v>393830.5</v>
      </c>
      <c r="L12" s="30" t="str">
        <f t="shared" si="2"/>
        <v>SIN DATOS</v>
      </c>
      <c r="M12" s="58" t="str" cm="1">
        <f t="array" ref="M12">IFERROR(_xlfn.AGGREGATE(14,6,Mantenciones!$A$2:$A$9997/(Mantenciones!$B$2:$B$9997=$A12),1),"")</f>
        <v/>
      </c>
      <c r="N12" s="31" cm="1">
        <f t="array" ref="N12">IFERROR(_xlfn.AGGREGATE(14,6,'Compras PM'!$A$4:$A$10014/('Compras PM'!$C$4:$C$10014=$A12),1),"")</f>
        <v>46078.661368634297</v>
      </c>
      <c r="O12" s="31">
        <f>IFERROR(VLOOKUP($A12,Maestro_Equipos!$A$4:$AG$247,27,FALSE()),"")</f>
        <v>46087</v>
      </c>
      <c r="P12" s="32">
        <f t="shared" ca="1" si="3"/>
        <v>66.338631365702895</v>
      </c>
      <c r="Q12" s="32">
        <f t="shared" ca="1" si="4"/>
        <v>58</v>
      </c>
      <c r="R12" s="30" t="str">
        <f t="shared" si="5"/>
        <v>PENDIENTE</v>
      </c>
      <c r="S12" s="33" t="str">
        <f>IFERROR(VLOOKUP($A12,Maestro_Equipos!$A$4:$AG$247,33,FALSE()),"")</f>
        <v>Monitorear próximo vencimiento</v>
      </c>
    </row>
    <row r="13" spans="1:19">
      <c r="A13" t="str" cm="1">
        <f t="array" ref="A13">IFERROR(INDEX(_xlfn._xlws.FILTER(Maestro_Equipos!$A$4:$A$247,Maestro_Equipos!$A$4:$A$247&lt;&gt;""),ROWS($A$4:A13)),"")</f>
        <v>CD-110</v>
      </c>
      <c r="B13" t="str">
        <f>IFERROR(_xlfn.XLOOKUP($A13,Maestro_Equipos!$A$4:$A$247,Maestro_Equipos!$B$4:$B$247,""),"")</f>
        <v>Camión Plano</v>
      </c>
      <c r="C13" t="str">
        <f>IFERROR(_xlfn.XLOOKUP($A13,Maestro_Equipos!$A$4:$A$247,Maestro_Equipos!$C$4:$C$247,""),"")</f>
        <v>Camiones de Ruta</v>
      </c>
      <c r="D13" t="str">
        <f>IFERROR(_xlfn.XLOOKUP($A13,Maestro_Equipos!$A:$A,Maestro_Equipos!$I:$I,""),"")</f>
        <v>KM</v>
      </c>
      <c r="E13">
        <f>IFERROR(IF($D13="KM",_xlfn.XLOOKUP($A13,Maestro_Equipos!$A:$A,Maestro_Equipos!$N:$N,""),_xlfn.XLOOKUP($A13,Maestro_Equipos!$A:$A,Maestro_Equipos!$M:$M,"")),"")</f>
        <v>275886</v>
      </c>
      <c r="F13">
        <f>IFERROR(_xlfn.XLOOKUP($A13,Maestro_Equipos!$A:$A,Maestro_Equipos!$R:$R,"")+_xlfn.XLOOKUP($A13,Maestro_Equipos!$A:$A,Maestro_Equipos!$J:$J,""),"")</f>
        <v>285548</v>
      </c>
      <c r="G13">
        <f>IFERROR(_xlfn.XLOOKUP($A13,Maestro_Equipos!$A:$A,Maestro_Equipos!$K:$K,""),"")</f>
        <v>67.099999999999994</v>
      </c>
      <c r="H13">
        <f t="shared" si="0"/>
        <v>144</v>
      </c>
      <c r="I13" s="41">
        <f t="shared" ca="1" si="1"/>
        <v>46289</v>
      </c>
      <c r="J13" s="5" t="str">
        <f>IFERROR(INDEX(Maestro_Equipos!$V$4:$V$247,MATCH($A13,Maestro_Equipos!$A$4:$A$247,0)),"")</f>
        <v>Operativo</v>
      </c>
      <c r="K13" s="37">
        <f>IFERROR(
   SUMIFS(Mantenciones!$I:$I,Mantenciones!$B:$B,$A13)
 + SUMIFS('Compras PM'!$F:$F,'Compras PM'!$C:$C,$A13),0)</f>
        <v>21301</v>
      </c>
      <c r="L13" s="30" t="str">
        <f t="shared" si="2"/>
        <v>BAJA</v>
      </c>
      <c r="M13" s="58" cm="1">
        <f t="array" ref="M13">IFERROR(_xlfn.AGGREGATE(14,6,Mantenciones!$A$2:$A$9997/(Mantenciones!$B$2:$B$9997=$A13),1),"")</f>
        <v>46105</v>
      </c>
      <c r="N13" s="31" cm="1">
        <f t="array" ref="N13">IFERROR(_xlfn.AGGREGATE(14,6,'Compras PM'!$A$4:$A$10014/('Compras PM'!$C$4:$C$10014=$A13),1),"")</f>
        <v>46076.363726701398</v>
      </c>
      <c r="O13" s="31">
        <f>IFERROR(VLOOKUP($A13,Maestro_Equipos!$A$4:$AG$247,27,FALSE()),"")</f>
        <v>46101</v>
      </c>
      <c r="P13" s="32">
        <f t="shared" ca="1" si="3"/>
        <v>28.636273298601736</v>
      </c>
      <c r="Q13" s="32">
        <f t="shared" ca="1" si="4"/>
        <v>4</v>
      </c>
      <c r="R13" s="30" t="str">
        <f t="shared" si="5"/>
        <v>REALIZADA</v>
      </c>
      <c r="S13" s="33" t="str">
        <f>IFERROR(VLOOKUP($A13,Maestro_Equipos!$A$4:$AG$247,33,FALSE()),"")</f>
        <v>Monitorear próximo vencimiento</v>
      </c>
    </row>
    <row r="14" spans="1:19" ht="18" customHeight="1">
      <c r="A14" t="str" cm="1">
        <f t="array" ref="A14">IFERROR(INDEX(_xlfn._xlws.FILTER(Maestro_Equipos!$A$4:$A$247,Maestro_Equipos!$A$4:$A$247&lt;&gt;""),ROWS($A$4:A14)),"")</f>
        <v>CD-125</v>
      </c>
      <c r="B14" t="str">
        <f>IFERROR(_xlfn.XLOOKUP($A14,Maestro_Equipos!$A$4:$A$247,Maestro_Equipos!$B$4:$B$247,""),"")</f>
        <v>Camión Maxus</v>
      </c>
      <c r="C14" t="str">
        <f>IFERROR(_xlfn.XLOOKUP($A14,Maestro_Equipos!$A$4:$A$247,Maestro_Equipos!$C$4:$C$247,""),"")</f>
        <v>Camiones de Ruta</v>
      </c>
      <c r="D14" t="str">
        <f>IFERROR(_xlfn.XLOOKUP($A14,Maestro_Equipos!$A:$A,Maestro_Equipos!$I:$I,""),"")</f>
        <v>HORAS</v>
      </c>
      <c r="E14">
        <f>IFERROR(IF($D14="KM",_xlfn.XLOOKUP($A14,Maestro_Equipos!$A:$A,Maestro_Equipos!$N:$N,""),_xlfn.XLOOKUP($A14,Maestro_Equipos!$A:$A,Maestro_Equipos!$M:$M,"")),"")</f>
        <v>1471</v>
      </c>
      <c r="F14" t="str">
        <f>IFERROR(_xlfn.XLOOKUP($A14,Maestro_Equipos!$A:$A,Maestro_Equipos!$R:$R,"")+_xlfn.XLOOKUP($A14,Maestro_Equipos!$A:$A,Maestro_Equipos!$J:$J,""),"")</f>
        <v/>
      </c>
      <c r="G14">
        <f>IFERROR(_xlfn.XLOOKUP($A14,Maestro_Equipos!$A:$A,Maestro_Equipos!$K:$K,""),"")</f>
        <v>0</v>
      </c>
      <c r="H14" t="str">
        <f t="shared" si="0"/>
        <v/>
      </c>
      <c r="I14" s="41" t="str">
        <f t="shared" ca="1" si="1"/>
        <v/>
      </c>
      <c r="J14" s="5" t="str">
        <f>IFERROR(INDEX(Maestro_Equipos!$V$4:$V$247,MATCH($A14,Maestro_Equipos!$A$4:$A$247,0)),"")</f>
        <v>Operativo</v>
      </c>
      <c r="K14" s="37">
        <f>IFERROR(
   SUMIFS(Mantenciones!$I:$I,Mantenciones!$B:$B,$A14)
 + SUMIFS('Compras PM'!$F:$F,'Compras PM'!$C:$C,$A14),0)</f>
        <v>103590.69</v>
      </c>
      <c r="L14" s="30" t="str">
        <f t="shared" si="2"/>
        <v>SIN DATOS</v>
      </c>
      <c r="M14" s="58" cm="1">
        <f t="array" ref="M14">IFERROR(_xlfn.AGGREGATE(14,6,Mantenciones!$A$2:$A$9997/(Mantenciones!$B$2:$B$9997=$A14),1),"")</f>
        <v>0</v>
      </c>
      <c r="N14" s="31" cm="1">
        <f t="array" ref="N14">IFERROR(_xlfn.AGGREGATE(14,6,'Compras PM'!$A$4:$A$10014/('Compras PM'!$C$4:$C$10014=$A14),1),"")</f>
        <v>46099</v>
      </c>
      <c r="O14" s="31">
        <f>IFERROR(VLOOKUP($A14,Maestro_Equipos!$A$4:$AG$247,27,FALSE()),"")</f>
        <v>46080</v>
      </c>
      <c r="P14" s="32">
        <f t="shared" ca="1" si="3"/>
        <v>46</v>
      </c>
      <c r="Q14" s="32">
        <f t="shared" ca="1" si="4"/>
        <v>65</v>
      </c>
      <c r="R14" s="30" t="str">
        <f t="shared" si="5"/>
        <v>PENDIENTE</v>
      </c>
      <c r="S14" s="33" t="str">
        <f>IFERROR(VLOOKUP($A14,Maestro_Equipos!$A$4:$AG$247,33,FALSE()),"")</f>
        <v>Monitorear próximo vencimiento</v>
      </c>
    </row>
    <row r="15" spans="1:19">
      <c r="A15" t="str" cm="1">
        <f t="array" ref="A15">IFERROR(INDEX(_xlfn._xlws.FILTER(Maestro_Equipos!$A$4:$A$247,Maestro_Equipos!$A$4:$A$247&lt;&gt;""),ROWS($A$4:A15)),"")</f>
        <v>CD-86</v>
      </c>
      <c r="B15" t="str">
        <f>IFERROR(_xlfn.XLOOKUP($A15,Maestro_Equipos!$A$4:$A$247,Maestro_Equipos!$B$4:$B$247,""),"")</f>
        <v>Camión Aljibe</v>
      </c>
      <c r="C15" t="str">
        <f>IFERROR(_xlfn.XLOOKUP($A15,Maestro_Equipos!$A$4:$A$247,Maestro_Equipos!$C$4:$C$247,""),"")</f>
        <v>Camiones de Ruta</v>
      </c>
      <c r="D15" t="str">
        <f>IFERROR(_xlfn.XLOOKUP($A15,Maestro_Equipos!$A:$A,Maestro_Equipos!$I:$I,""),"")</f>
        <v>HORAS</v>
      </c>
      <c r="E15">
        <f>IFERROR(IF($D15="KM",_xlfn.XLOOKUP($A15,Maestro_Equipos!$A:$A,Maestro_Equipos!$N:$N,""),_xlfn.XLOOKUP($A15,Maestro_Equipos!$A:$A,Maestro_Equipos!$M:$M,"")),"")</f>
        <v>6418</v>
      </c>
      <c r="F15" t="str">
        <f>IFERROR(_xlfn.XLOOKUP($A15,Maestro_Equipos!$A:$A,Maestro_Equipos!$R:$R,"")+_xlfn.XLOOKUP($A15,Maestro_Equipos!$A:$A,Maestro_Equipos!$J:$J,""),"")</f>
        <v/>
      </c>
      <c r="G15">
        <f>IFERROR(_xlfn.XLOOKUP($A15,Maestro_Equipos!$A:$A,Maestro_Equipos!$K:$K,""),"")</f>
        <v>4.5999999999999996</v>
      </c>
      <c r="H15" t="str">
        <f t="shared" si="0"/>
        <v/>
      </c>
      <c r="I15" s="41" t="str">
        <f t="shared" ca="1" si="1"/>
        <v/>
      </c>
      <c r="J15" s="5" t="str">
        <f>IFERROR(INDEX(Maestro_Equipos!$V$4:$V$247,MATCH($A15,Maestro_Equipos!$A$4:$A$247,0)),"")</f>
        <v>Operativo</v>
      </c>
      <c r="K15" s="37">
        <f>IFERROR(
   SUMIFS(Mantenciones!$I:$I,Mantenciones!$B:$B,$A15)
 + SUMIFS('Compras PM'!$F:$F,'Compras PM'!$C:$C,$A15),0)</f>
        <v>288199.9596</v>
      </c>
      <c r="L15" s="30" t="str">
        <f t="shared" si="2"/>
        <v>SIN DATOS</v>
      </c>
      <c r="M15" s="58" t="str" cm="1">
        <f t="array" ref="M15">IFERROR(_xlfn.AGGREGATE(14,6,Mantenciones!$A$2:$A$9997/(Mantenciones!$B$2:$B$9997=$A15),1),"")</f>
        <v/>
      </c>
      <c r="N15" s="31" cm="1">
        <f t="array" ref="N15">IFERROR(_xlfn.AGGREGATE(14,6,'Compras PM'!$A$4:$A$10014/('Compras PM'!$C$4:$C$10014=$A15),1),"")</f>
        <v>46076.483925694498</v>
      </c>
      <c r="O15" s="31">
        <f>IFERROR(VLOOKUP($A15,Maestro_Equipos!$A$4:$AG$247,27,FALSE()),"")</f>
        <v>46085</v>
      </c>
      <c r="P15" s="32">
        <f t="shared" ca="1" si="3"/>
        <v>68.516074305502116</v>
      </c>
      <c r="Q15" s="32">
        <f t="shared" ca="1" si="4"/>
        <v>60</v>
      </c>
      <c r="R15" s="30" t="str">
        <f t="shared" si="5"/>
        <v>PENDIENTE</v>
      </c>
      <c r="S15" s="33" t="str">
        <f>IFERROR(VLOOKUP($A15,Maestro_Equipos!$A$4:$AG$247,33,FALSE()),"")</f>
        <v>Monitorear próximo vencimiento</v>
      </c>
    </row>
    <row r="16" spans="1:19" ht="15" customHeight="1">
      <c r="A16" t="str" cm="1">
        <f t="array" ref="A16">IFERROR(INDEX(_xlfn._xlws.FILTER(Maestro_Equipos!$A$4:$A$247,Maestro_Equipos!$A$4:$A$247&lt;&gt;""),ROWS($A$4:A16)),"")</f>
        <v>CD-115</v>
      </c>
      <c r="B16" t="str">
        <f>IFERROR(_xlfn.XLOOKUP($A16,Maestro_Equipos!$A$4:$A$247,Maestro_Equipos!$B$4:$B$247,""),"")</f>
        <v>Tracto Camión</v>
      </c>
      <c r="C16" t="str">
        <f>IFERROR(_xlfn.XLOOKUP($A16,Maestro_Equipos!$A$4:$A$247,Maestro_Equipos!$C$4:$C$247,""),"")</f>
        <v>Camiones de Ruta</v>
      </c>
      <c r="D16" t="str">
        <f>IFERROR(_xlfn.XLOOKUP($A16,Maestro_Equipos!$A:$A,Maestro_Equipos!$I:$I,""),"")</f>
        <v>HORAS</v>
      </c>
      <c r="E16">
        <f>IFERROR(IF($D16="KM",_xlfn.XLOOKUP($A16,Maestro_Equipos!$A:$A,Maestro_Equipos!$N:$N,""),_xlfn.XLOOKUP($A16,Maestro_Equipos!$A:$A,Maestro_Equipos!$M:$M,"")),"")</f>
        <v>320119</v>
      </c>
      <c r="F16" t="str">
        <f>IFERROR(_xlfn.XLOOKUP($A16,Maestro_Equipos!$A:$A,Maestro_Equipos!$R:$R,"")+_xlfn.XLOOKUP($A16,Maestro_Equipos!$A:$A,Maestro_Equipos!$J:$J,""),"")</f>
        <v/>
      </c>
      <c r="G16">
        <f>IFERROR(_xlfn.XLOOKUP($A16,Maestro_Equipos!$A:$A,Maestro_Equipos!$K:$K,""),"")</f>
        <v>0</v>
      </c>
      <c r="H16" t="str">
        <f t="shared" si="0"/>
        <v/>
      </c>
      <c r="I16" s="41" t="str">
        <f t="shared" ca="1" si="1"/>
        <v/>
      </c>
      <c r="J16" s="5" t="str">
        <f>IFERROR(INDEX(Maestro_Equipos!$V$4:$V$247,MATCH($A16,Maestro_Equipos!$A$4:$A$247,0)),"")</f>
        <v>Operativo</v>
      </c>
      <c r="K16" s="37">
        <f>IFERROR(
   SUMIFS(Mantenciones!$I:$I,Mantenciones!$B:$B,$A16)
 + SUMIFS('Compras PM'!$F:$F,'Compras PM'!$C:$C,$A16),0)</f>
        <v>121145.57</v>
      </c>
      <c r="L16" s="30" t="str">
        <f t="shared" si="2"/>
        <v>SIN DATOS</v>
      </c>
      <c r="M16" s="58" t="str" cm="1">
        <f t="array" ref="M16">IFERROR(_xlfn.AGGREGATE(14,6,Mantenciones!$A$2:$A$9997/(Mantenciones!$B$2:$B$9997=$A16),1),"")</f>
        <v/>
      </c>
      <c r="N16" s="31" cm="1">
        <f t="array" ref="N16">IFERROR(_xlfn.AGGREGATE(14,6,'Compras PM'!$A$4:$A$10014/('Compras PM'!$C$4:$C$10014=$A16),1),"")</f>
        <v>46100</v>
      </c>
      <c r="O16" s="31">
        <f>IFERROR(VLOOKUP($A16,Maestro_Equipos!$A$4:$AG$247,27,FALSE()),"")</f>
        <v>46062</v>
      </c>
      <c r="P16" s="32">
        <f t="shared" ca="1" si="3"/>
        <v>45</v>
      </c>
      <c r="Q16" s="32">
        <f t="shared" ca="1" si="4"/>
        <v>83</v>
      </c>
      <c r="R16" s="30" t="str">
        <f t="shared" si="5"/>
        <v>PENDIENTE</v>
      </c>
      <c r="S16" s="33" t="str">
        <f>IFERROR(VLOOKUP($A16,Maestro_Equipos!$A$4:$AG$247,33,FALSE()),"")</f>
        <v>Monitorear próximo vencimiento</v>
      </c>
    </row>
    <row r="17" spans="1:19">
      <c r="A17" t="str" cm="1">
        <f t="array" ref="A17">IFERROR(INDEX(_xlfn._xlws.FILTER(Maestro_Equipos!$A$4:$A$247,Maestro_Equipos!$A$4:$A$247&lt;&gt;""),ROWS($A$4:A17)),"")</f>
        <v>CD-68</v>
      </c>
      <c r="B17" t="str">
        <f>IFERROR(_xlfn.XLOOKUP($A17,Maestro_Equipos!$A$4:$A$247,Maestro_Equipos!$B$4:$B$247,""),"")</f>
        <v>Camión Aljibe</v>
      </c>
      <c r="C17" t="str">
        <f>IFERROR(_xlfn.XLOOKUP($A17,Maestro_Equipos!$A$4:$A$247,Maestro_Equipos!$C$4:$C$247,""),"")</f>
        <v>Camiones de Ruta</v>
      </c>
      <c r="D17" t="str">
        <f>IFERROR(_xlfn.XLOOKUP($A17,Maestro_Equipos!$A:$A,Maestro_Equipos!$I:$I,""),"")</f>
        <v>HORAS</v>
      </c>
      <c r="E17">
        <f>IFERROR(IF($D17="KM",_xlfn.XLOOKUP($A17,Maestro_Equipos!$A:$A,Maestro_Equipos!$N:$N,""),_xlfn.XLOOKUP($A17,Maestro_Equipos!$A:$A,Maestro_Equipos!$M:$M,"")),"")</f>
        <v>481560</v>
      </c>
      <c r="F17" t="str">
        <f>IFERROR(_xlfn.XLOOKUP($A17,Maestro_Equipos!$A:$A,Maestro_Equipos!$R:$R,"")+_xlfn.XLOOKUP($A17,Maestro_Equipos!$A:$A,Maestro_Equipos!$J:$J,""),"")</f>
        <v/>
      </c>
      <c r="G17">
        <f>IFERROR(_xlfn.XLOOKUP($A17,Maestro_Equipos!$A:$A,Maestro_Equipos!$K:$K,""),"")</f>
        <v>0</v>
      </c>
      <c r="H17" t="str">
        <f t="shared" si="0"/>
        <v/>
      </c>
      <c r="I17" s="41" t="str">
        <f t="shared" ca="1" si="1"/>
        <v/>
      </c>
      <c r="J17" s="5" t="str">
        <f>IFERROR(INDEX(Maestro_Equipos!$V$4:$V$247,MATCH($A17,Maestro_Equipos!$A$4:$A$247,0)),"")</f>
        <v>Operativo</v>
      </c>
      <c r="K17" s="37">
        <f>IFERROR(
   SUMIFS(Mantenciones!$I:$I,Mantenciones!$B:$B,$A17)
 + SUMIFS('Compras PM'!$F:$F,'Compras PM'!$C:$C,$A17),0)</f>
        <v>381399.96230000001</v>
      </c>
      <c r="L17" s="30" t="str">
        <f t="shared" si="2"/>
        <v>SIN DATOS</v>
      </c>
      <c r="M17" s="58" t="str" cm="1">
        <f t="array" ref="M17">IFERROR(_xlfn.AGGREGATE(14,6,Mantenciones!$A$2:$A$9997/(Mantenciones!$B$2:$B$9997=$A17),1),"")</f>
        <v/>
      </c>
      <c r="N17" s="31" cm="1">
        <f t="array" ref="N17">IFERROR(_xlfn.AGGREGATE(14,6,'Compras PM'!$A$4:$A$10014/('Compras PM'!$C$4:$C$10014=$A17),1),"")</f>
        <v>46104.621280289401</v>
      </c>
      <c r="O17" s="31" t="str">
        <f>IFERROR(VLOOKUP($A17,Maestro_Equipos!$A$4:$AG$247,27,FALSE()),"")</f>
        <v/>
      </c>
      <c r="P17" s="32">
        <f t="shared" ca="1" si="3"/>
        <v>40.378719710599398</v>
      </c>
      <c r="Q17" s="32" t="str">
        <f t="shared" ca="1" si="4"/>
        <v/>
      </c>
      <c r="R17" s="30" t="str">
        <f t="shared" si="5"/>
        <v>SIN SALIDA</v>
      </c>
      <c r="S17" s="33" t="str">
        <f>IFERROR(VLOOKUP($A17,Maestro_Equipos!$A$4:$AG$247,33,FALSE()),"")</f>
        <v>Hacer seguimiento al taller y cerrar report</v>
      </c>
    </row>
    <row r="18" spans="1:19" ht="15" hidden="1" customHeight="1">
      <c r="A18" t="str" cm="1">
        <f t="array" ref="A18">IFERROR(INDEX(_xlfn._xlws.FILTER(Maestro_Equipos!$A$4:$A$247,Maestro_Equipos!$A$4:$A$247&lt;&gt;""),ROWS($A$4:A18)),"")</f>
        <v>CD-92</v>
      </c>
      <c r="B18" t="str">
        <f>IFERROR(_xlfn.XLOOKUP($A18,Maestro_Equipos!$A$4:$A$247,Maestro_Equipos!$B$4:$B$247,""),"")</f>
        <v>Camión Combustible</v>
      </c>
      <c r="C18" t="str">
        <f>IFERROR(_xlfn.XLOOKUP($A18,Maestro_Equipos!$A$4:$A$247,Maestro_Equipos!$C$4:$C$247,""),"")</f>
        <v>Camiones de Ruta</v>
      </c>
      <c r="D18" t="str">
        <f>IFERROR(VLOOKUP($A15,Maestro_Equipos!$A$4:$Z$247,9,FALSE),"")</f>
        <v>HORAS</v>
      </c>
      <c r="E18">
        <f>IFERROR(IF($D18="KM",_xlfn.XLOOKUP($A18,Maestro_Equipos!$A:$A,Maestro_Equipos!$N:$N,""),_xlfn.XLOOKUP($A18,Maestro_Equipos!$A:$A,Maestro_Equipos!$M:$M,"")),"")</f>
        <v>0</v>
      </c>
      <c r="F18" t="str">
        <f>IFERROR(_xlfn.XLOOKUP($A18,Maestro_Equipos!$A:$A,Maestro_Equipos!$R:$R,"")+_xlfn.XLOOKUP($A18,Maestro_Equipos!$A:$A,Maestro_Equipos!$J:$J,""),"")</f>
        <v/>
      </c>
      <c r="G18">
        <f>IFERROR(_xlfn.XLOOKUP($A18,Maestro_Equipos!$A:$A,Maestro_Equipos!$K:$K,""),"")</f>
        <v>0</v>
      </c>
      <c r="H18" t="str">
        <f t="shared" si="0"/>
        <v/>
      </c>
      <c r="I18" s="41" t="str">
        <f t="shared" ca="1" si="1"/>
        <v/>
      </c>
      <c r="J18" s="5" t="str">
        <f>IFERROR(INDEX(Maestro_Equipos!$V$4:$V$247,MATCH($A18,Maestro_Equipos!$A$4:$A$247,0)),"")</f>
        <v>Fuera de Servicio</v>
      </c>
      <c r="K18" s="37">
        <f>IFERROR(
   SUMIFS(Mantenciones!$I:$I,Mantenciones!$B:$B,$A18)
 + SUMIFS('Compras PM'!$F:$F,'Compras PM'!$C:$C,$A18),0)</f>
        <v>170432.99</v>
      </c>
      <c r="L18" s="30" t="str">
        <f t="shared" si="2"/>
        <v>NO PROGRAMAR</v>
      </c>
      <c r="M18" s="58" t="str" cm="1">
        <f t="array" ref="M18">IFERROR(_xlfn.AGGREGATE(14,6,Mantenciones!$A$2:$A$9997/(Mantenciones!$B$2:$B$9997=$A18),1),"")</f>
        <v/>
      </c>
      <c r="N18" s="31" cm="1">
        <f t="array" ref="N18">IFERROR(_xlfn.AGGREGATE(14,6,'Compras PM'!$A$4:$A$10014/('Compras PM'!$C$4:$C$10014=$A18),1),"")</f>
        <v>46093.649381215298</v>
      </c>
      <c r="O18" s="31" t="str">
        <f>IFERROR(VLOOKUP($A18,Maestro_Equipos!$A$4:$AG$247,27,FALSE()),"")</f>
        <v/>
      </c>
      <c r="P18" s="32">
        <f t="shared" ca="1" si="3"/>
        <v>51.35061878470151</v>
      </c>
      <c r="Q18" s="32" t="str">
        <f t="shared" ca="1" si="4"/>
        <v/>
      </c>
      <c r="R18" s="30" t="str">
        <f t="shared" si="5"/>
        <v>SIN SALIDA</v>
      </c>
      <c r="S18" s="33" t="str">
        <f>IFERROR(VLOOKUP($A18,Maestro_Equipos!$A$4:$AG$247,33,FALSE()),"")</f>
        <v>No programar compra</v>
      </c>
    </row>
    <row r="19" spans="1:19">
      <c r="A19" t="str" cm="1">
        <f t="array" ref="A19">IFERROR(INDEX(_xlfn._xlws.FILTER(Maestro_Equipos!$A$4:$A$247,Maestro_Equipos!$A$4:$A$247&lt;&gt;""),ROWS($A$4:A19)),"")</f>
        <v>CD-113</v>
      </c>
      <c r="B19" t="str">
        <f>IFERROR(_xlfn.XLOOKUP($A19,Maestro_Equipos!$A$4:$A$247,Maestro_Equipos!$B$4:$B$247,""),"")</f>
        <v>Camión Imprimador</v>
      </c>
      <c r="C19" t="str">
        <f>IFERROR(_xlfn.XLOOKUP($A19,Maestro_Equipos!$A$4:$A$247,Maestro_Equipos!$C$4:$C$247,""),"")</f>
        <v>Camiones de Ruta</v>
      </c>
      <c r="D19" t="str">
        <f>IFERROR(_xlfn.XLOOKUP($A19,Maestro_Equipos!$A:$A,Maestro_Equipos!$I:$I,""),"")</f>
        <v>HORAS</v>
      </c>
      <c r="E19">
        <f>IFERROR(IF($D19="KM",_xlfn.XLOOKUP($A19,Maestro_Equipos!$A:$A,Maestro_Equipos!$N:$N,""),_xlfn.XLOOKUP($A19,Maestro_Equipos!$A:$A,Maestro_Equipos!$M:$M,"")),"")</f>
        <v>0</v>
      </c>
      <c r="F19" t="str">
        <f>IFERROR(_xlfn.XLOOKUP($A19,Maestro_Equipos!$A:$A,Maestro_Equipos!$R:$R,"")+_xlfn.XLOOKUP($A19,Maestro_Equipos!$A:$A,Maestro_Equipos!$J:$J,""),"")</f>
        <v/>
      </c>
      <c r="G19">
        <f>IFERROR(_xlfn.XLOOKUP($A19,Maestro_Equipos!$A:$A,Maestro_Equipos!$K:$K,""),"")</f>
        <v>0</v>
      </c>
      <c r="H19" t="str">
        <f t="shared" si="0"/>
        <v/>
      </c>
      <c r="I19" s="41" t="str">
        <f t="shared" ca="1" si="1"/>
        <v/>
      </c>
      <c r="J19" s="5" t="str">
        <f>IFERROR(INDEX(Maestro_Equipos!$V$4:$V$247,MATCH($A19,Maestro_Equipos!$A$4:$A$247,0)),"")</f>
        <v>Operativo</v>
      </c>
      <c r="K19" s="37">
        <f>IFERROR(
   SUMIFS(Mantenciones!$I:$I,Mantenciones!$B:$B,$A19)
 + SUMIFS('Compras PM'!$F:$F,'Compras PM'!$C:$C,$A19),0)</f>
        <v>106000.40429999999</v>
      </c>
      <c r="L19" s="30" t="str">
        <f t="shared" si="2"/>
        <v>SIN DATOS</v>
      </c>
      <c r="M19" s="58" t="str" cm="1">
        <f t="array" ref="M19">IFERROR(_xlfn.AGGREGATE(14,6,Mantenciones!$A$2:$A$9997/(Mantenciones!$B$2:$B$9997=$A19),1),"")</f>
        <v/>
      </c>
      <c r="N19" s="31" cm="1">
        <f t="array" ref="N19">IFERROR(_xlfn.AGGREGATE(14,6,'Compras PM'!$A$4:$A$10014/('Compras PM'!$C$4:$C$10014=$A19),1),"")</f>
        <v>46128.519272141202</v>
      </c>
      <c r="O19" s="31" t="str">
        <f>IFERROR(VLOOKUP($A19,Maestro_Equipos!$A$4:$AG$247,27,FALSE()),"")</f>
        <v/>
      </c>
      <c r="P19" s="32">
        <f t="shared" ca="1" si="3"/>
        <v>16.480727858797763</v>
      </c>
      <c r="Q19" s="32" t="str">
        <f t="shared" ca="1" si="4"/>
        <v/>
      </c>
      <c r="R19" s="30" t="str">
        <f t="shared" si="5"/>
        <v>SIN SALIDA</v>
      </c>
      <c r="S19" s="33" t="str">
        <f>IFERROR(VLOOKUP($A19,Maestro_Equipos!$A$4:$AG$247,33,FALSE()),"")</f>
        <v>Hacer seguimiento al taller y cerrar report</v>
      </c>
    </row>
    <row r="20" spans="1:19">
      <c r="A20" t="str" cm="1">
        <f t="array" ref="A20">IFERROR(INDEX(_xlfn._xlws.FILTER(Maestro_Equipos!$A$4:$A$247,Maestro_Equipos!$A$4:$A$247&lt;&gt;""),ROWS($A$4:A20)),"")</f>
        <v>CD-134</v>
      </c>
      <c r="B20" t="str">
        <f>IFERROR(_xlfn.XLOOKUP($A20,Maestro_Equipos!$A$4:$A$247,Maestro_Equipos!$B$4:$B$247,""),"")</f>
        <v>Camión Plano</v>
      </c>
      <c r="C20" t="str">
        <f>IFERROR(_xlfn.XLOOKUP($A20,Maestro_Equipos!$A$4:$A$247,Maestro_Equipos!$C$4:$C$247,""),"")</f>
        <v>Camiones de Ruta</v>
      </c>
      <c r="D20" t="str">
        <f>IFERROR(_xlfn.XLOOKUP($A20,Maestro_Equipos!$A:$A,Maestro_Equipos!$I:$I,""),"")</f>
        <v>HORAS</v>
      </c>
      <c r="E20">
        <f>IFERROR(IF($D20="KM",_xlfn.XLOOKUP($A20,Maestro_Equipos!$A:$A,Maestro_Equipos!$N:$N,""),_xlfn.XLOOKUP($A20,Maestro_Equipos!$A:$A,Maestro_Equipos!$M:$M,"")),"")</f>
        <v>0</v>
      </c>
      <c r="F20" t="str">
        <f>IFERROR(_xlfn.XLOOKUP($A20,Maestro_Equipos!$A:$A,Maestro_Equipos!$R:$R,"")+_xlfn.XLOOKUP($A20,Maestro_Equipos!$A:$A,Maestro_Equipos!$J:$J,""),"")</f>
        <v/>
      </c>
      <c r="G20">
        <f>IFERROR(_xlfn.XLOOKUP($A20,Maestro_Equipos!$A:$A,Maestro_Equipos!$K:$K,""),"")</f>
        <v>0</v>
      </c>
      <c r="H20" t="str">
        <f t="shared" si="0"/>
        <v/>
      </c>
      <c r="I20" s="41" t="str">
        <f t="shared" ca="1" si="1"/>
        <v/>
      </c>
      <c r="J20" s="5" t="str">
        <f>IFERROR(INDEX(Maestro_Equipos!$V$4:$V$247,MATCH($A20,Maestro_Equipos!$A$4:$A$247,0)),"")</f>
        <v>Operativo</v>
      </c>
      <c r="K20" s="37">
        <f>IFERROR(
   SUMIFS(Mantenciones!$I:$I,Mantenciones!$B:$B,$A20)
 + SUMIFS('Compras PM'!$F:$F,'Compras PM'!$C:$C,$A20),0)</f>
        <v>0</v>
      </c>
      <c r="L20" s="30" t="str">
        <f t="shared" si="2"/>
        <v>SIN DATOS</v>
      </c>
      <c r="M20" s="58" cm="1">
        <f t="array" ref="M20">IFERROR(_xlfn.AGGREGATE(14,6,Mantenciones!$A$2:$A$9997/(Mantenciones!$B$2:$B$9997=$A20),1),"")</f>
        <v>45860</v>
      </c>
      <c r="N20" s="31" t="str" cm="1">
        <f t="array" ref="N20">IFERROR(_xlfn.AGGREGATE(14,6,'Compras PM'!$A$4:$A$10014/('Compras PM'!$C$4:$C$10014=$A20),1),"")</f>
        <v/>
      </c>
      <c r="O20" s="31" t="str">
        <f>IFERROR(VLOOKUP($A20,Maestro_Equipos!$A$4:$AG$247,27,FALSE()),"")</f>
        <v/>
      </c>
      <c r="P20" s="32" t="str">
        <f t="shared" ca="1" si="3"/>
        <v/>
      </c>
      <c r="Q20" s="32" t="str">
        <f t="shared" ca="1" si="4"/>
        <v/>
      </c>
      <c r="R20" s="30" t="str">
        <f t="shared" si="5"/>
        <v>SIN SALIDA</v>
      </c>
      <c r="S20" s="33" t="str">
        <f>IFERROR(VLOOKUP($A20,Maestro_Equipos!$A$4:$AG$247,33,FALSE()),"")</f>
        <v>Monitorear próximo vencimiento</v>
      </c>
    </row>
    <row r="21" spans="1:19" hidden="1">
      <c r="A21" t="str" cm="1">
        <f t="array" ref="A21">IFERROR(INDEX(_xlfn._xlws.FILTER(Maestro_Equipos!$A$4:$A$247,Maestro_Equipos!$A$4:$A$247&lt;&gt;""),ROWS($A$4:A21)),"")</f>
        <v>CD-124</v>
      </c>
      <c r="B21" t="str">
        <f>IFERROR(_xlfn.XLOOKUP($A21,Maestro_Equipos!$A$4:$A$247,Maestro_Equipos!$B$4:$B$247,""),"")</f>
        <v>Camión Tolva</v>
      </c>
      <c r="C21" t="str">
        <f>IFERROR(_xlfn.XLOOKUP($A21,Maestro_Equipos!$A$4:$A$247,Maestro_Equipos!$C$4:$C$247,""),"")</f>
        <v>Camiones de Ruta</v>
      </c>
      <c r="D21" t="str">
        <f>IFERROR(VLOOKUP($A18,Maestro_Equipos!$A$4:$Z$247,9,FALSE),"")</f>
        <v>HORAS</v>
      </c>
      <c r="E21">
        <f>IFERROR(IF($D21="KM",_xlfn.XLOOKUP($A21,Maestro_Equipos!$A:$A,Maestro_Equipos!$N:$N,""),_xlfn.XLOOKUP($A21,Maestro_Equipos!$A:$A,Maestro_Equipos!$M:$M,"")),"")</f>
        <v>0</v>
      </c>
      <c r="F21" t="str">
        <f>IFERROR(_xlfn.XLOOKUP($A21,Maestro_Equipos!$A:$A,Maestro_Equipos!$R:$R,"")+_xlfn.XLOOKUP($A21,Maestro_Equipos!$A:$A,Maestro_Equipos!$J:$J,""),"")</f>
        <v/>
      </c>
      <c r="G21">
        <f>IFERROR(_xlfn.XLOOKUP($A21,Maestro_Equipos!$A:$A,Maestro_Equipos!$K:$K,""),"")</f>
        <v>0</v>
      </c>
      <c r="H21" t="str">
        <f t="shared" si="0"/>
        <v/>
      </c>
      <c r="I21" s="41" t="str">
        <f t="shared" ca="1" si="1"/>
        <v/>
      </c>
      <c r="J21" s="5" t="str">
        <f>IFERROR(INDEX(Maestro_Equipos!$V$4:$V$247,MATCH($A21,Maestro_Equipos!$A$4:$A$247,0)),"")</f>
        <v>Fuera de Servicio</v>
      </c>
      <c r="K21" s="37">
        <f>IFERROR(
   SUMIFS(Mantenciones!$I:$I,Mantenciones!$B:$B,$A21)
 + SUMIFS('Compras PM'!$F:$F,'Compras PM'!$C:$C,$A21),0)</f>
        <v>63430.805899999999</v>
      </c>
      <c r="L21" s="30" t="str">
        <f t="shared" si="2"/>
        <v>NO PROGRAMAR</v>
      </c>
      <c r="M21" s="58" t="str" cm="1">
        <f t="array" ref="M21">IFERROR(_xlfn.AGGREGATE(14,6,Mantenciones!$A$2:$A$9997/(Mantenciones!$B$2:$B$9997=$A21),1),"")</f>
        <v/>
      </c>
      <c r="N21" s="31" cm="1">
        <f t="array" ref="N21">IFERROR(_xlfn.AGGREGATE(14,6,'Compras PM'!$A$4:$A$10014/('Compras PM'!$C$4:$C$10014=$A21),1),"")</f>
        <v>46093.460116550901</v>
      </c>
      <c r="O21" s="31" t="str">
        <f>IFERROR(VLOOKUP($A21,Maestro_Equipos!$A$4:$AG$247,27,FALSE()),"")</f>
        <v/>
      </c>
      <c r="P21" s="32">
        <f t="shared" ca="1" si="3"/>
        <v>51.539883449098852</v>
      </c>
      <c r="Q21" s="32" t="str">
        <f t="shared" ca="1" si="4"/>
        <v/>
      </c>
      <c r="R21" s="30" t="str">
        <f t="shared" si="5"/>
        <v>SIN SALIDA</v>
      </c>
      <c r="S21" s="33" t="str">
        <f>IFERROR(VLOOKUP($A21,Maestro_Equipos!$A$4:$AG$247,33,FALSE()),"")</f>
        <v>No programar compra</v>
      </c>
    </row>
    <row r="22" spans="1:19" hidden="1">
      <c r="A22" t="str" cm="1">
        <f t="array" ref="A22">IFERROR(INDEX(_xlfn._xlws.FILTER(Maestro_Equipos!$A$4:$A$247,Maestro_Equipos!$A$4:$A$247&lt;&gt;""),ROWS($A$4:A22)),"")</f>
        <v>VD-104</v>
      </c>
      <c r="B22" t="str">
        <f>IFERROR(_xlfn.XLOOKUP($A22,Maestro_Equipos!$A$4:$A$247,Maestro_Equipos!$B$4:$B$247,""),"")</f>
        <v>Auto</v>
      </c>
      <c r="C22" t="str">
        <f>IFERROR(_xlfn.XLOOKUP($A22,Maestro_Equipos!$A$4:$A$247,Maestro_Equipos!$C$4:$C$247,""),"")</f>
        <v>Vehículos Livianos</v>
      </c>
      <c r="D22" t="str">
        <f>IFERROR(VLOOKUP($A19,Maestro_Equipos!$A$4:$Z$247,9,FALSE),"")</f>
        <v>HORAS</v>
      </c>
      <c r="E22">
        <f>IFERROR(IF($D22="KM",_xlfn.XLOOKUP($A22,Maestro_Equipos!$A:$A,Maestro_Equipos!$N:$N,""),_xlfn.XLOOKUP($A22,Maestro_Equipos!$A:$A,Maestro_Equipos!$M:$M,"")),"")</f>
        <v>0</v>
      </c>
      <c r="F22" t="str">
        <f>IFERROR(_xlfn.XLOOKUP($A22,Maestro_Equipos!$A:$A,Maestro_Equipos!$R:$R,"")+_xlfn.XLOOKUP($A22,Maestro_Equipos!$A:$A,Maestro_Equipos!$J:$J,""),"")</f>
        <v/>
      </c>
      <c r="G22">
        <f>IFERROR(_xlfn.XLOOKUP($A22,Maestro_Equipos!$A:$A,Maestro_Equipos!$K:$K,""),"")</f>
        <v>0</v>
      </c>
      <c r="H22" t="str">
        <f t="shared" si="0"/>
        <v/>
      </c>
      <c r="I22" s="41" t="str">
        <f t="shared" ca="1" si="1"/>
        <v/>
      </c>
      <c r="J22" s="5" t="str">
        <f>IFERROR(INDEX(Maestro_Equipos!$V$4:$V$247,MATCH($A22,Maestro_Equipos!$A$4:$A$247,0)),"")</f>
        <v>Fuera de Servicio</v>
      </c>
      <c r="K22" s="37">
        <f>IFERROR(
   SUMIFS(Mantenciones!$I:$I,Mantenciones!$B:$B,$A22)
 + SUMIFS('Compras PM'!$F:$F,'Compras PM'!$C:$C,$A22),0)</f>
        <v>0</v>
      </c>
      <c r="L22" s="30" t="str">
        <f t="shared" si="2"/>
        <v>NO PROGRAMAR</v>
      </c>
      <c r="M22" s="58" t="str" cm="1">
        <f t="array" ref="M22">IFERROR(_xlfn.AGGREGATE(14,6,Mantenciones!$A$2:$A$9997/(Mantenciones!$B$2:$B$9997=$A22),1),"")</f>
        <v/>
      </c>
      <c r="N22" s="31" t="str" cm="1">
        <f t="array" ref="N22">IFERROR(_xlfn.AGGREGATE(14,6,'Compras PM'!$A$4:$A$10014/('Compras PM'!$C$4:$C$10014=$A22),1),"")</f>
        <v/>
      </c>
      <c r="O22" s="31" t="str">
        <f>IFERROR(VLOOKUP($A22,Maestro_Equipos!$A$4:$AG$247,27,FALSE()),"")</f>
        <v/>
      </c>
      <c r="P22" s="32" t="str">
        <f t="shared" ca="1" si="3"/>
        <v/>
      </c>
      <c r="Q22" s="32" t="str">
        <f t="shared" ca="1" si="4"/>
        <v/>
      </c>
      <c r="R22" s="30" t="str">
        <f t="shared" si="5"/>
        <v>SIN SALIDA</v>
      </c>
      <c r="S22" s="33" t="str">
        <f>IFERROR(VLOOKUP($A22,Maestro_Equipos!$A$4:$AG$247,33,FALSE()),"")</f>
        <v>No programar compra</v>
      </c>
    </row>
    <row r="23" spans="1:19" ht="15" customHeight="1">
      <c r="A23" t="str" cm="1">
        <f t="array" ref="A23">IFERROR(INDEX(_xlfn._xlws.FILTER(Maestro_Equipos!$A$4:$A$247,Maestro_Equipos!$A$4:$A$247&lt;&gt;""),ROWS($A$4:A23)),"")</f>
        <v>CD-116</v>
      </c>
      <c r="B23" t="str">
        <f>IFERROR(_xlfn.XLOOKUP($A23,Maestro_Equipos!$A$4:$A$247,Maestro_Equipos!$B$4:$B$247,""),"")</f>
        <v>Camión Plano</v>
      </c>
      <c r="C23" t="str">
        <f>IFERROR(_xlfn.XLOOKUP($A23,Maestro_Equipos!$A$4:$A$247,Maestro_Equipos!$C$4:$C$247,""),"")</f>
        <v>Camiones de Ruta</v>
      </c>
      <c r="D23" t="str">
        <f>IFERROR(_xlfn.XLOOKUP($A23,Maestro_Equipos!$A:$A,Maestro_Equipos!$I:$I,""),"")</f>
        <v>HORAS</v>
      </c>
      <c r="E23">
        <f>IFERROR(IF($D23="KM",_xlfn.XLOOKUP($A23,Maestro_Equipos!$A:$A,Maestro_Equipos!$N:$N,""),_xlfn.XLOOKUP($A23,Maestro_Equipos!$A:$A,Maestro_Equipos!$M:$M,"")),"")</f>
        <v>0</v>
      </c>
      <c r="F23" t="str">
        <f>IFERROR(_xlfn.XLOOKUP($A23,Maestro_Equipos!$A:$A,Maestro_Equipos!$R:$R,"")+_xlfn.XLOOKUP($A23,Maestro_Equipos!$A:$A,Maestro_Equipos!$J:$J,""),"")</f>
        <v/>
      </c>
      <c r="G23">
        <f>IFERROR(_xlfn.XLOOKUP($A23,Maestro_Equipos!$A:$A,Maestro_Equipos!$K:$K,""),"")</f>
        <v>0</v>
      </c>
      <c r="H23" t="str">
        <f t="shared" si="0"/>
        <v/>
      </c>
      <c r="I23" s="41" t="str">
        <f t="shared" ca="1" si="1"/>
        <v/>
      </c>
      <c r="J23" s="5" t="str">
        <f>IFERROR(INDEX(Maestro_Equipos!$V$4:$V$247,MATCH($A23,Maestro_Equipos!$A$4:$A$247,0)),"")</f>
        <v>Operativo</v>
      </c>
      <c r="K23" s="37">
        <f>IFERROR(
   SUMIFS(Mantenciones!$I:$I,Mantenciones!$B:$B,$A23)
 + SUMIFS('Compras PM'!$F:$F,'Compras PM'!$C:$C,$A23),0)</f>
        <v>94000.004000000001</v>
      </c>
      <c r="L23" s="30" t="str">
        <f t="shared" si="2"/>
        <v>SIN DATOS</v>
      </c>
      <c r="M23" s="58" t="str" cm="1">
        <f t="array" ref="M23">IFERROR(_xlfn.AGGREGATE(14,6,Mantenciones!$A$2:$A$9997/(Mantenciones!$B$2:$B$9997=$A23),1),"")</f>
        <v/>
      </c>
      <c r="N23" s="31" cm="1">
        <f t="array" ref="N23">IFERROR(_xlfn.AGGREGATE(14,6,'Compras PM'!$A$4:$A$10014/('Compras PM'!$C$4:$C$10014=$A23),1),"")</f>
        <v>46078.357904513898</v>
      </c>
      <c r="O23" s="31" t="str">
        <f>IFERROR(VLOOKUP($A23,Maestro_Equipos!$A$4:$AG$247,27,FALSE()),"")</f>
        <v/>
      </c>
      <c r="P23" s="32">
        <f t="shared" ca="1" si="3"/>
        <v>66.642095486102335</v>
      </c>
      <c r="Q23" s="32" t="str">
        <f t="shared" ca="1" si="4"/>
        <v/>
      </c>
      <c r="R23" s="30" t="str">
        <f t="shared" si="5"/>
        <v>SIN SALIDA</v>
      </c>
      <c r="S23" s="33" t="str">
        <f>IFERROR(VLOOKUP($A23,Maestro_Equipos!$A$4:$AG$247,33,FALSE()),"")</f>
        <v>Hacer seguimiento al taller y cerrar report</v>
      </c>
    </row>
    <row r="24" spans="1:19">
      <c r="A24" t="str" cm="1">
        <f t="array" ref="A24">IFERROR(INDEX(_xlfn._xlws.FILTER(Maestro_Equipos!$A$4:$A$247,Maestro_Equipos!$A$4:$A$247&lt;&gt;""),ROWS($A$4:A24)),"")</f>
        <v>MD-72</v>
      </c>
      <c r="B24" t="str">
        <f>IFERROR(_xlfn.XLOOKUP($A24,Maestro_Equipos!$A$4:$A$247,Maestro_Equipos!$B$4:$B$247,""),"")</f>
        <v>Retroexcavadora</v>
      </c>
      <c r="C24" t="str">
        <f>IFERROR(_xlfn.XLOOKUP($A24,Maestro_Equipos!$A$4:$A$247,Maestro_Equipos!$C$4:$C$247,""),"")</f>
        <v>Maquinaria Pesada</v>
      </c>
      <c r="D24" t="str">
        <f>IFERROR(_xlfn.XLOOKUP($A24,Maestro_Equipos!$A:$A,Maestro_Equipos!$I:$I,""),"")</f>
        <v>HORAS</v>
      </c>
      <c r="E24">
        <f>IFERROR(IF($D24="KM",_xlfn.XLOOKUP($A24,Maestro_Equipos!$A:$A,Maestro_Equipos!$N:$N,""),_xlfn.XLOOKUP($A24,Maestro_Equipos!$A:$A,Maestro_Equipos!$M:$M,"")),"")</f>
        <v>7950</v>
      </c>
      <c r="F24" t="str">
        <f>IFERROR(_xlfn.XLOOKUP($A24,Maestro_Equipos!$A:$A,Maestro_Equipos!$R:$R,"")+_xlfn.XLOOKUP($A24,Maestro_Equipos!$A:$A,Maestro_Equipos!$J:$J,""),"")</f>
        <v/>
      </c>
      <c r="G24">
        <f>IFERROR(_xlfn.XLOOKUP($A24,Maestro_Equipos!$A:$A,Maestro_Equipos!$K:$K,""),"")</f>
        <v>1.4</v>
      </c>
      <c r="H24" t="str">
        <f t="shared" si="0"/>
        <v/>
      </c>
      <c r="I24" s="41" t="str">
        <f t="shared" ca="1" si="1"/>
        <v/>
      </c>
      <c r="J24" s="5" t="str">
        <f>IFERROR(INDEX(Maestro_Equipos!$V$4:$V$247,MATCH($A24,Maestro_Equipos!$A$4:$A$247,0)),"")</f>
        <v>Taller</v>
      </c>
      <c r="K24" s="37">
        <f>IFERROR(
   SUMIFS(Mantenciones!$I:$I,Mantenciones!$B:$B,$A24)
 + SUMIFS('Compras PM'!$F:$F,'Compras PM'!$C:$C,$A24),0)</f>
        <v>0</v>
      </c>
      <c r="L24" s="30" t="str">
        <f t="shared" si="2"/>
        <v>SIN DATOS</v>
      </c>
      <c r="M24" s="58" t="str" cm="1">
        <f t="array" ref="M24">IFERROR(_xlfn.AGGREGATE(14,6,Mantenciones!$A$2:$A$9997/(Mantenciones!$B$2:$B$9997=$A24),1),"")</f>
        <v/>
      </c>
      <c r="N24" s="31" t="str" cm="1">
        <f t="array" ref="N24">IFERROR(_xlfn.AGGREGATE(14,6,'Compras PM'!$A$4:$A$10014/('Compras PM'!$C$4:$C$10014=$A24),1),"")</f>
        <v/>
      </c>
      <c r="O24" s="31">
        <f>IFERROR(VLOOKUP($A24,Maestro_Equipos!$A$4:$AG$247,27,FALSE()),"")</f>
        <v>46111</v>
      </c>
      <c r="P24" s="32" t="str">
        <f t="shared" ca="1" si="3"/>
        <v/>
      </c>
      <c r="Q24" s="32">
        <f t="shared" ca="1" si="4"/>
        <v>34</v>
      </c>
      <c r="R24" s="30" t="str">
        <f t="shared" si="5"/>
        <v>PENDIENTE</v>
      </c>
      <c r="S24" s="33" t="str">
        <f>IFERROR(VLOOKUP($A24,Maestro_Equipos!$A$4:$AG$247,33,FALSE()),"")</f>
        <v>Monitorear próximo vencimiento</v>
      </c>
    </row>
    <row r="25" spans="1:19" hidden="1">
      <c r="A25" t="str" cm="1">
        <f t="array" ref="A25">IFERROR(INDEX(_xlfn._xlws.FILTER(Maestro_Equipos!$A$4:$A$247,Maestro_Equipos!$A$4:$A$247&lt;&gt;""),ROWS($A$4:A25)),"")</f>
        <v>CD-117</v>
      </c>
      <c r="B25" t="str">
        <f>IFERROR(_xlfn.XLOOKUP($A25,Maestro_Equipos!$A$4:$A$247,Maestro_Equipos!$B$4:$B$247,""),"")</f>
        <v>Camión Slurry</v>
      </c>
      <c r="C25" t="str">
        <f>IFERROR(_xlfn.XLOOKUP($A25,Maestro_Equipos!$A$4:$A$247,Maestro_Equipos!$C$4:$C$247,""),"")</f>
        <v>Camiones de Ruta</v>
      </c>
      <c r="D25" t="str">
        <f>IFERROR(VLOOKUP($A22,Maestro_Equipos!$A$4:$Z$247,9,FALSE),"")</f>
        <v>KM</v>
      </c>
      <c r="E25">
        <f>IFERROR(IF($D25="KM",_xlfn.XLOOKUP($A25,Maestro_Equipos!$A:$A,Maestro_Equipos!$N:$N,""),_xlfn.XLOOKUP($A25,Maestro_Equipos!$A:$A,Maestro_Equipos!$M:$M,"")),"")</f>
        <v>114148</v>
      </c>
      <c r="F25" t="str">
        <f>IFERROR(_xlfn.XLOOKUP($A25,Maestro_Equipos!$A:$A,Maestro_Equipos!$R:$R,"")+_xlfn.XLOOKUP($A25,Maestro_Equipos!$A:$A,Maestro_Equipos!$J:$J,""),"")</f>
        <v/>
      </c>
      <c r="G25">
        <f>IFERROR(_xlfn.XLOOKUP($A25,Maestro_Equipos!$A:$A,Maestro_Equipos!$K:$K,""),"")</f>
        <v>0</v>
      </c>
      <c r="H25" t="str">
        <f t="shared" si="0"/>
        <v/>
      </c>
      <c r="I25" s="41" t="str">
        <f t="shared" ca="1" si="1"/>
        <v/>
      </c>
      <c r="J25" s="5" t="str">
        <f>IFERROR(INDEX(Maestro_Equipos!$V$4:$V$247,MATCH($A25,Maestro_Equipos!$A$4:$A$247,0)),"")</f>
        <v>Fuera de Servicio</v>
      </c>
      <c r="K25" s="37">
        <f>IFERROR(
   SUMIFS(Mantenciones!$I:$I,Mantenciones!$B:$B,$A25)
 + SUMIFS('Compras PM'!$F:$F,'Compras PM'!$C:$C,$A25),0)</f>
        <v>0</v>
      </c>
      <c r="L25" s="30" t="str">
        <f t="shared" si="2"/>
        <v>NO PROGRAMAR</v>
      </c>
      <c r="M25" s="58" t="str" cm="1">
        <f t="array" ref="M25">IFERROR(_xlfn.AGGREGATE(14,6,Mantenciones!$A$2:$A$9997/(Mantenciones!$B$2:$B$9997=$A25),1),"")</f>
        <v/>
      </c>
      <c r="N25" s="31" t="str" cm="1">
        <f t="array" ref="N25">IFERROR(_xlfn.AGGREGATE(14,6,'Compras PM'!$A$4:$A$10014/('Compras PM'!$C$4:$C$10014=$A25),1),"")</f>
        <v/>
      </c>
      <c r="O25" s="31" t="str">
        <f>IFERROR(VLOOKUP($A25,Maestro_Equipos!$A$4:$AG$247,27,FALSE()),"")</f>
        <v/>
      </c>
      <c r="P25" s="32" t="str">
        <f t="shared" ca="1" si="3"/>
        <v/>
      </c>
      <c r="Q25" s="32" t="str">
        <f t="shared" ca="1" si="4"/>
        <v/>
      </c>
      <c r="R25" s="30" t="str">
        <f t="shared" si="5"/>
        <v>SIN SALIDA</v>
      </c>
      <c r="S25" s="33" t="str">
        <f>IFERROR(VLOOKUP($A25,Maestro_Equipos!$A$4:$AG$247,33,FALSE()),"")</f>
        <v>No programar compra</v>
      </c>
    </row>
    <row r="26" spans="1:19" ht="18" customHeight="1">
      <c r="A26" t="str" cm="1">
        <f t="array" ref="A26">IFERROR(INDEX(_xlfn._xlws.FILTER(Maestro_Equipos!$A$4:$A$247,Maestro_Equipos!$A$4:$A$247&lt;&gt;""),ROWS($A$4:A26)),"")</f>
        <v>MD-71</v>
      </c>
      <c r="B26" t="str">
        <f>IFERROR(_xlfn.XLOOKUP($A26,Maestro_Equipos!$A$4:$A$247,Maestro_Equipos!$B$4:$B$247,""),"")</f>
        <v>Retroexcavadora</v>
      </c>
      <c r="C26" t="str">
        <f>IFERROR(_xlfn.XLOOKUP($A26,Maestro_Equipos!$A$4:$A$247,Maestro_Equipos!$C$4:$C$247,""),"")</f>
        <v>Maquinaria Pesada</v>
      </c>
      <c r="D26" t="str">
        <f>IFERROR(_xlfn.XLOOKUP($A26,Maestro_Equipos!$A:$A,Maestro_Equipos!$I:$I,""),"")</f>
        <v>HORAS</v>
      </c>
      <c r="E26">
        <f>IFERROR(IF($D26="KM",_xlfn.XLOOKUP($A26,Maestro_Equipos!$A:$A,Maestro_Equipos!$N:$N,""),_xlfn.XLOOKUP($A26,Maestro_Equipos!$A:$A,Maestro_Equipos!$M:$M,"")),"")</f>
        <v>5937</v>
      </c>
      <c r="F26">
        <f>IFERROR(_xlfn.XLOOKUP($A26,Maestro_Equipos!$A:$A,Maestro_Equipos!$R:$R,"")+_xlfn.XLOOKUP($A26,Maestro_Equipos!$A:$A,Maestro_Equipos!$J:$J,""),"")</f>
        <v>6321</v>
      </c>
      <c r="G26">
        <f>IFERROR(_xlfn.XLOOKUP($A26,Maestro_Equipos!$A:$A,Maestro_Equipos!$K:$K,""),"")</f>
        <v>0</v>
      </c>
      <c r="H26" t="str">
        <f t="shared" si="0"/>
        <v/>
      </c>
      <c r="I26" s="41" t="str">
        <f t="shared" ca="1" si="1"/>
        <v/>
      </c>
      <c r="J26" s="5" t="str">
        <f>IFERROR(INDEX(Maestro_Equipos!$V$4:$V$247,MATCH($A26,Maestro_Equipos!$A$4:$A$247,0)),"")</f>
        <v>Taller</v>
      </c>
      <c r="K26" s="37">
        <f>IFERROR(
   SUMIFS(Mantenciones!$I:$I,Mantenciones!$B:$B,$A26)
 + SUMIFS('Compras PM'!$F:$F,'Compras PM'!$C:$C,$A26),0)</f>
        <v>0</v>
      </c>
      <c r="L26" s="30" t="str">
        <f t="shared" si="2"/>
        <v>SIN DATOS</v>
      </c>
      <c r="M26" s="58" cm="1">
        <f t="array" ref="M26">IFERROR(_xlfn.AGGREGATE(14,6,Mantenciones!$A$2:$A$9997/(Mantenciones!$B$2:$B$9997=$A26),1),"")</f>
        <v>46106</v>
      </c>
      <c r="N26" s="31" t="str" cm="1">
        <f t="array" ref="N26">IFERROR(_xlfn.AGGREGATE(14,6,'Compras PM'!$A$4:$A$10014/('Compras PM'!$C$4:$C$10014=$A26),1),"")</f>
        <v/>
      </c>
      <c r="O26" s="31">
        <f>IFERROR(VLOOKUP($A26,Maestro_Equipos!$A$4:$AG$247,27,FALSE()),"")</f>
        <v>46106</v>
      </c>
      <c r="P26" s="32" t="str">
        <f t="shared" ca="1" si="3"/>
        <v/>
      </c>
      <c r="Q26" s="32">
        <f t="shared" ca="1" si="4"/>
        <v>0</v>
      </c>
      <c r="R26" s="30" t="str">
        <f t="shared" si="5"/>
        <v>REALIZADA</v>
      </c>
      <c r="S26" s="33" t="str">
        <f>IFERROR(VLOOKUP($A26,Maestro_Equipos!$A$4:$AG$247,33,FALSE()),"")</f>
        <v>Monitorear próximo vencimiento</v>
      </c>
    </row>
    <row r="27" spans="1:19">
      <c r="A27" t="str" cm="1">
        <f t="array" ref="A27">IFERROR(INDEX(_xlfn._xlws.FILTER(Maestro_Equipos!$A$4:$A$247,Maestro_Equipos!$A$4:$A$247&lt;&gt;""),ROWS($A$4:A27)),"")</f>
        <v>CD-51</v>
      </c>
      <c r="B27" t="str">
        <f>IFERROR(_xlfn.XLOOKUP($A27,Maestro_Equipos!$A$4:$A$247,Maestro_Equipos!$B$4:$B$247,""),"")</f>
        <v>Camión Combustible</v>
      </c>
      <c r="C27" t="str">
        <f>IFERROR(_xlfn.XLOOKUP($A27,Maestro_Equipos!$A$4:$A$247,Maestro_Equipos!$C$4:$C$247,""),"")</f>
        <v>Camiones de Ruta</v>
      </c>
      <c r="D27" t="str">
        <f>IFERROR(_xlfn.XLOOKUP($A27,Maestro_Equipos!$A:$A,Maestro_Equipos!$I:$I,""),"")</f>
        <v>HORAS</v>
      </c>
      <c r="E27">
        <f>IFERROR(IF($D27="KM",_xlfn.XLOOKUP($A27,Maestro_Equipos!$A:$A,Maestro_Equipos!$N:$N,""),_xlfn.XLOOKUP($A27,Maestro_Equipos!$A:$A,Maestro_Equipos!$M:$M,"")),"")</f>
        <v>0</v>
      </c>
      <c r="F27" t="str">
        <f>IFERROR(_xlfn.XLOOKUP($A27,Maestro_Equipos!$A:$A,Maestro_Equipos!$R:$R,"")+_xlfn.XLOOKUP($A27,Maestro_Equipos!$A:$A,Maestro_Equipos!$J:$J,""),"")</f>
        <v/>
      </c>
      <c r="G27">
        <f>IFERROR(_xlfn.XLOOKUP($A27,Maestro_Equipos!$A:$A,Maestro_Equipos!$K:$K,""),"")</f>
        <v>0</v>
      </c>
      <c r="H27" t="str">
        <f t="shared" si="0"/>
        <v/>
      </c>
      <c r="I27" s="41" t="str">
        <f t="shared" ca="1" si="1"/>
        <v/>
      </c>
      <c r="J27" s="5" t="str">
        <f>IFERROR(INDEX(Maestro_Equipos!$V$4:$V$247,MATCH($A27,Maestro_Equipos!$A$4:$A$247,0)),"")</f>
        <v>Operativo</v>
      </c>
      <c r="K27" s="37">
        <f>IFERROR(
   SUMIFS(Mantenciones!$I:$I,Mantenciones!$B:$B,$A27)
 + SUMIFS('Compras PM'!$F:$F,'Compras PM'!$C:$C,$A27),0)</f>
        <v>131994.79999999999</v>
      </c>
      <c r="L27" s="30" t="str">
        <f t="shared" si="2"/>
        <v>SIN DATOS</v>
      </c>
      <c r="M27" s="58" t="str" cm="1">
        <f t="array" ref="M27">IFERROR(_xlfn.AGGREGATE(14,6,Mantenciones!$A$2:$A$9997/(Mantenciones!$B$2:$B$9997=$A27),1),"")</f>
        <v/>
      </c>
      <c r="N27" s="31" cm="1">
        <f t="array" ref="N27">IFERROR(_xlfn.AGGREGATE(14,6,'Compras PM'!$A$4:$A$10014/('Compras PM'!$C$4:$C$10014=$A27),1),"")</f>
        <v>46079.4319211806</v>
      </c>
      <c r="O27" s="31" t="str">
        <f>IFERROR(VLOOKUP($A27,Maestro_Equipos!$A$4:$AG$247,27,FALSE()),"")</f>
        <v/>
      </c>
      <c r="P27" s="32">
        <f t="shared" ca="1" si="3"/>
        <v>65.568078819400398</v>
      </c>
      <c r="Q27" s="32" t="str">
        <f t="shared" ca="1" si="4"/>
        <v/>
      </c>
      <c r="R27" s="30" t="str">
        <f t="shared" si="5"/>
        <v>SIN SALIDA</v>
      </c>
      <c r="S27" s="33" t="str">
        <f>IFERROR(VLOOKUP($A27,Maestro_Equipos!$A$4:$AG$247,33,FALSE()),"")</f>
        <v>Hacer seguimiento al taller y cerrar report</v>
      </c>
    </row>
    <row r="28" spans="1:19">
      <c r="A28" t="str" cm="1">
        <f t="array" ref="A28">IFERROR(INDEX(_xlfn._xlws.FILTER(Maestro_Equipos!$A$4:$A$247,Maestro_Equipos!$A$4:$A$247&lt;&gt;""),ROWS($A$4:A28)),"")</f>
        <v>CD-98</v>
      </c>
      <c r="B28" t="str">
        <f>IFERROR(_xlfn.XLOOKUP($A28,Maestro_Equipos!$A$4:$A$247,Maestro_Equipos!$B$4:$B$247,""),"")</f>
        <v>Camión Plano</v>
      </c>
      <c r="C28" t="str">
        <f>IFERROR(_xlfn.XLOOKUP($A28,Maestro_Equipos!$A$4:$A$247,Maestro_Equipos!$C$4:$C$247,""),"")</f>
        <v>Camiones de Ruta</v>
      </c>
      <c r="D28" t="str">
        <f>IFERROR(_xlfn.XLOOKUP($A28,Maestro_Equipos!$A:$A,Maestro_Equipos!$I:$I,""),"")</f>
        <v>HORAS</v>
      </c>
      <c r="E28">
        <f>IFERROR(IF($D28="KM",_xlfn.XLOOKUP($A28,Maestro_Equipos!$A:$A,Maestro_Equipos!$N:$N,""),_xlfn.XLOOKUP($A28,Maestro_Equipos!$A:$A,Maestro_Equipos!$M:$M,"")),"")</f>
        <v>2023</v>
      </c>
      <c r="F28">
        <f>IFERROR(_xlfn.XLOOKUP($A28,Maestro_Equipos!$A:$A,Maestro_Equipos!$R:$R,"")+_xlfn.XLOOKUP($A28,Maestro_Equipos!$A:$A,Maestro_Equipos!$J:$J,""),"")</f>
        <v>342934</v>
      </c>
      <c r="G28">
        <f>IFERROR(_xlfn.XLOOKUP($A28,Maestro_Equipos!$A:$A,Maestro_Equipos!$K:$K,""),"")</f>
        <v>0</v>
      </c>
      <c r="H28" t="str">
        <f t="shared" si="0"/>
        <v/>
      </c>
      <c r="I28" s="41" t="str">
        <f t="shared" ca="1" si="1"/>
        <v/>
      </c>
      <c r="J28" s="5" t="str">
        <f>IFERROR(INDEX(Maestro_Equipos!$V$4:$V$247,MATCH($A28,Maestro_Equipos!$A$4:$A$247,0)),"")</f>
        <v>Operativo</v>
      </c>
      <c r="K28" s="37">
        <f>IFERROR(
   SUMIFS(Mantenciones!$I:$I,Mantenciones!$B:$B,$A28)
 + SUMIFS('Compras PM'!$F:$F,'Compras PM'!$C:$C,$A28),0)</f>
        <v>271270.02</v>
      </c>
      <c r="L28" s="30" t="str">
        <f t="shared" si="2"/>
        <v>SIN DATOS</v>
      </c>
      <c r="M28" s="58" cm="1">
        <f t="array" ref="M28">IFERROR(_xlfn.AGGREGATE(14,6,Mantenciones!$A$2:$A$9997/(Mantenciones!$B$2:$B$9997=$A28),1),"")</f>
        <v>46112</v>
      </c>
      <c r="N28" s="31" cm="1">
        <f t="array" ref="N28">IFERROR(_xlfn.AGGREGATE(14,6,'Compras PM'!$A$4:$A$10014/('Compras PM'!$C$4:$C$10014=$A28),1),"")</f>
        <v>46076.407432673601</v>
      </c>
      <c r="O28" s="31">
        <f>IFERROR(VLOOKUP($A28,Maestro_Equipos!$A$4:$AG$247,27,FALSE()),"")</f>
        <v>46097</v>
      </c>
      <c r="P28" s="32">
        <f t="shared" ca="1" si="3"/>
        <v>35.592567326399148</v>
      </c>
      <c r="Q28" s="32">
        <f t="shared" ca="1" si="4"/>
        <v>15</v>
      </c>
      <c r="R28" s="30" t="str">
        <f t="shared" si="5"/>
        <v>REALIZADA</v>
      </c>
      <c r="S28" s="33" t="str">
        <f>IFERROR(VLOOKUP($A28,Maestro_Equipos!$A$4:$AG$247,33,FALSE()),"")</f>
        <v>Monitorear próximo vencimiento</v>
      </c>
    </row>
    <row r="29" spans="1:19" hidden="1">
      <c r="A29" t="str" cm="1">
        <f t="array" ref="A29">IFERROR(INDEX(_xlfn._xlws.FILTER(Maestro_Equipos!$A$4:$A$247,Maestro_Equipos!$A$4:$A$247&lt;&gt;""),ROWS($A$4:A29)),"")</f>
        <v>CD-130</v>
      </c>
      <c r="B29" t="str">
        <f>IFERROR(_xlfn.XLOOKUP($A29,Maestro_Equipos!$A$4:$A$247,Maestro_Equipos!$B$4:$B$247,""),"")</f>
        <v>Camión Tolva</v>
      </c>
      <c r="C29" t="str">
        <f>IFERROR(_xlfn.XLOOKUP($A29,Maestro_Equipos!$A$4:$A$247,Maestro_Equipos!$C$4:$C$247,""),"")</f>
        <v>Camiones de Ruta</v>
      </c>
      <c r="D29" t="str">
        <f>IFERROR(VLOOKUP($A26,Maestro_Equipos!$A$4:$Z$247,9,FALSE),"")</f>
        <v>HORAS</v>
      </c>
      <c r="E29">
        <f>IFERROR(IF($D29="KM",_xlfn.XLOOKUP($A29,Maestro_Equipos!$A:$A,Maestro_Equipos!$N:$N,""),_xlfn.XLOOKUP($A29,Maestro_Equipos!$A:$A,Maestro_Equipos!$M:$M,"")),"")</f>
        <v>0</v>
      </c>
      <c r="F29" t="str">
        <f>IFERROR(_xlfn.XLOOKUP($A29,Maestro_Equipos!$A:$A,Maestro_Equipos!$R:$R,"")+_xlfn.XLOOKUP($A29,Maestro_Equipos!$A:$A,Maestro_Equipos!$J:$J,""),"")</f>
        <v/>
      </c>
      <c r="G29">
        <f>IFERROR(_xlfn.XLOOKUP($A29,Maestro_Equipos!$A:$A,Maestro_Equipos!$K:$K,""),"")</f>
        <v>0</v>
      </c>
      <c r="H29" t="str">
        <f t="shared" si="0"/>
        <v/>
      </c>
      <c r="I29" s="41" t="str">
        <f t="shared" ca="1" si="1"/>
        <v/>
      </c>
      <c r="J29" s="5" t="str">
        <f>IFERROR(INDEX(Maestro_Equipos!$V$4:$V$247,MATCH($A29,Maestro_Equipos!$A$4:$A$247,0)),"")</f>
        <v>Fuera de Servicio</v>
      </c>
      <c r="K29" s="37">
        <f>IFERROR(
   SUMIFS(Mantenciones!$I:$I,Mantenciones!$B:$B,$A29)
 + SUMIFS('Compras PM'!$F:$F,'Compras PM'!$C:$C,$A29),0)</f>
        <v>0</v>
      </c>
      <c r="L29" s="30" t="str">
        <f t="shared" si="2"/>
        <v>NO PROGRAMAR</v>
      </c>
      <c r="M29" s="58" t="str" cm="1">
        <f t="array" ref="M29">IFERROR(_xlfn.AGGREGATE(14,6,Mantenciones!$A$2:$A$9997/(Mantenciones!$B$2:$B$9997=$A29),1),"")</f>
        <v/>
      </c>
      <c r="N29" s="31" t="str" cm="1">
        <f t="array" ref="N29">IFERROR(_xlfn.AGGREGATE(14,6,'Compras PM'!$A$4:$A$10014/('Compras PM'!$C$4:$C$10014=$A29),1),"")</f>
        <v/>
      </c>
      <c r="O29" s="31" t="str">
        <f>IFERROR(VLOOKUP($A29,Maestro_Equipos!$A$4:$AG$247,27,FALSE()),"")</f>
        <v/>
      </c>
      <c r="P29" s="32" t="str">
        <f t="shared" ca="1" si="3"/>
        <v/>
      </c>
      <c r="Q29" s="32" t="str">
        <f t="shared" ca="1" si="4"/>
        <v/>
      </c>
      <c r="R29" s="30" t="str">
        <f t="shared" si="5"/>
        <v>SIN SALIDA</v>
      </c>
      <c r="S29" s="33" t="str">
        <f>IFERROR(VLOOKUP($A29,Maestro_Equipos!$A$4:$AG$247,33,FALSE()),"")</f>
        <v>No programar compra</v>
      </c>
    </row>
    <row r="30" spans="1:19">
      <c r="A30" t="str" cm="1">
        <f t="array" ref="A30">IFERROR(INDEX(_xlfn._xlws.FILTER(Maestro_Equipos!$A$4:$A$247,Maestro_Equipos!$A$4:$A$247&lt;&gt;""),ROWS($A$4:A30)),"")</f>
        <v>VD-82</v>
      </c>
      <c r="B30" t="str">
        <f>IFERROR(_xlfn.XLOOKUP($A30,Maestro_Equipos!$A$4:$A$247,Maestro_Equipos!$B$4:$B$247,""),"")</f>
        <v>Camioneta</v>
      </c>
      <c r="C30" t="str">
        <f>IFERROR(_xlfn.XLOOKUP($A30,Maestro_Equipos!$A$4:$A$247,Maestro_Equipos!$C$4:$C$247,""),"")</f>
        <v>Vehículos Livianos</v>
      </c>
      <c r="D30" t="str">
        <f>IFERROR(_xlfn.XLOOKUP($A30,Maestro_Equipos!$A:$A,Maestro_Equipos!$I:$I,""),"")</f>
        <v>KM</v>
      </c>
      <c r="E30">
        <f>IFERROR(IF($D30="KM",_xlfn.XLOOKUP($A30,Maestro_Equipos!$A:$A,Maestro_Equipos!$N:$N,""),_xlfn.XLOOKUP($A30,Maestro_Equipos!$A:$A,Maestro_Equipos!$M:$M,"")),"")</f>
        <v>153679</v>
      </c>
      <c r="F30" t="str">
        <f>IFERROR(_xlfn.XLOOKUP($A30,Maestro_Equipos!$A:$A,Maestro_Equipos!$R:$R,"")+_xlfn.XLOOKUP($A30,Maestro_Equipos!$A:$A,Maestro_Equipos!$J:$J,""),"")</f>
        <v/>
      </c>
      <c r="G30">
        <f>IFERROR(_xlfn.XLOOKUP($A30,Maestro_Equipos!$A:$A,Maestro_Equipos!$K:$K,""),"")</f>
        <v>0</v>
      </c>
      <c r="H30" t="str">
        <f t="shared" si="0"/>
        <v/>
      </c>
      <c r="I30" s="41" t="str">
        <f t="shared" ca="1" si="1"/>
        <v/>
      </c>
      <c r="J30" s="5" t="str">
        <f>IFERROR(INDEX(Maestro_Equipos!$V$4:$V$247,MATCH($A30,Maestro_Equipos!$A$4:$A$247,0)),"")</f>
        <v>Operativo</v>
      </c>
      <c r="K30" s="37">
        <f>IFERROR(
   SUMIFS(Mantenciones!$I:$I,Mantenciones!$B:$B,$A30)
 + SUMIFS('Compras PM'!$F:$F,'Compras PM'!$C:$C,$A30),0)</f>
        <v>0</v>
      </c>
      <c r="L30" s="30" t="str">
        <f t="shared" si="2"/>
        <v>SIN DATOS</v>
      </c>
      <c r="M30" s="58" t="str" cm="1">
        <f t="array" ref="M30">IFERROR(_xlfn.AGGREGATE(14,6,Mantenciones!$A$2:$A$9997/(Mantenciones!$B$2:$B$9997=$A30),1),"")</f>
        <v/>
      </c>
      <c r="N30" s="31" t="str" cm="1">
        <f t="array" ref="N30">IFERROR(_xlfn.AGGREGATE(14,6,'Compras PM'!$A$4:$A$10014/('Compras PM'!$C$4:$C$10014=$A30),1),"")</f>
        <v/>
      </c>
      <c r="O30" s="31" t="str">
        <f>IFERROR(VLOOKUP($A30,Maestro_Equipos!$A$4:$AG$247,27,FALSE()),"")</f>
        <v/>
      </c>
      <c r="P30" s="32" t="str">
        <f t="shared" ca="1" si="3"/>
        <v/>
      </c>
      <c r="Q30" s="32" t="str">
        <f t="shared" ca="1" si="4"/>
        <v/>
      </c>
      <c r="R30" s="30" t="str">
        <f t="shared" si="5"/>
        <v>SIN SALIDA</v>
      </c>
      <c r="S30" s="33" t="str">
        <f>IFERROR(VLOOKUP($A30,Maestro_Equipos!$A$4:$AG$247,33,FALSE()),"")</f>
        <v>Monitorear próximo vencimiento</v>
      </c>
    </row>
    <row r="31" spans="1:19" hidden="1">
      <c r="A31" t="str" cm="1">
        <f t="array" ref="A31">IFERROR(INDEX(_xlfn._xlws.FILTER(Maestro_Equipos!$A$4:$A$247,Maestro_Equipos!$A$4:$A$247&lt;&gt;""),ROWS($A$4:A31)),"")</f>
        <v>CD-131</v>
      </c>
      <c r="B31" t="str">
        <f>IFERROR(_xlfn.XLOOKUP($A31,Maestro_Equipos!$A$4:$A$247,Maestro_Equipos!$B$4:$B$247,""),"")</f>
        <v>Camión Tolva</v>
      </c>
      <c r="C31" t="str">
        <f>IFERROR(_xlfn.XLOOKUP($A31,Maestro_Equipos!$A$4:$A$247,Maestro_Equipos!$C$4:$C$247,""),"")</f>
        <v>Camiones de Ruta</v>
      </c>
      <c r="D31" t="str">
        <f>IFERROR(VLOOKUP($A28,Maestro_Equipos!$A$4:$Z$247,9,FALSE),"")</f>
        <v>HORAS</v>
      </c>
      <c r="E31">
        <f>IFERROR(IF($D31="KM",_xlfn.XLOOKUP($A31,Maestro_Equipos!$A:$A,Maestro_Equipos!$N:$N,""),_xlfn.XLOOKUP($A31,Maestro_Equipos!$A:$A,Maestro_Equipos!$M:$M,"")),"")</f>
        <v>0</v>
      </c>
      <c r="F31" t="str">
        <f>IFERROR(_xlfn.XLOOKUP($A31,Maestro_Equipos!$A:$A,Maestro_Equipos!$R:$R,"")+_xlfn.XLOOKUP($A31,Maestro_Equipos!$A:$A,Maestro_Equipos!$J:$J,""),"")</f>
        <v/>
      </c>
      <c r="G31">
        <f>IFERROR(_xlfn.XLOOKUP($A31,Maestro_Equipos!$A:$A,Maestro_Equipos!$K:$K,""),"")</f>
        <v>0</v>
      </c>
      <c r="H31" t="str">
        <f t="shared" si="0"/>
        <v/>
      </c>
      <c r="I31" s="41" t="str">
        <f t="shared" ca="1" si="1"/>
        <v/>
      </c>
      <c r="J31" s="5" t="str">
        <f>IFERROR(INDEX(Maestro_Equipos!$V$4:$V$247,MATCH($A31,Maestro_Equipos!$A$4:$A$247,0)),"")</f>
        <v>Fuera de Servicio</v>
      </c>
      <c r="K31" s="37">
        <f>IFERROR(
   SUMIFS(Mantenciones!$I:$I,Mantenciones!$B:$B,$A31)
 + SUMIFS('Compras PM'!$F:$F,'Compras PM'!$C:$C,$A31),0)</f>
        <v>0</v>
      </c>
      <c r="L31" s="30" t="str">
        <f t="shared" si="2"/>
        <v>NO PROGRAMAR</v>
      </c>
      <c r="M31" s="58" t="str" cm="1">
        <f t="array" ref="M31">IFERROR(_xlfn.AGGREGATE(14,6,Mantenciones!$A$2:$A$9997/(Mantenciones!$B$2:$B$9997=$A31),1),"")</f>
        <v/>
      </c>
      <c r="N31" s="31" t="str" cm="1">
        <f t="array" ref="N31">IFERROR(_xlfn.AGGREGATE(14,6,'Compras PM'!$A$4:$A$10014/('Compras PM'!$C$4:$C$10014=$A31),1),"")</f>
        <v/>
      </c>
      <c r="O31" s="31" t="str">
        <f>IFERROR(VLOOKUP($A31,Maestro_Equipos!$A$4:$AG$247,27,FALSE()),"")</f>
        <v/>
      </c>
      <c r="P31" s="32" t="str">
        <f t="shared" ca="1" si="3"/>
        <v/>
      </c>
      <c r="Q31" s="32" t="str">
        <f t="shared" ca="1" si="4"/>
        <v/>
      </c>
      <c r="R31" s="30" t="str">
        <f t="shared" si="5"/>
        <v>SIN SALIDA</v>
      </c>
      <c r="S31" s="33" t="str">
        <f>IFERROR(VLOOKUP($A31,Maestro_Equipos!$A$4:$AG$247,33,FALSE()),"")</f>
        <v>No programar compra</v>
      </c>
    </row>
    <row r="32" spans="1:19">
      <c r="A32" t="str" cm="1">
        <f t="array" ref="A32">IFERROR(INDEX(_xlfn._xlws.FILTER(Maestro_Equipos!$A$4:$A$247,Maestro_Equipos!$A$4:$A$247&lt;&gt;""),ROWS($A$4:A32)),"")</f>
        <v>ED-51</v>
      </c>
      <c r="B32" t="str">
        <f>IFERROR(_xlfn.XLOOKUP($A32,Maestro_Equipos!$A$4:$A$247,Maestro_Equipos!$B$4:$B$247,""),"")</f>
        <v>Gravilladora</v>
      </c>
      <c r="C32" t="str">
        <f>IFERROR(_xlfn.XLOOKUP($A32,Maestro_Equipos!$A$4:$A$247,Maestro_Equipos!$C$4:$C$247,""),"")</f>
        <v>Maquinaria Pesada</v>
      </c>
      <c r="D32" t="str">
        <f>IFERROR(_xlfn.XLOOKUP($A32,Maestro_Equipos!$A:$A,Maestro_Equipos!$I:$I,""),"")</f>
        <v>HORAS</v>
      </c>
      <c r="E32">
        <f>IFERROR(IF($D32="KM",_xlfn.XLOOKUP($A32,Maestro_Equipos!$A:$A,Maestro_Equipos!$N:$N,""),_xlfn.XLOOKUP($A32,Maestro_Equipos!$A:$A,Maestro_Equipos!$M:$M,"")),"")</f>
        <v>609</v>
      </c>
      <c r="F32" t="str">
        <f>IFERROR(_xlfn.XLOOKUP($A32,Maestro_Equipos!$A:$A,Maestro_Equipos!$R:$R,"")+_xlfn.XLOOKUP($A32,Maestro_Equipos!$A:$A,Maestro_Equipos!$J:$J,""),"")</f>
        <v/>
      </c>
      <c r="G32">
        <f>IFERROR(_xlfn.XLOOKUP($A32,Maestro_Equipos!$A:$A,Maestro_Equipos!$K:$K,""),"")</f>
        <v>0</v>
      </c>
      <c r="H32" t="str">
        <f t="shared" si="0"/>
        <v/>
      </c>
      <c r="I32" s="41" t="str">
        <f t="shared" ca="1" si="1"/>
        <v/>
      </c>
      <c r="J32" s="5" t="str">
        <f>IFERROR(INDEX(Maestro_Equipos!$V$4:$V$247,MATCH($A32,Maestro_Equipos!$A$4:$A$247,0)),"")</f>
        <v>Operativo</v>
      </c>
      <c r="K32" s="37">
        <f>IFERROR(
   SUMIFS(Mantenciones!$I:$I,Mantenciones!$B:$B,$A32)
 + SUMIFS('Compras PM'!$F:$F,'Compras PM'!$C:$C,$A32),0)</f>
        <v>0</v>
      </c>
      <c r="L32" s="30" t="str">
        <f t="shared" si="2"/>
        <v>SIN DATOS</v>
      </c>
      <c r="M32" s="58" t="str" cm="1">
        <f t="array" ref="M32">IFERROR(_xlfn.AGGREGATE(14,6,Mantenciones!$A$2:$A$9997/(Mantenciones!$B$2:$B$9997=$A32),1),"")</f>
        <v/>
      </c>
      <c r="N32" s="31" t="str" cm="1">
        <f t="array" ref="N32">IFERROR(_xlfn.AGGREGATE(14,6,'Compras PM'!$A$4:$A$10014/('Compras PM'!$C$4:$C$10014=$A32),1),"")</f>
        <v/>
      </c>
      <c r="O32" s="31" t="str">
        <f>IFERROR(VLOOKUP($A32,Maestro_Equipos!$A$4:$AG$247,27,FALSE()),"")</f>
        <v/>
      </c>
      <c r="P32" s="32" t="str">
        <f t="shared" ca="1" si="3"/>
        <v/>
      </c>
      <c r="Q32" s="32" t="str">
        <f t="shared" ca="1" si="4"/>
        <v/>
      </c>
      <c r="R32" s="30" t="str">
        <f t="shared" si="5"/>
        <v>SIN SALIDA</v>
      </c>
      <c r="S32" s="33" t="str">
        <f>IFERROR(VLOOKUP($A32,Maestro_Equipos!$A$4:$AG$247,33,FALSE()),"")</f>
        <v>Monitorear próximo vencimiento</v>
      </c>
    </row>
    <row r="33" spans="1:19">
      <c r="A33" t="str" cm="1">
        <f t="array" ref="A33">IFERROR(INDEX(_xlfn._xlws.FILTER(Maestro_Equipos!$A$4:$A$247,Maestro_Equipos!$A$4:$A$247&lt;&gt;""),ROWS($A$4:A33)),"")</f>
        <v>MD-74</v>
      </c>
      <c r="B33" t="str">
        <f>IFERROR(_xlfn.XLOOKUP($A33,Maestro_Equipos!$A$4:$A$247,Maestro_Equipos!$B$4:$B$247,""),"")</f>
        <v>Excavadora</v>
      </c>
      <c r="C33" t="str">
        <f>IFERROR(_xlfn.XLOOKUP($A33,Maestro_Equipos!$A$4:$A$247,Maestro_Equipos!$C$4:$C$247,""),"")</f>
        <v>Maquinaria Pesada</v>
      </c>
      <c r="D33" t="str">
        <f>IFERROR(_xlfn.XLOOKUP($A33,Maestro_Equipos!$A:$A,Maestro_Equipos!$I:$I,""),"")</f>
        <v>HORAS</v>
      </c>
      <c r="E33">
        <f>IFERROR(IF($D33="KM",_xlfn.XLOOKUP($A33,Maestro_Equipos!$A:$A,Maestro_Equipos!$N:$N,""),_xlfn.XLOOKUP($A33,Maestro_Equipos!$A:$A,Maestro_Equipos!$M:$M,"")),"")</f>
        <v>9276</v>
      </c>
      <c r="F33" t="str">
        <f>IFERROR(_xlfn.XLOOKUP($A33,Maestro_Equipos!$A:$A,Maestro_Equipos!$R:$R,"")+_xlfn.XLOOKUP($A33,Maestro_Equipos!$A:$A,Maestro_Equipos!$J:$J,""),"")</f>
        <v/>
      </c>
      <c r="G33">
        <f>IFERROR(_xlfn.XLOOKUP($A33,Maestro_Equipos!$A:$A,Maestro_Equipos!$K:$K,""),"")</f>
        <v>0</v>
      </c>
      <c r="H33" t="str">
        <f t="shared" si="0"/>
        <v/>
      </c>
      <c r="I33" s="41" t="str">
        <f t="shared" ca="1" si="1"/>
        <v/>
      </c>
      <c r="J33" s="5" t="str">
        <f>IFERROR(INDEX(Maestro_Equipos!$V$4:$V$247,MATCH($A33,Maestro_Equipos!$A$4:$A$247,0)),"")</f>
        <v>Operativo</v>
      </c>
      <c r="K33" s="37">
        <f>IFERROR(
   SUMIFS(Mantenciones!$I:$I,Mantenciones!$B:$B,$A33)
 + SUMIFS('Compras PM'!$F:$F,'Compras PM'!$C:$C,$A33),0)</f>
        <v>0</v>
      </c>
      <c r="L33" s="30" t="str">
        <f t="shared" si="2"/>
        <v>SIN DATOS</v>
      </c>
      <c r="M33" s="58" t="str" cm="1">
        <f t="array" ref="M33">IFERROR(_xlfn.AGGREGATE(14,6,Mantenciones!$A$2:$A$9997/(Mantenciones!$B$2:$B$9997=$A33),1),"")</f>
        <v/>
      </c>
      <c r="N33" s="31" t="str" cm="1">
        <f t="array" ref="N33">IFERROR(_xlfn.AGGREGATE(14,6,'Compras PM'!$A$4:$A$10014/('Compras PM'!$C$4:$C$10014=$A33),1),"")</f>
        <v/>
      </c>
      <c r="O33" s="31" t="str">
        <f>IFERROR(VLOOKUP($A33,Maestro_Equipos!$A$4:$AG$247,27,FALSE()),"")</f>
        <v/>
      </c>
      <c r="P33" s="32" t="str">
        <f t="shared" ca="1" si="3"/>
        <v/>
      </c>
      <c r="Q33" s="32" t="str">
        <f t="shared" ca="1" si="4"/>
        <v/>
      </c>
      <c r="R33" s="30" t="str">
        <f t="shared" si="5"/>
        <v>SIN SALIDA</v>
      </c>
      <c r="S33" s="33" t="str">
        <f>IFERROR(VLOOKUP($A33,Maestro_Equipos!$A$4:$AG$247,33,FALSE()),"")</f>
        <v>Monitorear próximo vencimiento</v>
      </c>
    </row>
    <row r="34" spans="1:19" s="69" customFormat="1" ht="18" hidden="1" customHeight="1">
      <c r="A34" s="69" t="str" cm="1">
        <f t="array" ref="A34">IFERROR(INDEX(_xlfn._xlws.FILTER(Maestro_Equipos!$A$4:$A$247,Maestro_Equipos!$A$4:$A$247&lt;&gt;""),ROWS($A$4:A34)),"")</f>
        <v>MD-92</v>
      </c>
      <c r="B34" s="69" t="str">
        <f>IFERROR(_xlfn.XLOOKUP($A34,Maestro_Equipos!$A$4:$A$247,Maestro_Equipos!$B$4:$B$247,""),"")</f>
        <v>Cargador Frontal</v>
      </c>
      <c r="C34" s="69" t="str">
        <f>IFERROR(_xlfn.XLOOKUP($A34,Maestro_Equipos!$A$4:$A$247,Maestro_Equipos!$C$4:$C$247,""),"")</f>
        <v>Maquinaria Pesada</v>
      </c>
      <c r="D34" s="69" t="str">
        <f>IFERROR(VLOOKUP($A31,Maestro_Equipos!$A$4:$Z$247,9,FALSE),"")</f>
        <v>HORAS</v>
      </c>
      <c r="E34" s="69">
        <f>IFERROR(IF($D34="KM",_xlfn.XLOOKUP($A34,Maestro_Equipos!$A:$A,Maestro_Equipos!$N:$N,""),_xlfn.XLOOKUP($A34,Maestro_Equipos!$A:$A,Maestro_Equipos!$M:$M,"")),"")</f>
        <v>1733</v>
      </c>
      <c r="F34" s="69" t="str">
        <f>IFERROR(_xlfn.XLOOKUP($A34,Maestro_Equipos!$A:$A,Maestro_Equipos!$R:$R,"")+_xlfn.XLOOKUP($A34,Maestro_Equipos!$A:$A,Maestro_Equipos!$J:$J,""),"")</f>
        <v/>
      </c>
      <c r="G34" s="69">
        <f>IFERROR(_xlfn.XLOOKUP($A34,Maestro_Equipos!$A:$A,Maestro_Equipos!$K:$K,""),"")</f>
        <v>0</v>
      </c>
      <c r="H34" s="69" t="str">
        <f t="shared" si="0"/>
        <v/>
      </c>
      <c r="I34" s="70" t="str">
        <f t="shared" ca="1" si="1"/>
        <v/>
      </c>
      <c r="J34" s="71" t="str">
        <f>IFERROR(INDEX(Maestro_Equipos!$V$4:$V$247,MATCH($A34,Maestro_Equipos!$A$4:$A$247,0)),"")</f>
        <v>Fuera de Servicio</v>
      </c>
      <c r="K34" s="72">
        <f>IFERROR(
   SUMIFS(Mantenciones!$I:$I,Mantenciones!$B:$B,$A34)
 + SUMIFS('Compras PM'!$F:$F,'Compras PM'!$C:$C,$A34),0)</f>
        <v>0</v>
      </c>
      <c r="L34" s="73" t="str">
        <f t="shared" si="2"/>
        <v>NO PROGRAMAR</v>
      </c>
      <c r="M34" s="74" t="str" cm="1">
        <f t="array" ref="M34">IFERROR(_xlfn.AGGREGATE(14,6,Mantenciones!$A$2:$A$9997/(Mantenciones!$B$2:$B$9997=$A34),1),"")</f>
        <v/>
      </c>
      <c r="N34" s="75" t="str" cm="1">
        <f t="array" ref="N34">IFERROR(_xlfn.AGGREGATE(14,6,'Compras PM'!$A$4:$A$10014/('Compras PM'!$C$4:$C$10014=$A34),1),"")</f>
        <v/>
      </c>
      <c r="O34" s="75" t="str">
        <f>IFERROR(VLOOKUP($A34,Maestro_Equipos!$A$4:$AG$247,27,FALSE()),"")</f>
        <v/>
      </c>
      <c r="P34" s="76" t="str">
        <f t="shared" ca="1" si="3"/>
        <v/>
      </c>
      <c r="Q34" s="76" t="str">
        <f t="shared" ca="1" si="4"/>
        <v/>
      </c>
      <c r="R34" s="73" t="str">
        <f t="shared" si="5"/>
        <v>SIN SALIDA</v>
      </c>
      <c r="S34" s="77" t="str">
        <f>IFERROR(VLOOKUP($A34,Maestro_Equipos!$A$4:$AG$247,33,FALSE()),"")</f>
        <v>No programar compra</v>
      </c>
    </row>
    <row r="35" spans="1:19" s="69" customFormat="1" hidden="1">
      <c r="A35" s="69" t="str" cm="1">
        <f t="array" ref="A35">IFERROR(INDEX(_xlfn._xlws.FILTER(Maestro_Equipos!$A$4:$A$247,Maestro_Equipos!$A$4:$A$247&lt;&gt;""),ROWS($A$4:A35)),"")</f>
        <v>VD-106</v>
      </c>
      <c r="B35" s="69" t="str">
        <f>IFERROR(_xlfn.XLOOKUP($A35,Maestro_Equipos!$A$4:$A$247,Maestro_Equipos!$B$4:$B$247,""),"")</f>
        <v>Camioneta</v>
      </c>
      <c r="C35" s="69" t="str">
        <f>IFERROR(_xlfn.XLOOKUP($A35,Maestro_Equipos!$A$4:$A$247,Maestro_Equipos!$C$4:$C$247,""),"")</f>
        <v>Vehículos Livianos</v>
      </c>
      <c r="D35" s="69" t="str">
        <f>IFERROR(VLOOKUP($A32,Maestro_Equipos!$A$4:$Z$247,9,FALSE),"")</f>
        <v>HORAS</v>
      </c>
      <c r="E35" s="69">
        <f>IFERROR(IF($D35="KM",_xlfn.XLOOKUP($A35,Maestro_Equipos!$A:$A,Maestro_Equipos!$N:$N,""),_xlfn.XLOOKUP($A35,Maestro_Equipos!$A:$A,Maestro_Equipos!$M:$M,"")),"")</f>
        <v>0</v>
      </c>
      <c r="F35" s="69" t="str">
        <f>IFERROR(_xlfn.XLOOKUP($A35,Maestro_Equipos!$A:$A,Maestro_Equipos!$R:$R,"")+_xlfn.XLOOKUP($A35,Maestro_Equipos!$A:$A,Maestro_Equipos!$J:$J,""),"")</f>
        <v/>
      </c>
      <c r="G35" s="69">
        <f>IFERROR(_xlfn.XLOOKUP($A35,Maestro_Equipos!$A:$A,Maestro_Equipos!$K:$K,""),"")</f>
        <v>0</v>
      </c>
      <c r="H35" s="69" t="str">
        <f t="shared" si="0"/>
        <v/>
      </c>
      <c r="I35" s="70" t="str">
        <f t="shared" ca="1" si="1"/>
        <v/>
      </c>
      <c r="J35" s="71" t="str">
        <f>IFERROR(INDEX(Maestro_Equipos!$V$4:$V$247,MATCH($A35,Maestro_Equipos!$A$4:$A$247,0)),"")</f>
        <v>Fuera de Servicio</v>
      </c>
      <c r="K35" s="72">
        <f>IFERROR(
   SUMIFS(Mantenciones!$I:$I,Mantenciones!$B:$B,$A35)
 + SUMIFS('Compras PM'!$F:$F,'Compras PM'!$C:$C,$A35),0)</f>
        <v>0</v>
      </c>
      <c r="L35" s="73" t="str">
        <f t="shared" si="2"/>
        <v>NO PROGRAMAR</v>
      </c>
      <c r="M35" s="74" t="str" cm="1">
        <f t="array" ref="M35">IFERROR(_xlfn.AGGREGATE(14,6,Mantenciones!$A$2:$A$9997/(Mantenciones!$B$2:$B$9997=$A35),1),"")</f>
        <v/>
      </c>
      <c r="N35" s="75" t="str" cm="1">
        <f t="array" ref="N35">IFERROR(_xlfn.AGGREGATE(14,6,'Compras PM'!$A$4:$A$10014/('Compras PM'!$C$4:$C$10014=$A35),1),"")</f>
        <v/>
      </c>
      <c r="O35" s="75" t="str">
        <f>IFERROR(VLOOKUP($A35,Maestro_Equipos!$A$4:$AG$247,27,FALSE()),"")</f>
        <v/>
      </c>
      <c r="P35" s="76" t="str">
        <f t="shared" ca="1" si="3"/>
        <v/>
      </c>
      <c r="Q35" s="76" t="str">
        <f t="shared" ca="1" si="4"/>
        <v/>
      </c>
      <c r="R35" s="73" t="str">
        <f t="shared" si="5"/>
        <v>SIN SALIDA</v>
      </c>
      <c r="S35" s="77" t="str">
        <f>IFERROR(VLOOKUP($A35,Maestro_Equipos!$A$4:$AG$247,33,FALSE()),"")</f>
        <v>No programar compra</v>
      </c>
    </row>
    <row r="36" spans="1:19" ht="18" customHeight="1">
      <c r="A36" t="str" cm="1">
        <f t="array" ref="A36">IFERROR(INDEX(_xlfn._xlws.FILTER(Maestro_Equipos!$A$4:$A$247,Maestro_Equipos!$A$4:$A$247&lt;&gt;""),ROWS($A$4:A36)),"")</f>
        <v>CD-100</v>
      </c>
      <c r="B36" t="str">
        <f>IFERROR(_xlfn.XLOOKUP($A36,Maestro_Equipos!$A$4:$A$247,Maestro_Equipos!$B$4:$B$247,""),"")</f>
        <v>Camión Slurry</v>
      </c>
      <c r="C36" t="str">
        <f>IFERROR(_xlfn.XLOOKUP($A36,Maestro_Equipos!$A$4:$A$247,Maestro_Equipos!$C$4:$C$247,""),"")</f>
        <v>Camiones de Ruta</v>
      </c>
      <c r="D36" t="str">
        <f>IFERROR(_xlfn.XLOOKUP($A36,Maestro_Equipos!$A:$A,Maestro_Equipos!$I:$I,""),"")</f>
        <v>HORAS</v>
      </c>
      <c r="E36">
        <f>IFERROR(IF($D36="KM",_xlfn.XLOOKUP($A36,Maestro_Equipos!$A:$A,Maestro_Equipos!$N:$N,""),_xlfn.XLOOKUP($A36,Maestro_Equipos!$A:$A,Maestro_Equipos!$M:$M,"")),"")</f>
        <v>28522</v>
      </c>
      <c r="F36">
        <f>IFERROR(_xlfn.XLOOKUP($A36,Maestro_Equipos!$A:$A,Maestro_Equipos!$R:$R,"")+_xlfn.XLOOKUP($A36,Maestro_Equipos!$A:$A,Maestro_Equipos!$J:$J,""),"")</f>
        <v>3132</v>
      </c>
      <c r="G36">
        <f>IFERROR(_xlfn.XLOOKUP($A36,Maestro_Equipos!$A:$A,Maestro_Equipos!$K:$K,""),"")</f>
        <v>16.5</v>
      </c>
      <c r="H36">
        <f t="shared" si="0"/>
        <v>-1539</v>
      </c>
      <c r="I36" s="41">
        <f t="shared" ca="1" si="1"/>
        <v>44606</v>
      </c>
      <c r="J36" s="5" t="str">
        <f>IFERROR(INDEX(Maestro_Equipos!$V$4:$V$247,MATCH($A36,Maestro_Equipos!$A$4:$A$247,0)),"")</f>
        <v>Operativo</v>
      </c>
      <c r="K36" s="37">
        <f>IFERROR(
   SUMIFS(Mantenciones!$I:$I,Mantenciones!$B:$B,$A36)
 + SUMIFS('Compras PM'!$F:$F,'Compras PM'!$C:$C,$A36),0)</f>
        <v>199255.98</v>
      </c>
      <c r="L36" s="30" t="str">
        <f t="shared" si="2"/>
        <v>VENCIDA</v>
      </c>
      <c r="M36" s="58" cm="1">
        <f t="array" ref="M36">IFERROR(_xlfn.AGGREGATE(14,6,Mantenciones!$A$2:$A$9997/(Mantenciones!$B$2:$B$9997=$A36),1),"")</f>
        <v>46113</v>
      </c>
      <c r="N36" s="31" cm="1">
        <f t="array" ref="N36">IFERROR(_xlfn.AGGREGATE(14,6,'Compras PM'!$A$4:$A$10014/('Compras PM'!$C$4:$C$10014=$A36),1),"")</f>
        <v>46085.626711226898</v>
      </c>
      <c r="O36" s="31">
        <f>IFERROR(VLOOKUP($A36,Maestro_Equipos!$A$4:$AG$247,27,FALSE()),"")</f>
        <v>46113</v>
      </c>
      <c r="P36" s="32">
        <f t="shared" ca="1" si="3"/>
        <v>27.373288773102104</v>
      </c>
      <c r="Q36" s="32">
        <f t="shared" ca="1" si="4"/>
        <v>0</v>
      </c>
      <c r="R36" s="30" t="str">
        <f t="shared" si="5"/>
        <v>REALIZADA</v>
      </c>
      <c r="S36" s="33" t="str">
        <f>IFERROR(VLOOKUP($A36,Maestro_Equipos!$A$4:$AG$247,33,FALSE()),"")</f>
        <v>Monitorear próximo vencimiento</v>
      </c>
    </row>
    <row r="37" spans="1:19" s="69" customFormat="1" ht="18" hidden="1" customHeight="1">
      <c r="A37" s="69" t="str" cm="1">
        <f t="array" ref="A37">IFERROR(INDEX(_xlfn._xlws.FILTER(Maestro_Equipos!$A$4:$A$247,Maestro_Equipos!$A$4:$A$247&lt;&gt;""),ROWS($A$4:A37)),"")</f>
        <v>CD-103</v>
      </c>
      <c r="B37" s="69" t="str">
        <f>IFERROR(_xlfn.XLOOKUP($A37,Maestro_Equipos!$A$4:$A$247,Maestro_Equipos!$B$4:$B$247,""),"")</f>
        <v>Camión Tolva</v>
      </c>
      <c r="C37" s="69" t="str">
        <f>IFERROR(_xlfn.XLOOKUP($A37,Maestro_Equipos!$A$4:$A$247,Maestro_Equipos!$C$4:$C$247,""),"")</f>
        <v>Camiones de Ruta</v>
      </c>
      <c r="D37" s="69" t="str">
        <f>IFERROR(VLOOKUP($A34,Maestro_Equipos!$A$4:$Z$247,9,FALSE),"")</f>
        <v>HORAS</v>
      </c>
      <c r="E37" s="69">
        <f>IFERROR(IF($D37="KM",_xlfn.XLOOKUP($A37,Maestro_Equipos!$A:$A,Maestro_Equipos!$N:$N,""),_xlfn.XLOOKUP($A37,Maestro_Equipos!$A:$A,Maestro_Equipos!$M:$M,"")),"")</f>
        <v>5327</v>
      </c>
      <c r="F37" s="69" t="str">
        <f>IFERROR(_xlfn.XLOOKUP($A37,Maestro_Equipos!$A:$A,Maestro_Equipos!$R:$R,"")+_xlfn.XLOOKUP($A37,Maestro_Equipos!$A:$A,Maestro_Equipos!$J:$J,""),"")</f>
        <v/>
      </c>
      <c r="G37" s="69">
        <f>IFERROR(_xlfn.XLOOKUP($A37,Maestro_Equipos!$A:$A,Maestro_Equipos!$K:$K,""),"")</f>
        <v>0</v>
      </c>
      <c r="H37" s="69" t="str">
        <f t="shared" si="0"/>
        <v/>
      </c>
      <c r="I37" s="70" t="str">
        <f t="shared" ca="1" si="1"/>
        <v/>
      </c>
      <c r="J37" s="71" t="str">
        <f>IFERROR(INDEX(Maestro_Equipos!$V$4:$V$247,MATCH($A37,Maestro_Equipos!$A$4:$A$247,0)),"")</f>
        <v>Fuera de Servicio</v>
      </c>
      <c r="K37" s="72">
        <f>IFERROR(
   SUMIFS(Mantenciones!$I:$I,Mantenciones!$B:$B,$A37)
 + SUMIFS('Compras PM'!$F:$F,'Compras PM'!$C:$C,$A37),0)</f>
        <v>63430.805899999999</v>
      </c>
      <c r="L37" s="73" t="str">
        <f t="shared" si="2"/>
        <v>NO PROGRAMAR</v>
      </c>
      <c r="M37" s="74" t="str" cm="1">
        <f t="array" ref="M37">IFERROR(_xlfn.AGGREGATE(14,6,Mantenciones!$A$2:$A$9997/(Mantenciones!$B$2:$B$9997=$A37),1),"")</f>
        <v/>
      </c>
      <c r="N37" s="75" cm="1">
        <f t="array" ref="N37">IFERROR(_xlfn.AGGREGATE(14,6,'Compras PM'!$A$4:$A$10014/('Compras PM'!$C$4:$C$10014=$A37),1),"")</f>
        <v>46093.460116550901</v>
      </c>
      <c r="O37" s="75" t="str">
        <f>IFERROR(VLOOKUP($A37,Maestro_Equipos!$A$4:$AG$247,27,FALSE()),"")</f>
        <v/>
      </c>
      <c r="P37" s="76">
        <f t="shared" ca="1" si="3"/>
        <v>51.539883449098852</v>
      </c>
      <c r="Q37" s="76" t="str">
        <f t="shared" ca="1" si="4"/>
        <v/>
      </c>
      <c r="R37" s="73" t="str">
        <f t="shared" si="5"/>
        <v>SIN SALIDA</v>
      </c>
      <c r="S37" s="77" t="str">
        <f>IFERROR(VLOOKUP($A37,Maestro_Equipos!$A$4:$AG$247,33,FALSE()),"")</f>
        <v>No programar compra</v>
      </c>
    </row>
    <row r="38" spans="1:19" s="69" customFormat="1" hidden="1">
      <c r="A38" s="69" t="str" cm="1">
        <f t="array" ref="A38">IFERROR(INDEX(_xlfn._xlws.FILTER(Maestro_Equipos!$A$4:$A$247,Maestro_Equipos!$A$4:$A$247&lt;&gt;""),ROWS($A$4:A38)),"")</f>
        <v>CD-111</v>
      </c>
      <c r="B38" s="69" t="str">
        <f>IFERROR(_xlfn.XLOOKUP($A38,Maestro_Equipos!$A$4:$A$247,Maestro_Equipos!$B$4:$B$247,""),"")</f>
        <v>Camión Plano</v>
      </c>
      <c r="C38" s="69" t="str">
        <f>IFERROR(_xlfn.XLOOKUP($A38,Maestro_Equipos!$A$4:$A$247,Maestro_Equipos!$C$4:$C$247,""),"")</f>
        <v>Camiones de Ruta</v>
      </c>
      <c r="D38" s="69" t="str">
        <f>IFERROR(VLOOKUP($A35,Maestro_Equipos!$A$4:$Z$247,9,FALSE),"")</f>
        <v>KM</v>
      </c>
      <c r="E38" s="69">
        <f>IFERROR(IF($D38="KM",_xlfn.XLOOKUP($A38,Maestro_Equipos!$A:$A,Maestro_Equipos!$N:$N,""),_xlfn.XLOOKUP($A38,Maestro_Equipos!$A:$A,Maestro_Equipos!$M:$M,"")),"")</f>
        <v>0</v>
      </c>
      <c r="F38" s="69" t="str">
        <f>IFERROR(_xlfn.XLOOKUP($A38,Maestro_Equipos!$A:$A,Maestro_Equipos!$R:$R,"")+_xlfn.XLOOKUP($A38,Maestro_Equipos!$A:$A,Maestro_Equipos!$J:$J,""),"")</f>
        <v/>
      </c>
      <c r="G38" s="69">
        <f>IFERROR(_xlfn.XLOOKUP($A38,Maestro_Equipos!$A:$A,Maestro_Equipos!$K:$K,""),"")</f>
        <v>0</v>
      </c>
      <c r="H38" s="69" t="str">
        <f t="shared" si="0"/>
        <v/>
      </c>
      <c r="I38" s="70" t="str">
        <f t="shared" ca="1" si="1"/>
        <v/>
      </c>
      <c r="J38" s="71" t="str">
        <f>IFERROR(INDEX(Maestro_Equipos!$V$4:$V$247,MATCH($A38,Maestro_Equipos!$A$4:$A$247,0)),"")</f>
        <v>Fuera de Servicio</v>
      </c>
      <c r="K38" s="72">
        <f>IFERROR(
   SUMIFS(Mantenciones!$I:$I,Mantenciones!$B:$B,$A38)
 + SUMIFS('Compras PM'!$F:$F,'Compras PM'!$C:$C,$A38),0)</f>
        <v>0</v>
      </c>
      <c r="L38" s="73" t="str">
        <f t="shared" si="2"/>
        <v>NO PROGRAMAR</v>
      </c>
      <c r="M38" s="74" t="str" cm="1">
        <f t="array" ref="M38">IFERROR(_xlfn.AGGREGATE(14,6,Mantenciones!$A$2:$A$9997/(Mantenciones!$B$2:$B$9997=$A38),1),"")</f>
        <v/>
      </c>
      <c r="N38" s="75" t="str" cm="1">
        <f t="array" ref="N38">IFERROR(_xlfn.AGGREGATE(14,6,'Compras PM'!$A$4:$A$10014/('Compras PM'!$C$4:$C$10014=$A38),1),"")</f>
        <v/>
      </c>
      <c r="O38" s="75" t="str">
        <f>IFERROR(VLOOKUP($A38,Maestro_Equipos!$A$4:$AG$247,27,FALSE()),"")</f>
        <v/>
      </c>
      <c r="P38" s="76" t="str">
        <f t="shared" ca="1" si="3"/>
        <v/>
      </c>
      <c r="Q38" s="76" t="str">
        <f t="shared" ca="1" si="4"/>
        <v/>
      </c>
      <c r="R38" s="73" t="str">
        <f t="shared" si="5"/>
        <v>SIN SALIDA</v>
      </c>
      <c r="S38" s="77" t="str">
        <f>IFERROR(VLOOKUP($A38,Maestro_Equipos!$A$4:$AG$247,33,FALSE()),"")</f>
        <v>No programar compra</v>
      </c>
    </row>
    <row r="39" spans="1:19" s="69" customFormat="1" ht="18" hidden="1" customHeight="1">
      <c r="A39" s="69" t="str" cm="1">
        <f t="array" ref="A39">IFERROR(INDEX(_xlfn._xlws.FILTER(Maestro_Equipos!$A$4:$A$247,Maestro_Equipos!$A$4:$A$247&lt;&gt;""),ROWS($A$4:A39)),"")</f>
        <v>CD-112</v>
      </c>
      <c r="B39" s="69" t="str">
        <f>IFERROR(_xlfn.XLOOKUP($A39,Maestro_Equipos!$A$4:$A$247,Maestro_Equipos!$B$4:$B$247,""),"")</f>
        <v>Camión Pintura</v>
      </c>
      <c r="C39" s="69" t="str">
        <f>IFERROR(_xlfn.XLOOKUP($A39,Maestro_Equipos!$A$4:$A$247,Maestro_Equipos!$C$4:$C$247,""),"")</f>
        <v>Camiones de Ruta</v>
      </c>
      <c r="D39" s="69" t="str">
        <f>IFERROR(VLOOKUP($A39,Maestro_Equipos!$A$4:$Z$247,9,FALSE),"")</f>
        <v>HORAS</v>
      </c>
      <c r="E39" s="69">
        <f>IFERROR(IF($D39="KM",_xlfn.XLOOKUP($A39,Maestro_Equipos!$A:$A,Maestro_Equipos!$N:$N,""),_xlfn.XLOOKUP($A39,Maestro_Equipos!$A:$A,Maestro_Equipos!$M:$M,"")),"")</f>
        <v>0</v>
      </c>
      <c r="F39" s="69" t="str">
        <f>IFERROR(_xlfn.XLOOKUP($A39,Maestro_Equipos!$A:$A,Maestro_Equipos!$R:$R,"")+_xlfn.XLOOKUP($A39,Maestro_Equipos!$A:$A,Maestro_Equipos!$J:$J,""),"")</f>
        <v/>
      </c>
      <c r="G39" s="69">
        <f>IFERROR(_xlfn.XLOOKUP($A39,Maestro_Equipos!$A:$A,Maestro_Equipos!$K:$K,""),"")</f>
        <v>0</v>
      </c>
      <c r="H39" s="69" t="str">
        <f t="shared" si="0"/>
        <v/>
      </c>
      <c r="I39" s="70" t="str">
        <f t="shared" ca="1" si="1"/>
        <v/>
      </c>
      <c r="J39" s="71" t="str">
        <f>IFERROR(INDEX(Maestro_Equipos!$V$4:$V$247,MATCH($A39,Maestro_Equipos!$A$4:$A$247,0)),"")</f>
        <v>Fuera de Servicio</v>
      </c>
      <c r="K39" s="72">
        <f>IFERROR(
   SUMIFS(Mantenciones!$I:$I,Mantenciones!$B:$B,$A39)
 + SUMIFS('Compras PM'!$F:$F,'Compras PM'!$C:$C,$A39),0)</f>
        <v>0</v>
      </c>
      <c r="L39" s="73" t="str">
        <f t="shared" si="2"/>
        <v>NO PROGRAMAR</v>
      </c>
      <c r="M39" s="74" t="str" cm="1">
        <f t="array" ref="M39">IFERROR(_xlfn.AGGREGATE(14,6,Mantenciones!$A$2:$A$9997/(Mantenciones!$B$2:$B$9997=$A39),1),"")</f>
        <v/>
      </c>
      <c r="N39" s="75" t="str" cm="1">
        <f t="array" ref="N39">IFERROR(_xlfn.AGGREGATE(14,6,'Compras PM'!$A$4:$A$10014/('Compras PM'!$C$4:$C$10014=$A39),1),"")</f>
        <v/>
      </c>
      <c r="O39" s="75" t="str">
        <f>IFERROR(VLOOKUP($A39,Maestro_Equipos!$A$4:$AG$247,27,FALSE()),"")</f>
        <v/>
      </c>
      <c r="P39" s="76" t="str">
        <f t="shared" ca="1" si="3"/>
        <v/>
      </c>
      <c r="Q39" s="76" t="str">
        <f t="shared" ca="1" si="4"/>
        <v/>
      </c>
      <c r="R39" s="73" t="str">
        <f t="shared" si="5"/>
        <v>SIN SALIDA</v>
      </c>
      <c r="S39" s="77" t="str">
        <f>IFERROR(VLOOKUP($A39,Maestro_Equipos!$A$4:$AG$247,33,FALSE()),"")</f>
        <v>No programar compra</v>
      </c>
    </row>
    <row r="40" spans="1:19">
      <c r="A40" t="str" cm="1">
        <f t="array" ref="A40">IFERROR(INDEX(_xlfn._xlws.FILTER(Maestro_Equipos!$A$4:$A$247,Maestro_Equipos!$A$4:$A$247&lt;&gt;""),ROWS($A$4:A40)),"")</f>
        <v>CD-126</v>
      </c>
      <c r="B40" t="str">
        <f>IFERROR(_xlfn.XLOOKUP($A40,Maestro_Equipos!$A$4:$A$247,Maestro_Equipos!$B$4:$B$247,""),"")</f>
        <v>Camión Maxus</v>
      </c>
      <c r="C40" t="str">
        <f>IFERROR(_xlfn.XLOOKUP($A40,Maestro_Equipos!$A$4:$A$247,Maestro_Equipos!$C$4:$C$247,""),"")</f>
        <v>Camiones de Ruta</v>
      </c>
      <c r="D40" t="str">
        <f>IFERROR(_xlfn.XLOOKUP($A40,Maestro_Equipos!$A:$A,Maestro_Equipos!$I:$I,""),"")</f>
        <v>HORAS</v>
      </c>
      <c r="E40">
        <f>IFERROR(IF($D40="KM",_xlfn.XLOOKUP($A40,Maestro_Equipos!$A:$A,Maestro_Equipos!$N:$N,""),_xlfn.XLOOKUP($A40,Maestro_Equipos!$A:$A,Maestro_Equipos!$M:$M,"")),"")</f>
        <v>0</v>
      </c>
      <c r="F40" t="str">
        <f>IFERROR(_xlfn.XLOOKUP($A40,Maestro_Equipos!$A:$A,Maestro_Equipos!$R:$R,"")+_xlfn.XLOOKUP($A40,Maestro_Equipos!$A:$A,Maestro_Equipos!$J:$J,""),"")</f>
        <v/>
      </c>
      <c r="G40">
        <f>IFERROR(_xlfn.XLOOKUP($A40,Maestro_Equipos!$A:$A,Maestro_Equipos!$K:$K,""),"")</f>
        <v>0</v>
      </c>
      <c r="H40" t="str">
        <f t="shared" si="0"/>
        <v/>
      </c>
      <c r="I40" s="41" t="str">
        <f t="shared" ca="1" si="1"/>
        <v/>
      </c>
      <c r="J40" s="5" t="str">
        <f>IFERROR(INDEX(Maestro_Equipos!$V$4:$V$247,MATCH($A40,Maestro_Equipos!$A$4:$A$247,0)),"")</f>
        <v>Operativo</v>
      </c>
      <c r="K40" s="37">
        <f>IFERROR(
   SUMIFS(Mantenciones!$I:$I,Mantenciones!$B:$B,$A40)
 + SUMIFS('Compras PM'!$F:$F,'Compras PM'!$C:$C,$A40),0)</f>
        <v>0</v>
      </c>
      <c r="L40" s="30" t="str">
        <f t="shared" si="2"/>
        <v>SIN DATOS</v>
      </c>
      <c r="M40" s="58" t="str" cm="1">
        <f t="array" ref="M40">IFERROR(_xlfn.AGGREGATE(14,6,Mantenciones!$A$2:$A$9997/(Mantenciones!$B$2:$B$9997=$A40),1),"")</f>
        <v/>
      </c>
      <c r="N40" s="31" t="str" cm="1">
        <f t="array" ref="N40">IFERROR(_xlfn.AGGREGATE(14,6,'Compras PM'!$A$4:$A$10014/('Compras PM'!$C$4:$C$10014=$A40),1),"")</f>
        <v/>
      </c>
      <c r="O40" s="31" t="str">
        <f>IFERROR(VLOOKUP($A40,Maestro_Equipos!$A$4:$AG$247,27,FALSE()),"")</f>
        <v/>
      </c>
      <c r="P40" s="32" t="str">
        <f t="shared" ca="1" si="3"/>
        <v/>
      </c>
      <c r="Q40" s="32" t="str">
        <f t="shared" ca="1" si="4"/>
        <v/>
      </c>
      <c r="R40" s="30" t="str">
        <f t="shared" si="5"/>
        <v>SIN SALIDA</v>
      </c>
      <c r="S40" s="33" t="str">
        <f>IFERROR(VLOOKUP($A40,Maestro_Equipos!$A$4:$AG$247,33,FALSE()),"")</f>
        <v>Monitorear próximo vencimiento</v>
      </c>
    </row>
    <row r="41" spans="1:19" ht="15" hidden="1" customHeight="1">
      <c r="A41" t="str" cm="1">
        <f t="array" ref="A41">IFERROR(INDEX(_xlfn._xlws.FILTER(Maestro_Equipos!$A$4:$A$247,Maestro_Equipos!$A$4:$A$247&lt;&gt;""),ROWS($A$4:A41)),"")</f>
        <v>CD-129</v>
      </c>
      <c r="B41" t="str">
        <f>IFERROR(_xlfn.XLOOKUP($A41,Maestro_Equipos!$A$4:$A$247,Maestro_Equipos!$B$4:$B$247,""),"")</f>
        <v>Camión Aljibe</v>
      </c>
      <c r="C41" t="str">
        <f>IFERROR(_xlfn.XLOOKUP($A41,Maestro_Equipos!$A$4:$A$247,Maestro_Equipos!$C$4:$C$247,""),"")</f>
        <v>Camiones de Ruta</v>
      </c>
      <c r="D41" t="str">
        <f>IFERROR(VLOOKUP($A38,Maestro_Equipos!$A$4:$Z$247,9,FALSE),"")</f>
        <v>HORAS</v>
      </c>
      <c r="E41">
        <f>IFERROR(IF($D41="KM",_xlfn.XLOOKUP($A41,Maestro_Equipos!$A:$A,Maestro_Equipos!$N:$N,""),_xlfn.XLOOKUP($A41,Maestro_Equipos!$A:$A,Maestro_Equipos!$M:$M,"")),"")</f>
        <v>0</v>
      </c>
      <c r="F41" t="str">
        <f>IFERROR(_xlfn.XLOOKUP($A41,Maestro_Equipos!$A:$A,Maestro_Equipos!$R:$R,"")+_xlfn.XLOOKUP($A41,Maestro_Equipos!$A:$A,Maestro_Equipos!$J:$J,""),"")</f>
        <v/>
      </c>
      <c r="G41">
        <f>IFERROR(_xlfn.XLOOKUP($A41,Maestro_Equipos!$A:$A,Maestro_Equipos!$K:$K,""),"")</f>
        <v>0</v>
      </c>
      <c r="H41" t="str">
        <f t="shared" si="0"/>
        <v/>
      </c>
      <c r="I41" s="41" t="str">
        <f t="shared" ca="1" si="1"/>
        <v/>
      </c>
      <c r="J41" s="5" t="str">
        <f>IFERROR(INDEX(Maestro_Equipos!$V$4:$V$247,MATCH($A41,Maestro_Equipos!$A$4:$A$247,0)),"")</f>
        <v>Fuera de Servicio</v>
      </c>
      <c r="K41" s="37">
        <f>IFERROR(
   SUMIFS(Mantenciones!$I:$I,Mantenciones!$B:$B,$A41)
 + SUMIFS('Compras PM'!$F:$F,'Compras PM'!$C:$C,$A41),0)</f>
        <v>0</v>
      </c>
      <c r="L41" s="30" t="str">
        <f t="shared" si="2"/>
        <v>NO PROGRAMAR</v>
      </c>
      <c r="M41" s="58" t="str" cm="1">
        <f t="array" ref="M41">IFERROR(_xlfn.AGGREGATE(14,6,Mantenciones!$A$2:$A$9997/(Mantenciones!$B$2:$B$9997=$A41),1),"")</f>
        <v/>
      </c>
      <c r="N41" s="31" t="str" cm="1">
        <f t="array" ref="N41">IFERROR(_xlfn.AGGREGATE(14,6,'Compras PM'!$A$4:$A$10014/('Compras PM'!$C$4:$C$10014=$A41),1),"")</f>
        <v/>
      </c>
      <c r="O41" s="31" t="str">
        <f>IFERROR(VLOOKUP($A41,Maestro_Equipos!$A$4:$AG$247,27,FALSE()),"")</f>
        <v/>
      </c>
      <c r="P41" s="32" t="str">
        <f t="shared" ca="1" si="3"/>
        <v/>
      </c>
      <c r="Q41" s="32" t="str">
        <f t="shared" ca="1" si="4"/>
        <v/>
      </c>
      <c r="R41" s="30" t="str">
        <f t="shared" si="5"/>
        <v>SIN SALIDA</v>
      </c>
      <c r="S41" s="33" t="str">
        <f>IFERROR(VLOOKUP($A41,Maestro_Equipos!$A$4:$AG$247,33,FALSE()),"")</f>
        <v>No programar compra</v>
      </c>
    </row>
    <row r="42" spans="1:19" s="69" customFormat="1" ht="18" hidden="1" customHeight="1">
      <c r="A42" s="69" t="str" cm="1">
        <f t="array" ref="A42">IFERROR(INDEX(_xlfn._xlws.FILTER(Maestro_Equipos!$A$4:$A$247,Maestro_Equipos!$A$4:$A$247&lt;&gt;""),ROWS($A$4:A42)),"")</f>
        <v>CD-133</v>
      </c>
      <c r="B42" s="69" t="str">
        <f>IFERROR(_xlfn.XLOOKUP($A42,Maestro_Equipos!$A$4:$A$247,Maestro_Equipos!$B$4:$B$247,""),"")</f>
        <v>Camión Plano</v>
      </c>
      <c r="C42" s="69" t="str">
        <f>IFERROR(_xlfn.XLOOKUP($A42,Maestro_Equipos!$A$4:$A$247,Maestro_Equipos!$C$4:$C$247,""),"")</f>
        <v>Camiones de Ruta</v>
      </c>
      <c r="D42" s="69" t="str">
        <f>IFERROR(VLOOKUP($A39,Maestro_Equipos!$A$4:$Z$247,9,FALSE),"")</f>
        <v>HORAS</v>
      </c>
      <c r="E42" s="69">
        <f>IFERROR(IF($D42="KM",_xlfn.XLOOKUP($A42,Maestro_Equipos!$A:$A,Maestro_Equipos!$N:$N,""),_xlfn.XLOOKUP($A42,Maestro_Equipos!$A:$A,Maestro_Equipos!$M:$M,"")),"")</f>
        <v>0</v>
      </c>
      <c r="F42" s="69" t="str">
        <f>IFERROR(_xlfn.XLOOKUP($A42,Maestro_Equipos!$A:$A,Maestro_Equipos!$R:$R,"")+_xlfn.XLOOKUP($A42,Maestro_Equipos!$A:$A,Maestro_Equipos!$J:$J,""),"")</f>
        <v/>
      </c>
      <c r="G42" s="69">
        <f>IFERROR(_xlfn.XLOOKUP($A42,Maestro_Equipos!$A:$A,Maestro_Equipos!$K:$K,""),"")</f>
        <v>0</v>
      </c>
      <c r="H42" s="69" t="str">
        <f t="shared" si="0"/>
        <v/>
      </c>
      <c r="I42" s="70" t="str">
        <f t="shared" ca="1" si="1"/>
        <v/>
      </c>
      <c r="J42" s="71" t="str">
        <f>IFERROR(INDEX(Maestro_Equipos!$V$4:$V$247,MATCH($A42,Maestro_Equipos!$A$4:$A$247,0)),"")</f>
        <v>Fuera de Servicio</v>
      </c>
      <c r="K42" s="72">
        <f>IFERROR(
   SUMIFS(Mantenciones!$I:$I,Mantenciones!$B:$B,$A42)
 + SUMIFS('Compras PM'!$F:$F,'Compras PM'!$C:$C,$A42),0)</f>
        <v>0</v>
      </c>
      <c r="L42" s="73" t="str">
        <f t="shared" si="2"/>
        <v>NO PROGRAMAR</v>
      </c>
      <c r="M42" s="74" t="str" cm="1">
        <f t="array" ref="M42">IFERROR(_xlfn.AGGREGATE(14,6,Mantenciones!$A$2:$A$9997/(Mantenciones!$B$2:$B$9997=$A42),1),"")</f>
        <v/>
      </c>
      <c r="N42" s="75" t="str" cm="1">
        <f t="array" ref="N42">IFERROR(_xlfn.AGGREGATE(14,6,'Compras PM'!$A$4:$A$10014/('Compras PM'!$C$4:$C$10014=$A42),1),"")</f>
        <v/>
      </c>
      <c r="O42" s="75" t="str">
        <f>IFERROR(VLOOKUP($A42,Maestro_Equipos!$A$4:$AG$247,27,FALSE()),"")</f>
        <v/>
      </c>
      <c r="P42" s="76" t="str">
        <f t="shared" ca="1" si="3"/>
        <v/>
      </c>
      <c r="Q42" s="76" t="str">
        <f t="shared" ca="1" si="4"/>
        <v/>
      </c>
      <c r="R42" s="73" t="str">
        <f t="shared" si="5"/>
        <v>SIN SALIDA</v>
      </c>
      <c r="S42" s="77" t="str">
        <f>IFERROR(VLOOKUP($A42,Maestro_Equipos!$A$4:$AG$247,33,FALSE()),"")</f>
        <v>No programar compra</v>
      </c>
    </row>
    <row r="43" spans="1:19" s="69" customFormat="1" ht="15" hidden="1" customHeight="1">
      <c r="A43" s="69" t="str" cm="1">
        <f t="array" ref="A43">IFERROR(INDEX(_xlfn._xlws.FILTER(Maestro_Equipos!$A$4:$A$247,Maestro_Equipos!$A$4:$A$247&lt;&gt;""),ROWS($A$4:A43)),"")</f>
        <v>CD-135</v>
      </c>
      <c r="B43" s="69" t="str">
        <f>IFERROR(_xlfn.XLOOKUP($A43,Maestro_Equipos!$A$4:$A$247,Maestro_Equipos!$B$4:$B$247,""),"")</f>
        <v>Camión Plano</v>
      </c>
      <c r="C43" s="69" t="str">
        <f>IFERROR(_xlfn.XLOOKUP($A43,Maestro_Equipos!$A$4:$A$247,Maestro_Equipos!$C$4:$C$247,""),"")</f>
        <v>Camiones de Ruta</v>
      </c>
      <c r="D43" s="69" t="str">
        <f>IFERROR(VLOOKUP($A40,Maestro_Equipos!$A$4:$Z$247,9,FALSE),"")</f>
        <v>HORAS</v>
      </c>
      <c r="E43" s="69">
        <f>IFERROR(IF($D43="KM",_xlfn.XLOOKUP($A43,Maestro_Equipos!$A:$A,Maestro_Equipos!$N:$N,""),_xlfn.XLOOKUP($A43,Maestro_Equipos!$A:$A,Maestro_Equipos!$M:$M,"")),"")</f>
        <v>0</v>
      </c>
      <c r="F43" s="69" t="str">
        <f>IFERROR(_xlfn.XLOOKUP($A43,Maestro_Equipos!$A:$A,Maestro_Equipos!$R:$R,"")+_xlfn.XLOOKUP($A43,Maestro_Equipos!$A:$A,Maestro_Equipos!$J:$J,""),"")</f>
        <v/>
      </c>
      <c r="G43" s="69">
        <f>IFERROR(_xlfn.XLOOKUP($A43,Maestro_Equipos!$A:$A,Maestro_Equipos!$K:$K,""),"")</f>
        <v>0</v>
      </c>
      <c r="H43" s="69" t="str">
        <f t="shared" si="0"/>
        <v/>
      </c>
      <c r="I43" s="70" t="str">
        <f t="shared" ca="1" si="1"/>
        <v/>
      </c>
      <c r="J43" s="71" t="str">
        <f>IFERROR(INDEX(Maestro_Equipos!$V$4:$V$247,MATCH($A43,Maestro_Equipos!$A$4:$A$247,0)),"")</f>
        <v>Fuera de Servicio</v>
      </c>
      <c r="K43" s="72">
        <f>IFERROR(
   SUMIFS(Mantenciones!$I:$I,Mantenciones!$B:$B,$A43)
 + SUMIFS('Compras PM'!$F:$F,'Compras PM'!$C:$C,$A43),0)</f>
        <v>0</v>
      </c>
      <c r="L43" s="73" t="str">
        <f t="shared" si="2"/>
        <v>NO PROGRAMAR</v>
      </c>
      <c r="M43" s="74" t="str" cm="1">
        <f t="array" ref="M43">IFERROR(_xlfn.AGGREGATE(14,6,Mantenciones!$A$2:$A$9997/(Mantenciones!$B$2:$B$9997=$A43),1),"")</f>
        <v/>
      </c>
      <c r="N43" s="75" t="str" cm="1">
        <f t="array" ref="N43">IFERROR(_xlfn.AGGREGATE(14,6,'Compras PM'!$A$4:$A$10014/('Compras PM'!$C$4:$C$10014=$A43),1),"")</f>
        <v/>
      </c>
      <c r="O43" s="75" t="str">
        <f>IFERROR(VLOOKUP($A43,Maestro_Equipos!$A$4:$AG$247,27,FALSE()),"")</f>
        <v/>
      </c>
      <c r="P43" s="76" t="str">
        <f t="shared" ca="1" si="3"/>
        <v/>
      </c>
      <c r="Q43" s="76" t="str">
        <f t="shared" ca="1" si="4"/>
        <v/>
      </c>
      <c r="R43" s="73" t="str">
        <f t="shared" si="5"/>
        <v>SIN SALIDA</v>
      </c>
      <c r="S43" s="77" t="str">
        <f>IFERROR(VLOOKUP($A43,Maestro_Equipos!$A$4:$AG$247,33,FALSE()),"")</f>
        <v>No programar compra</v>
      </c>
    </row>
    <row r="44" spans="1:19" s="69" customFormat="1" hidden="1">
      <c r="A44" s="69" t="str" cm="1">
        <f t="array" ref="A44">IFERROR(INDEX(_xlfn._xlws.FILTER(Maestro_Equipos!$A$4:$A$247,Maestro_Equipos!$A$4:$A$247&lt;&gt;""),ROWS($A$4:A44)),"")</f>
        <v>CD-139</v>
      </c>
      <c r="B44" s="69" t="str">
        <f>IFERROR(_xlfn.XLOOKUP($A44,Maestro_Equipos!$A$4:$A$247,Maestro_Equipos!$B$4:$B$247,""),"")</f>
        <v>Camion Plano</v>
      </c>
      <c r="C44" s="69" t="str">
        <f>IFERROR(_xlfn.XLOOKUP($A44,Maestro_Equipos!$A$4:$A$247,Maestro_Equipos!$C$4:$C$247,""),"")</f>
        <v>Maquinaria Pesada</v>
      </c>
      <c r="D44" s="69" t="str">
        <f>IFERROR(VLOOKUP($A41,Maestro_Equipos!$A$4:$Z$247,9,FALSE),"")</f>
        <v>HORAS</v>
      </c>
      <c r="E44" s="69">
        <f>IFERROR(IF($D44="KM",_xlfn.XLOOKUP($A44,Maestro_Equipos!$A:$A,Maestro_Equipos!$N:$N,""),_xlfn.XLOOKUP($A44,Maestro_Equipos!$A:$A,Maestro_Equipos!$M:$M,"")),"")</f>
        <v>0</v>
      </c>
      <c r="F44" s="69" t="str">
        <f>IFERROR(_xlfn.XLOOKUP($A44,Maestro_Equipos!$A:$A,Maestro_Equipos!$R:$R,"")+_xlfn.XLOOKUP($A44,Maestro_Equipos!$A:$A,Maestro_Equipos!$J:$J,""),"")</f>
        <v/>
      </c>
      <c r="G44" s="69">
        <f>IFERROR(_xlfn.XLOOKUP($A44,Maestro_Equipos!$A:$A,Maestro_Equipos!$K:$K,""),"")</f>
        <v>0</v>
      </c>
      <c r="H44" s="69" t="str">
        <f t="shared" si="0"/>
        <v/>
      </c>
      <c r="I44" s="70" t="str">
        <f t="shared" ca="1" si="1"/>
        <v/>
      </c>
      <c r="J44" s="71" t="str">
        <f>IFERROR(INDEX(Maestro_Equipos!$V$4:$V$247,MATCH($A44,Maestro_Equipos!$A$4:$A$247,0)),"")</f>
        <v>Fuera de Servicio</v>
      </c>
      <c r="K44" s="72">
        <f>IFERROR(
   SUMIFS(Mantenciones!$I:$I,Mantenciones!$B:$B,$A44)
 + SUMIFS('Compras PM'!$F:$F,'Compras PM'!$C:$C,$A44),0)</f>
        <v>0</v>
      </c>
      <c r="L44" s="73" t="str">
        <f t="shared" si="2"/>
        <v>NO PROGRAMAR</v>
      </c>
      <c r="M44" s="74" t="str" cm="1">
        <f t="array" ref="M44">IFERROR(_xlfn.AGGREGATE(14,6,Mantenciones!$A$2:$A$9997/(Mantenciones!$B$2:$B$9997=$A44),1),"")</f>
        <v/>
      </c>
      <c r="N44" s="75" t="str" cm="1">
        <f t="array" ref="N44">IFERROR(_xlfn.AGGREGATE(14,6,'Compras PM'!$A$4:$A$10014/('Compras PM'!$C$4:$C$10014=$A44),1),"")</f>
        <v/>
      </c>
      <c r="O44" s="75" t="str">
        <f>IFERROR(VLOOKUP($A44,Maestro_Equipos!$A$4:$AG$247,27,FALSE()),"")</f>
        <v/>
      </c>
      <c r="P44" s="76" t="str">
        <f t="shared" ca="1" si="3"/>
        <v/>
      </c>
      <c r="Q44" s="76" t="str">
        <f t="shared" ca="1" si="4"/>
        <v/>
      </c>
      <c r="R44" s="73" t="str">
        <f t="shared" si="5"/>
        <v>SIN SALIDA</v>
      </c>
      <c r="S44" s="77" t="str">
        <f>IFERROR(VLOOKUP($A44,Maestro_Equipos!$A$4:$AG$247,33,FALSE()),"")</f>
        <v>No programar compra</v>
      </c>
    </row>
    <row r="45" spans="1:19" ht="15" customHeight="1">
      <c r="A45" t="str" cm="1">
        <f t="array" ref="A45">IFERROR(INDEX(_xlfn._xlws.FILTER(Maestro_Equipos!$A$4:$A$247,Maestro_Equipos!$A$4:$A$247&lt;&gt;""),ROWS($A$4:A45)),"")</f>
        <v>CD-141</v>
      </c>
      <c r="B45" t="str">
        <f>IFERROR(_xlfn.XLOOKUP($A45,Maestro_Equipos!$A$4:$A$247,Maestro_Equipos!$B$4:$B$247,""),"")</f>
        <v>Camion Mixer</v>
      </c>
      <c r="C45" t="str">
        <f>IFERROR(_xlfn.XLOOKUP($A45,Maestro_Equipos!$A$4:$A$247,Maestro_Equipos!$C$4:$C$247,""),"")</f>
        <v>Maquinaria Pesada</v>
      </c>
      <c r="D45" t="str">
        <f>IFERROR(_xlfn.XLOOKUP($A45,Maestro_Equipos!$A:$A,Maestro_Equipos!$I:$I,""),"")</f>
        <v>HORAS</v>
      </c>
      <c r="E45">
        <f>IFERROR(IF($D45="KM",_xlfn.XLOOKUP($A45,Maestro_Equipos!$A:$A,Maestro_Equipos!$N:$N,""),_xlfn.XLOOKUP($A45,Maestro_Equipos!$A:$A,Maestro_Equipos!$M:$M,"")),"")</f>
        <v>0</v>
      </c>
      <c r="F45" t="str">
        <f>IFERROR(_xlfn.XLOOKUP($A45,Maestro_Equipos!$A:$A,Maestro_Equipos!$R:$R,"")+_xlfn.XLOOKUP($A45,Maestro_Equipos!$A:$A,Maestro_Equipos!$J:$J,""),"")</f>
        <v/>
      </c>
      <c r="G45">
        <f>IFERROR(_xlfn.XLOOKUP($A45,Maestro_Equipos!$A:$A,Maestro_Equipos!$K:$K,""),"")</f>
        <v>0</v>
      </c>
      <c r="H45" t="str">
        <f t="shared" si="0"/>
        <v/>
      </c>
      <c r="I45" s="41" t="str">
        <f t="shared" ca="1" si="1"/>
        <v/>
      </c>
      <c r="J45" s="5" t="str">
        <f>IFERROR(INDEX(Maestro_Equipos!$V$4:$V$247,MATCH($A45,Maestro_Equipos!$A$4:$A$247,0)),"")</f>
        <v>Operativo</v>
      </c>
      <c r="K45" s="37">
        <f>IFERROR(
   SUMIFS(Mantenciones!$I:$I,Mantenciones!$B:$B,$A45)
 + SUMIFS('Compras PM'!$F:$F,'Compras PM'!$C:$C,$A45),0)</f>
        <v>0</v>
      </c>
      <c r="L45" s="30" t="str">
        <f t="shared" si="2"/>
        <v>SIN DATOS</v>
      </c>
      <c r="M45" s="58" t="str" cm="1">
        <f t="array" ref="M45">IFERROR(_xlfn.AGGREGATE(14,6,Mantenciones!$A$2:$A$9997/(Mantenciones!$B$2:$B$9997=$A45),1),"")</f>
        <v/>
      </c>
      <c r="N45" s="31" t="str" cm="1">
        <f t="array" ref="N45">IFERROR(_xlfn.AGGREGATE(14,6,'Compras PM'!$A$4:$A$10014/('Compras PM'!$C$4:$C$10014=$A45),1),"")</f>
        <v/>
      </c>
      <c r="O45" s="31" t="str">
        <f>IFERROR(VLOOKUP($A45,Maestro_Equipos!$A$4:$AG$247,27,FALSE()),"")</f>
        <v/>
      </c>
      <c r="P45" s="32" t="str">
        <f t="shared" ca="1" si="3"/>
        <v/>
      </c>
      <c r="Q45" s="32" t="str">
        <f t="shared" ca="1" si="4"/>
        <v/>
      </c>
      <c r="R45" s="30" t="str">
        <f t="shared" si="5"/>
        <v>SIN SALIDA</v>
      </c>
      <c r="S45" s="33" t="str">
        <f>IFERROR(VLOOKUP($A45,Maestro_Equipos!$A$4:$AG$247,33,FALSE()),"")</f>
        <v>Monitorear próximo vencimiento</v>
      </c>
    </row>
    <row r="46" spans="1:19" ht="15.75" customHeight="1">
      <c r="A46" t="str" cm="1">
        <f t="array" ref="A46">IFERROR(INDEX(_xlfn._xlws.FILTER(Maestro_Equipos!$A$4:$A$247,Maestro_Equipos!$A$4:$A$247&lt;&gt;""),ROWS($A$4:A46)),"")</f>
        <v>CD-142</v>
      </c>
      <c r="B46" t="str">
        <f>IFERROR(_xlfn.XLOOKUP($A46,Maestro_Equipos!$A$4:$A$247,Maestro_Equipos!$B$4:$B$247,""),"")</f>
        <v>Camion Mixer</v>
      </c>
      <c r="C46" t="str">
        <f>IFERROR(_xlfn.XLOOKUP($A46,Maestro_Equipos!$A$4:$A$247,Maestro_Equipos!$C$4:$C$247,""),"")</f>
        <v>Maquinaria Pesada</v>
      </c>
      <c r="D46" t="str">
        <f>IFERROR(_xlfn.XLOOKUP($A46,Maestro_Equipos!$A:$A,Maestro_Equipos!$I:$I,""),"")</f>
        <v>HORAS</v>
      </c>
      <c r="E46">
        <f>IFERROR(IF($D46="KM",_xlfn.XLOOKUP($A46,Maestro_Equipos!$A:$A,Maestro_Equipos!$N:$N,""),_xlfn.XLOOKUP($A46,Maestro_Equipos!$A:$A,Maestro_Equipos!$M:$M,"")),"")</f>
        <v>0</v>
      </c>
      <c r="F46">
        <f>IFERROR(_xlfn.XLOOKUP($A46,Maestro_Equipos!$A:$A,Maestro_Equipos!$R:$R,"")+_xlfn.XLOOKUP($A46,Maestro_Equipos!$A:$A,Maestro_Equipos!$J:$J,""),"")</f>
        <v>332141</v>
      </c>
      <c r="G46">
        <f>IFERROR(_xlfn.XLOOKUP($A46,Maestro_Equipos!$A:$A,Maestro_Equipos!$K:$K,""),"")</f>
        <v>0</v>
      </c>
      <c r="H46" t="str">
        <f t="shared" si="0"/>
        <v/>
      </c>
      <c r="I46" s="41" t="str">
        <f t="shared" ca="1" si="1"/>
        <v/>
      </c>
      <c r="J46" s="5" t="str">
        <f>IFERROR(INDEX(Maestro_Equipos!$V$4:$V$247,MATCH($A46,Maestro_Equipos!$A$4:$A$247,0)),"")</f>
        <v>Operativo</v>
      </c>
      <c r="K46" s="37">
        <f>IFERROR(
   SUMIFS(Mantenciones!$I:$I,Mantenciones!$B:$B,$A46)
 + SUMIFS('Compras PM'!$F:$F,'Compras PM'!$C:$C,$A46),0)</f>
        <v>0</v>
      </c>
      <c r="L46" s="30" t="str">
        <f t="shared" si="2"/>
        <v>SIN DATOS</v>
      </c>
      <c r="M46" s="58" cm="1">
        <f t="array" ref="M46">IFERROR(_xlfn.AGGREGATE(14,6,Mantenciones!$A$2:$A$9997/(Mantenciones!$B$2:$B$9997=$A46),1),"")</f>
        <v>46028</v>
      </c>
      <c r="N46" s="31" t="str" cm="1">
        <f t="array" ref="N46">IFERROR(_xlfn.AGGREGATE(14,6,'Compras PM'!$A$4:$A$10014/('Compras PM'!$C$4:$C$10014=$A46),1),"")</f>
        <v/>
      </c>
      <c r="O46" s="31" t="str">
        <f>IFERROR(VLOOKUP($A46,Maestro_Equipos!$A$4:$AG$247,27,FALSE()),"")</f>
        <v/>
      </c>
      <c r="P46" s="32" t="str">
        <f t="shared" ca="1" si="3"/>
        <v/>
      </c>
      <c r="Q46" s="32" t="str">
        <f t="shared" ca="1" si="4"/>
        <v/>
      </c>
      <c r="R46" s="30" t="str">
        <f t="shared" si="5"/>
        <v>SIN SALIDA</v>
      </c>
      <c r="S46" s="33" t="str">
        <f>IFERROR(VLOOKUP($A46,Maestro_Equipos!$A$4:$AG$247,33,FALSE()),"")</f>
        <v>Monitorear próximo vencimiento</v>
      </c>
    </row>
    <row r="47" spans="1:19" s="69" customFormat="1" ht="18" hidden="1" customHeight="1">
      <c r="A47" s="69" t="str" cm="1">
        <f t="array" ref="A47">IFERROR(INDEX(_xlfn._xlws.FILTER(Maestro_Equipos!$A$4:$A$247,Maestro_Equipos!$A$4:$A$247&lt;&gt;""),ROWS($A$4:A47)),"")</f>
        <v>CD-57</v>
      </c>
      <c r="B47" s="69" t="str">
        <f>IFERROR(_xlfn.XLOOKUP($A47,Maestro_Equipos!$A$4:$A$247,Maestro_Equipos!$B$4:$B$247,""),"")</f>
        <v>Camión Plano</v>
      </c>
      <c r="C47" s="69" t="str">
        <f>IFERROR(_xlfn.XLOOKUP($A47,Maestro_Equipos!$A$4:$A$247,Maestro_Equipos!$C$4:$C$247,""),"")</f>
        <v>Camiones de Ruta</v>
      </c>
      <c r="D47" s="69" t="str">
        <f>IFERROR(VLOOKUP($A44,Maestro_Equipos!$A$4:$Z$247,9,FALSE),"")</f>
        <v>HORAS</v>
      </c>
      <c r="E47" s="69">
        <f>IFERROR(IF($D47="KM",_xlfn.XLOOKUP($A47,Maestro_Equipos!$A:$A,Maestro_Equipos!$N:$N,""),_xlfn.XLOOKUP($A47,Maestro_Equipos!$A:$A,Maestro_Equipos!$M:$M,"")),"")</f>
        <v>0</v>
      </c>
      <c r="F47" s="69" t="str">
        <f>IFERROR(_xlfn.XLOOKUP($A47,Maestro_Equipos!$A:$A,Maestro_Equipos!$R:$R,"")+_xlfn.XLOOKUP($A47,Maestro_Equipos!$A:$A,Maestro_Equipos!$J:$J,""),"")</f>
        <v/>
      </c>
      <c r="G47" s="69">
        <f>IFERROR(_xlfn.XLOOKUP($A47,Maestro_Equipos!$A:$A,Maestro_Equipos!$K:$K,""),"")</f>
        <v>0</v>
      </c>
      <c r="H47" s="69" t="str">
        <f t="shared" si="0"/>
        <v/>
      </c>
      <c r="I47" s="70" t="str">
        <f t="shared" ca="1" si="1"/>
        <v/>
      </c>
      <c r="J47" s="71" t="str">
        <f>IFERROR(INDEX(Maestro_Equipos!$V$4:$V$247,MATCH($A47,Maestro_Equipos!$A$4:$A$247,0)),"")</f>
        <v>Fuera de Servicio</v>
      </c>
      <c r="K47" s="72">
        <f>IFERROR(
   SUMIFS(Mantenciones!$I:$I,Mantenciones!$B:$B,$A47)
 + SUMIFS('Compras PM'!$F:$F,'Compras PM'!$C:$C,$A47),0)</f>
        <v>0</v>
      </c>
      <c r="L47" s="73" t="str">
        <f t="shared" si="2"/>
        <v>NO PROGRAMAR</v>
      </c>
      <c r="M47" s="74" t="str" cm="1">
        <f t="array" ref="M47">IFERROR(_xlfn.AGGREGATE(14,6,Mantenciones!$A$2:$A$9997/(Mantenciones!$B$2:$B$9997=$A47),1),"")</f>
        <v/>
      </c>
      <c r="N47" s="75" t="str" cm="1">
        <f t="array" ref="N47">IFERROR(_xlfn.AGGREGATE(14,6,'Compras PM'!$A$4:$A$10014/('Compras PM'!$C$4:$C$10014=$A47),1),"")</f>
        <v/>
      </c>
      <c r="O47" s="75" t="str">
        <f>IFERROR(VLOOKUP($A47,Maestro_Equipos!$A$4:$AG$247,27,FALSE()),"")</f>
        <v/>
      </c>
      <c r="P47" s="76" t="str">
        <f t="shared" ca="1" si="3"/>
        <v/>
      </c>
      <c r="Q47" s="76" t="str">
        <f t="shared" ca="1" si="4"/>
        <v/>
      </c>
      <c r="R47" s="73" t="str">
        <f t="shared" si="5"/>
        <v>SIN SALIDA</v>
      </c>
      <c r="S47" s="77" t="str">
        <f>IFERROR(VLOOKUP($A47,Maestro_Equipos!$A$4:$AG$247,33,FALSE()),"")</f>
        <v>No programar compra</v>
      </c>
    </row>
    <row r="48" spans="1:19" ht="18" customHeight="1">
      <c r="A48" t="str" cm="1">
        <f t="array" ref="A48">IFERROR(INDEX(_xlfn._xlws.FILTER(Maestro_Equipos!$A$4:$A$247,Maestro_Equipos!$A$4:$A$247&lt;&gt;""),ROWS($A$4:A48)),"")</f>
        <v>CD-73</v>
      </c>
      <c r="B48" t="str">
        <f>IFERROR(_xlfn.XLOOKUP($A48,Maestro_Equipos!$A$4:$A$247,Maestro_Equipos!$B$4:$B$247,""),"")</f>
        <v>Camión Aljibe</v>
      </c>
      <c r="C48" t="str">
        <f>IFERROR(_xlfn.XLOOKUP($A48,Maestro_Equipos!$A$4:$A$247,Maestro_Equipos!$C$4:$C$247,""),"")</f>
        <v>Camiones de Ruta</v>
      </c>
      <c r="D48" t="str">
        <f>IFERROR(_xlfn.XLOOKUP($A48,Maestro_Equipos!$A:$A,Maestro_Equipos!$I:$I,""),"")</f>
        <v>HORAS</v>
      </c>
      <c r="E48">
        <f>IFERROR(IF($D48="KM",_xlfn.XLOOKUP($A48,Maestro_Equipos!$A:$A,Maestro_Equipos!$N:$N,""),_xlfn.XLOOKUP($A48,Maestro_Equipos!$A:$A,Maestro_Equipos!$M:$M,"")),"")</f>
        <v>7867</v>
      </c>
      <c r="F48" t="str">
        <f>IFERROR(_xlfn.XLOOKUP($A48,Maestro_Equipos!$A:$A,Maestro_Equipos!$R:$R,"")+_xlfn.XLOOKUP($A48,Maestro_Equipos!$A:$A,Maestro_Equipos!$J:$J,""),"")</f>
        <v/>
      </c>
      <c r="G48">
        <f>IFERROR(_xlfn.XLOOKUP($A48,Maestro_Equipos!$A:$A,Maestro_Equipos!$K:$K,""),"")</f>
        <v>0</v>
      </c>
      <c r="H48" t="str">
        <f t="shared" si="0"/>
        <v/>
      </c>
      <c r="I48" s="41" t="str">
        <f t="shared" ca="1" si="1"/>
        <v/>
      </c>
      <c r="J48" s="5" t="str">
        <f>IFERROR(INDEX(Maestro_Equipos!$V$4:$V$247,MATCH($A48,Maestro_Equipos!$A$4:$A$247,0)),"")</f>
        <v>Operativo</v>
      </c>
      <c r="K48" s="37">
        <f>IFERROR(
   SUMIFS(Mantenciones!$I:$I,Mantenciones!$B:$B,$A48)
 + SUMIFS('Compras PM'!$F:$F,'Compras PM'!$C:$C,$A48),0)</f>
        <v>0</v>
      </c>
      <c r="L48" s="30" t="str">
        <f t="shared" si="2"/>
        <v>SIN DATOS</v>
      </c>
      <c r="M48" s="58" t="str" cm="1">
        <f t="array" ref="M48">IFERROR(_xlfn.AGGREGATE(14,6,Mantenciones!$A$2:$A$9997/(Mantenciones!$B$2:$B$9997=$A48),1),"")</f>
        <v/>
      </c>
      <c r="N48" s="31" t="str" cm="1">
        <f t="array" ref="N48">IFERROR(_xlfn.AGGREGATE(14,6,'Compras PM'!$A$4:$A$10014/('Compras PM'!$C$4:$C$10014=$A48),1),"")</f>
        <v/>
      </c>
      <c r="O48" s="31" t="str">
        <f>IFERROR(VLOOKUP($A48,Maestro_Equipos!$A$4:$AG$247,27,FALSE()),"")</f>
        <v/>
      </c>
      <c r="P48" s="32" t="str">
        <f t="shared" ca="1" si="3"/>
        <v/>
      </c>
      <c r="Q48" s="32" t="str">
        <f t="shared" ca="1" si="4"/>
        <v/>
      </c>
      <c r="R48" s="30" t="str">
        <f t="shared" si="5"/>
        <v>SIN SALIDA</v>
      </c>
      <c r="S48" s="33" t="str">
        <f>IFERROR(VLOOKUP($A48,Maestro_Equipos!$A$4:$AG$247,33,FALSE()),"")</f>
        <v>Monitorear próximo vencimiento</v>
      </c>
    </row>
    <row r="49" spans="1:19" s="69" customFormat="1" hidden="1">
      <c r="A49" s="69" t="str" cm="1">
        <f t="array" ref="A49">IFERROR(INDEX(_xlfn._xlws.FILTER(Maestro_Equipos!$A$4:$A$247,Maestro_Equipos!$A$4:$A$247&lt;&gt;""),ROWS($A$4:A49)),"")</f>
        <v>CD-74</v>
      </c>
      <c r="B49" s="69" t="str">
        <f>IFERROR(_xlfn.XLOOKUP($A49,Maestro_Equipos!$A$4:$A$247,Maestro_Equipos!$B$4:$B$247,""),"")</f>
        <v>Tracto Camión</v>
      </c>
      <c r="C49" s="69" t="str">
        <f>IFERROR(_xlfn.XLOOKUP($A49,Maestro_Equipos!$A$4:$A$247,Maestro_Equipos!$C$4:$C$247,""),"")</f>
        <v>Camiones de Ruta</v>
      </c>
      <c r="D49" s="69" t="str">
        <f>IFERROR(VLOOKUP($A46,Maestro_Equipos!$A$4:$Z$247,9,FALSE),"")</f>
        <v>HORAS</v>
      </c>
      <c r="E49" s="69">
        <f>IFERROR(IF($D49="KM",_xlfn.XLOOKUP($A49,Maestro_Equipos!$A:$A,Maestro_Equipos!$N:$N,""),_xlfn.XLOOKUP($A49,Maestro_Equipos!$A:$A,Maestro_Equipos!$M:$M,"")),"")</f>
        <v>0</v>
      </c>
      <c r="F49" s="69" t="str">
        <f>IFERROR(_xlfn.XLOOKUP($A49,Maestro_Equipos!$A:$A,Maestro_Equipos!$R:$R,"")+_xlfn.XLOOKUP($A49,Maestro_Equipos!$A:$A,Maestro_Equipos!$J:$J,""),"")</f>
        <v/>
      </c>
      <c r="G49" s="69">
        <f>IFERROR(_xlfn.XLOOKUP($A49,Maestro_Equipos!$A:$A,Maestro_Equipos!$K:$K,""),"")</f>
        <v>0</v>
      </c>
      <c r="H49" s="69" t="str">
        <f t="shared" si="0"/>
        <v/>
      </c>
      <c r="I49" s="70" t="str">
        <f t="shared" ca="1" si="1"/>
        <v/>
      </c>
      <c r="J49" s="71" t="str">
        <f>IFERROR(INDEX(Maestro_Equipos!$V$4:$V$247,MATCH($A49,Maestro_Equipos!$A$4:$A$247,0)),"")</f>
        <v>Fuera de Servicio</v>
      </c>
      <c r="K49" s="72">
        <f>IFERROR(
   SUMIFS(Mantenciones!$I:$I,Mantenciones!$B:$B,$A49)
 + SUMIFS('Compras PM'!$F:$F,'Compras PM'!$C:$C,$A49),0)</f>
        <v>0</v>
      </c>
      <c r="L49" s="73" t="str">
        <f t="shared" si="2"/>
        <v>NO PROGRAMAR</v>
      </c>
      <c r="M49" s="74" t="str" cm="1">
        <f t="array" ref="M49">IFERROR(_xlfn.AGGREGATE(14,6,Mantenciones!$A$2:$A$9997/(Mantenciones!$B$2:$B$9997=$A49),1),"")</f>
        <v/>
      </c>
      <c r="N49" s="75" t="str" cm="1">
        <f t="array" ref="N49">IFERROR(_xlfn.AGGREGATE(14,6,'Compras PM'!$A$4:$A$10014/('Compras PM'!$C$4:$C$10014=$A49),1),"")</f>
        <v/>
      </c>
      <c r="O49" s="75" t="str">
        <f>IFERROR(VLOOKUP($A49,Maestro_Equipos!$A$4:$AG$247,27,FALSE()),"")</f>
        <v/>
      </c>
      <c r="P49" s="76" t="str">
        <f t="shared" ca="1" si="3"/>
        <v/>
      </c>
      <c r="Q49" s="76" t="str">
        <f t="shared" ca="1" si="4"/>
        <v/>
      </c>
      <c r="R49" s="73" t="str">
        <f t="shared" si="5"/>
        <v>SIN SALIDA</v>
      </c>
      <c r="S49" s="77" t="str">
        <f>IFERROR(VLOOKUP($A49,Maestro_Equipos!$A$4:$AG$247,33,FALSE()),"")</f>
        <v>No programar compra</v>
      </c>
    </row>
    <row r="50" spans="1:19" s="69" customFormat="1" hidden="1">
      <c r="A50" s="69" t="str" cm="1">
        <f t="array" ref="A50">IFERROR(INDEX(_xlfn._xlws.FILTER(Maestro_Equipos!$A$4:$A$247,Maestro_Equipos!$A$4:$A$247&lt;&gt;""),ROWS($A$4:A50)),"")</f>
        <v>CD-80</v>
      </c>
      <c r="B50" s="69" t="str">
        <f>IFERROR(_xlfn.XLOOKUP($A50,Maestro_Equipos!$A$4:$A$247,Maestro_Equipos!$B$4:$B$247,""),"")</f>
        <v>Camión Pluma</v>
      </c>
      <c r="C50" s="69" t="str">
        <f>IFERROR(_xlfn.XLOOKUP($A50,Maestro_Equipos!$A$4:$A$247,Maestro_Equipos!$C$4:$C$247,""),"")</f>
        <v>Camiones de Ruta</v>
      </c>
      <c r="D50" s="69" t="str">
        <f>IFERROR(VLOOKUP($A47,Maestro_Equipos!$A$4:$Z$247,9,FALSE),"")</f>
        <v>HORAS</v>
      </c>
      <c r="E50" s="69">
        <f>IFERROR(IF($D50="KM",_xlfn.XLOOKUP($A50,Maestro_Equipos!$A:$A,Maestro_Equipos!$N:$N,""),_xlfn.XLOOKUP($A50,Maestro_Equipos!$A:$A,Maestro_Equipos!$M:$M,"")),"")</f>
        <v>10625</v>
      </c>
      <c r="F50" s="69" t="str">
        <f>IFERROR(_xlfn.XLOOKUP($A50,Maestro_Equipos!$A:$A,Maestro_Equipos!$R:$R,"")+_xlfn.XLOOKUP($A50,Maestro_Equipos!$A:$A,Maestro_Equipos!$J:$J,""),"")</f>
        <v/>
      </c>
      <c r="G50" s="69">
        <f>IFERROR(_xlfn.XLOOKUP($A50,Maestro_Equipos!$A:$A,Maestro_Equipos!$K:$K,""),"")</f>
        <v>0</v>
      </c>
      <c r="H50" s="69" t="str">
        <f t="shared" si="0"/>
        <v/>
      </c>
      <c r="I50" s="70" t="str">
        <f t="shared" ca="1" si="1"/>
        <v/>
      </c>
      <c r="J50" s="71" t="str">
        <f>IFERROR(INDEX(Maestro_Equipos!$V$4:$V$247,MATCH($A50,Maestro_Equipos!$A$4:$A$247,0)),"")</f>
        <v>Fuera de Servicio</v>
      </c>
      <c r="K50" s="72">
        <f>IFERROR(
   SUMIFS(Mantenciones!$I:$I,Mantenciones!$B:$B,$A50)
 + SUMIFS('Compras PM'!$F:$F,'Compras PM'!$C:$C,$A50),0)</f>
        <v>0</v>
      </c>
      <c r="L50" s="73" t="str">
        <f t="shared" si="2"/>
        <v>NO PROGRAMAR</v>
      </c>
      <c r="M50" s="74" t="str" cm="1">
        <f t="array" ref="M50">IFERROR(_xlfn.AGGREGATE(14,6,Mantenciones!$A$2:$A$9997/(Mantenciones!$B$2:$B$9997=$A50),1),"")</f>
        <v/>
      </c>
      <c r="N50" s="75" t="str" cm="1">
        <f t="array" ref="N50">IFERROR(_xlfn.AGGREGATE(14,6,'Compras PM'!$A$4:$A$10014/('Compras PM'!$C$4:$C$10014=$A50),1),"")</f>
        <v/>
      </c>
      <c r="O50" s="75" t="str">
        <f>IFERROR(VLOOKUP($A50,Maestro_Equipos!$A$4:$AG$247,27,FALSE()),"")</f>
        <v/>
      </c>
      <c r="P50" s="76" t="str">
        <f t="shared" ca="1" si="3"/>
        <v/>
      </c>
      <c r="Q50" s="76" t="str">
        <f t="shared" ca="1" si="4"/>
        <v/>
      </c>
      <c r="R50" s="73" t="str">
        <f t="shared" si="5"/>
        <v>SIN SALIDA</v>
      </c>
      <c r="S50" s="77" t="str">
        <f>IFERROR(VLOOKUP($A50,Maestro_Equipos!$A$4:$AG$247,33,FALSE()),"")</f>
        <v>No programar compra</v>
      </c>
    </row>
    <row r="51" spans="1:19" s="69" customFormat="1" hidden="1">
      <c r="A51" s="69" t="str" cm="1">
        <f t="array" ref="A51">IFERROR(INDEX(_xlfn._xlws.FILTER(Maestro_Equipos!$A$4:$A$247,Maestro_Equipos!$A$4:$A$247&lt;&gt;""),ROWS($A$4:A51)),"")</f>
        <v>CD-93</v>
      </c>
      <c r="B51" s="69" t="str">
        <f>IFERROR(_xlfn.XLOOKUP($A51,Maestro_Equipos!$A$4:$A$247,Maestro_Equipos!$B$4:$B$247,""),"")</f>
        <v>Camión Plano</v>
      </c>
      <c r="C51" s="69" t="str">
        <f>IFERROR(_xlfn.XLOOKUP($A51,Maestro_Equipos!$A$4:$A$247,Maestro_Equipos!$C$4:$C$247,""),"")</f>
        <v>Camiones de Ruta</v>
      </c>
      <c r="D51" s="69" t="str">
        <f>IFERROR(VLOOKUP($A48,Maestro_Equipos!$A$4:$Z$247,9,FALSE),"")</f>
        <v>HORAS</v>
      </c>
      <c r="E51" s="69">
        <f>IFERROR(IF($D51="KM",_xlfn.XLOOKUP($A51,Maestro_Equipos!$A:$A,Maestro_Equipos!$N:$N,""),_xlfn.XLOOKUP($A51,Maestro_Equipos!$A:$A,Maestro_Equipos!$M:$M,"")),"")</f>
        <v>0</v>
      </c>
      <c r="F51" s="69" t="str">
        <f>IFERROR(_xlfn.XLOOKUP($A51,Maestro_Equipos!$A:$A,Maestro_Equipos!$R:$R,"")+_xlfn.XLOOKUP($A51,Maestro_Equipos!$A:$A,Maestro_Equipos!$J:$J,""),"")</f>
        <v/>
      </c>
      <c r="G51" s="69">
        <f>IFERROR(_xlfn.XLOOKUP($A51,Maestro_Equipos!$A:$A,Maestro_Equipos!$K:$K,""),"")</f>
        <v>0</v>
      </c>
      <c r="H51" s="69" t="str">
        <f t="shared" si="0"/>
        <v/>
      </c>
      <c r="I51" s="70" t="str">
        <f t="shared" ca="1" si="1"/>
        <v/>
      </c>
      <c r="J51" s="71" t="str">
        <f>IFERROR(INDEX(Maestro_Equipos!$V$4:$V$247,MATCH($A51,Maestro_Equipos!$A$4:$A$247,0)),"")</f>
        <v>Fuera de Servicio</v>
      </c>
      <c r="K51" s="72">
        <f>IFERROR(
   SUMIFS(Mantenciones!$I:$I,Mantenciones!$B:$B,$A51)
 + SUMIFS('Compras PM'!$F:$F,'Compras PM'!$C:$C,$A51),0)</f>
        <v>170432.99</v>
      </c>
      <c r="L51" s="73" t="str">
        <f t="shared" si="2"/>
        <v>NO PROGRAMAR</v>
      </c>
      <c r="M51" s="74" t="str" cm="1">
        <f t="array" ref="M51">IFERROR(_xlfn.AGGREGATE(14,6,Mantenciones!$A$2:$A$9997/(Mantenciones!$B$2:$B$9997=$A51),1),"")</f>
        <v/>
      </c>
      <c r="N51" s="75" cm="1">
        <f t="array" ref="N51">IFERROR(_xlfn.AGGREGATE(14,6,'Compras PM'!$A$4:$A$10014/('Compras PM'!$C$4:$C$10014=$A51),1),"")</f>
        <v>46079.431099421301</v>
      </c>
      <c r="O51" s="75" t="str">
        <f>IFERROR(VLOOKUP($A51,Maestro_Equipos!$A$4:$AG$247,27,FALSE()),"")</f>
        <v/>
      </c>
      <c r="P51" s="76">
        <f t="shared" ca="1" si="3"/>
        <v>65.568900578698958</v>
      </c>
      <c r="Q51" s="76" t="str">
        <f t="shared" ca="1" si="4"/>
        <v/>
      </c>
      <c r="R51" s="73" t="str">
        <f t="shared" si="5"/>
        <v>SIN SALIDA</v>
      </c>
      <c r="S51" s="77" t="str">
        <f>IFERROR(VLOOKUP($A51,Maestro_Equipos!$A$4:$AG$247,33,FALSE()),"")</f>
        <v>No programar compra</v>
      </c>
    </row>
    <row r="52" spans="1:19">
      <c r="A52" t="str" cm="1">
        <f t="array" ref="A52">IFERROR(INDEX(_xlfn._xlws.FILTER(Maestro_Equipos!$A$4:$A$247,Maestro_Equipos!$A$4:$A$247&lt;&gt;""),ROWS($A$4:A52)),"")</f>
        <v>ED-07</v>
      </c>
      <c r="B52" t="str">
        <f>IFERROR(_xlfn.XLOOKUP($A52,Maestro_Equipos!$A$4:$A$247,Maestro_Equipos!$B$4:$B$247,""),"")</f>
        <v>Soldadora</v>
      </c>
      <c r="C52" t="str">
        <f>IFERROR(_xlfn.XLOOKUP($A52,Maestro_Equipos!$A$4:$A$247,Maestro_Equipos!$C$4:$C$247,""),"")</f>
        <v>Maquinaria Pesada</v>
      </c>
      <c r="D52" t="str">
        <f>IFERROR(_xlfn.XLOOKUP($A52,Maestro_Equipos!$A:$A,Maestro_Equipos!$I:$I,""),"")</f>
        <v>HORAS</v>
      </c>
      <c r="E52">
        <f>IFERROR(IF($D52="KM",_xlfn.XLOOKUP($A52,Maestro_Equipos!$A:$A,Maestro_Equipos!$N:$N,""),_xlfn.XLOOKUP($A52,Maestro_Equipos!$A:$A,Maestro_Equipos!$M:$M,"")),"")</f>
        <v>0</v>
      </c>
      <c r="F52" t="str">
        <f>IFERROR(_xlfn.XLOOKUP($A52,Maestro_Equipos!$A:$A,Maestro_Equipos!$R:$R,"")+_xlfn.XLOOKUP($A52,Maestro_Equipos!$A:$A,Maestro_Equipos!$J:$J,""),"")</f>
        <v/>
      </c>
      <c r="G52">
        <f>IFERROR(_xlfn.XLOOKUP($A52,Maestro_Equipos!$A:$A,Maestro_Equipos!$K:$K,""),"")</f>
        <v>0</v>
      </c>
      <c r="H52" t="str">
        <f t="shared" si="0"/>
        <v/>
      </c>
      <c r="I52" s="41" t="str">
        <f t="shared" ca="1" si="1"/>
        <v/>
      </c>
      <c r="J52" s="5" t="str">
        <f>IFERROR(INDEX(Maestro_Equipos!$V$4:$V$247,MATCH($A52,Maestro_Equipos!$A$4:$A$247,0)),"")</f>
        <v>Operativo</v>
      </c>
      <c r="K52" s="37">
        <f>IFERROR(
   SUMIFS(Mantenciones!$I:$I,Mantenciones!$B:$B,$A52)
 + SUMIFS('Compras PM'!$F:$F,'Compras PM'!$C:$C,$A52),0)</f>
        <v>0</v>
      </c>
      <c r="L52" s="30" t="str">
        <f t="shared" si="2"/>
        <v>SIN DATOS</v>
      </c>
      <c r="M52" s="58" t="str" cm="1">
        <f t="array" ref="M52">IFERROR(_xlfn.AGGREGATE(14,6,Mantenciones!$A$2:$A$9997/(Mantenciones!$B$2:$B$9997=$A52),1),"")</f>
        <v/>
      </c>
      <c r="N52" s="31" t="str" cm="1">
        <f t="array" ref="N52">IFERROR(_xlfn.AGGREGATE(14,6,'Compras PM'!$A$4:$A$10014/('Compras PM'!$C$4:$C$10014=$A52),1),"")</f>
        <v/>
      </c>
      <c r="O52" s="31" t="str">
        <f>IFERROR(VLOOKUP($A52,Maestro_Equipos!$A$4:$AG$247,27,FALSE()),"")</f>
        <v/>
      </c>
      <c r="P52" s="32" t="str">
        <f t="shared" ca="1" si="3"/>
        <v/>
      </c>
      <c r="Q52" s="32" t="str">
        <f t="shared" ca="1" si="4"/>
        <v/>
      </c>
      <c r="R52" s="30" t="str">
        <f t="shared" si="5"/>
        <v>SIN SALIDA</v>
      </c>
      <c r="S52" s="33" t="str">
        <f>IFERROR(VLOOKUP($A52,Maestro_Equipos!$A$4:$AG$247,33,FALSE()),"")</f>
        <v>Monitorear próximo vencimiento</v>
      </c>
    </row>
    <row r="53" spans="1:19">
      <c r="A53" t="str" cm="1">
        <f t="array" ref="A53">IFERROR(INDEX(_xlfn._xlws.FILTER(Maestro_Equipos!$A$4:$A$247,Maestro_Equipos!$A$4:$A$247&lt;&gt;""),ROWS($A$4:A53)),"")</f>
        <v>ED-64</v>
      </c>
      <c r="B53" t="str">
        <f>IFERROR(_xlfn.XLOOKUP($A53,Maestro_Equipos!$A$4:$A$247,Maestro_Equipos!$B$4:$B$247,""),"")</f>
        <v>Perforadora Hidraulica</v>
      </c>
      <c r="C53" t="str">
        <f>IFERROR(_xlfn.XLOOKUP($A53,Maestro_Equipos!$A$4:$A$247,Maestro_Equipos!$C$4:$C$247,""),"")</f>
        <v>Maquinaria Pesada</v>
      </c>
      <c r="D53" t="str">
        <f>IFERROR(_xlfn.XLOOKUP($A53,Maestro_Equipos!$A:$A,Maestro_Equipos!$I:$I,""),"")</f>
        <v>HORAS</v>
      </c>
      <c r="E53">
        <f>IFERROR(IF($D53="KM",_xlfn.XLOOKUP($A53,Maestro_Equipos!$A:$A,Maestro_Equipos!$N:$N,""),_xlfn.XLOOKUP($A53,Maestro_Equipos!$A:$A,Maestro_Equipos!$M:$M,"")),"")</f>
        <v>0</v>
      </c>
      <c r="F53" t="str">
        <f>IFERROR(_xlfn.XLOOKUP($A53,Maestro_Equipos!$A:$A,Maestro_Equipos!$R:$R,"")+_xlfn.XLOOKUP($A53,Maestro_Equipos!$A:$A,Maestro_Equipos!$J:$J,""),"")</f>
        <v/>
      </c>
      <c r="G53">
        <f>IFERROR(_xlfn.XLOOKUP($A53,Maestro_Equipos!$A:$A,Maestro_Equipos!$K:$K,""),"")</f>
        <v>0</v>
      </c>
      <c r="H53" t="str">
        <f t="shared" si="0"/>
        <v/>
      </c>
      <c r="I53" s="41" t="str">
        <f t="shared" ca="1" si="1"/>
        <v/>
      </c>
      <c r="J53" s="5" t="str">
        <f>IFERROR(INDEX(Maestro_Equipos!$V$4:$V$247,MATCH($A53,Maestro_Equipos!$A$4:$A$247,0)),"")</f>
        <v>Operativo</v>
      </c>
      <c r="K53" s="37">
        <f>IFERROR(
   SUMIFS(Mantenciones!$I:$I,Mantenciones!$B:$B,$A53)
 + SUMIFS('Compras PM'!$F:$F,'Compras PM'!$C:$C,$A53),0)</f>
        <v>0</v>
      </c>
      <c r="L53" s="30" t="str">
        <f t="shared" si="2"/>
        <v>SIN DATOS</v>
      </c>
      <c r="M53" s="58" t="str" cm="1">
        <f t="array" ref="M53">IFERROR(_xlfn.AGGREGATE(14,6,Mantenciones!$A$2:$A$9997/(Mantenciones!$B$2:$B$9997=$A53),1),"")</f>
        <v/>
      </c>
      <c r="N53" s="31" t="str" cm="1">
        <f t="array" ref="N53">IFERROR(_xlfn.AGGREGATE(14,6,'Compras PM'!$A$4:$A$10014/('Compras PM'!$C$4:$C$10014=$A53),1),"")</f>
        <v/>
      </c>
      <c r="O53" s="31" t="str">
        <f>IFERROR(VLOOKUP($A53,Maestro_Equipos!$A$4:$AG$247,27,FALSE()),"")</f>
        <v/>
      </c>
      <c r="P53" s="32" t="str">
        <f t="shared" ca="1" si="3"/>
        <v/>
      </c>
      <c r="Q53" s="32" t="str">
        <f t="shared" ca="1" si="4"/>
        <v/>
      </c>
      <c r="R53" s="30" t="str">
        <f t="shared" si="5"/>
        <v>SIN SALIDA</v>
      </c>
      <c r="S53" s="33" t="str">
        <f>IFERROR(VLOOKUP($A53,Maestro_Equipos!$A$4:$AG$247,33,FALSE()),"")</f>
        <v>Monitorear próximo vencimiento</v>
      </c>
    </row>
    <row r="54" spans="1:19">
      <c r="A54" t="str" cm="1">
        <f t="array" ref="A54">IFERROR(INDEX(_xlfn._xlws.FILTER(Maestro_Equipos!$A$4:$A$247,Maestro_Equipos!$A$4:$A$247&lt;&gt;""),ROWS($A$4:A54)),"")</f>
        <v>ED-65</v>
      </c>
      <c r="B54" t="str">
        <f>IFERROR(_xlfn.XLOOKUP($A54,Maestro_Equipos!$A$4:$A$247,Maestro_Equipos!$B$4:$B$247,""),"")</f>
        <v>Compresor</v>
      </c>
      <c r="C54" t="str">
        <f>IFERROR(_xlfn.XLOOKUP($A54,Maestro_Equipos!$A$4:$A$247,Maestro_Equipos!$C$4:$C$247,""),"")</f>
        <v>Maquinaria Pesada</v>
      </c>
      <c r="D54" t="str">
        <f>IFERROR(_xlfn.XLOOKUP($A54,Maestro_Equipos!$A:$A,Maestro_Equipos!$I:$I,""),"")</f>
        <v>HORAS</v>
      </c>
      <c r="E54">
        <f>IFERROR(IF($D54="KM",_xlfn.XLOOKUP($A54,Maestro_Equipos!$A:$A,Maestro_Equipos!$N:$N,""),_xlfn.XLOOKUP($A54,Maestro_Equipos!$A:$A,Maestro_Equipos!$M:$M,"")),"")</f>
        <v>0</v>
      </c>
      <c r="F54" t="str">
        <f>IFERROR(_xlfn.XLOOKUP($A54,Maestro_Equipos!$A:$A,Maestro_Equipos!$R:$R,"")+_xlfn.XLOOKUP($A54,Maestro_Equipos!$A:$A,Maestro_Equipos!$J:$J,""),"")</f>
        <v/>
      </c>
      <c r="G54">
        <f>IFERROR(_xlfn.XLOOKUP($A54,Maestro_Equipos!$A:$A,Maestro_Equipos!$K:$K,""),"")</f>
        <v>0</v>
      </c>
      <c r="H54" t="str">
        <f t="shared" si="0"/>
        <v/>
      </c>
      <c r="I54" s="41" t="str">
        <f t="shared" ca="1" si="1"/>
        <v/>
      </c>
      <c r="J54" s="5" t="str">
        <f>IFERROR(INDEX(Maestro_Equipos!$V$4:$V$247,MATCH($A54,Maestro_Equipos!$A$4:$A$247,0)),"")</f>
        <v>Operativo</v>
      </c>
      <c r="K54" s="37">
        <f>IFERROR(
   SUMIFS(Mantenciones!$I:$I,Mantenciones!$B:$B,$A54)
 + SUMIFS('Compras PM'!$F:$F,'Compras PM'!$C:$C,$A54),0)</f>
        <v>0</v>
      </c>
      <c r="L54" s="30" t="str">
        <f t="shared" si="2"/>
        <v>SIN DATOS</v>
      </c>
      <c r="M54" s="58" t="str" cm="1">
        <f t="array" ref="M54">IFERROR(_xlfn.AGGREGATE(14,6,Mantenciones!$A$2:$A$9997/(Mantenciones!$B$2:$B$9997=$A54),1),"")</f>
        <v/>
      </c>
      <c r="N54" s="31" t="str" cm="1">
        <f t="array" ref="N54">IFERROR(_xlfn.AGGREGATE(14,6,'Compras PM'!$A$4:$A$10014/('Compras PM'!$C$4:$C$10014=$A54),1),"")</f>
        <v/>
      </c>
      <c r="O54" s="31" t="str">
        <f>IFERROR(VLOOKUP($A54,Maestro_Equipos!$A$4:$AG$247,27,FALSE()),"")</f>
        <v/>
      </c>
      <c r="P54" s="32" t="str">
        <f t="shared" ca="1" si="3"/>
        <v/>
      </c>
      <c r="Q54" s="32" t="str">
        <f t="shared" ca="1" si="4"/>
        <v/>
      </c>
      <c r="R54" s="30" t="str">
        <f t="shared" si="5"/>
        <v>SIN SALIDA</v>
      </c>
      <c r="S54" s="33" t="str">
        <f>IFERROR(VLOOKUP($A54,Maestro_Equipos!$A$4:$AG$247,33,FALSE()),"")</f>
        <v>Monitorear próximo vencimiento</v>
      </c>
    </row>
    <row r="55" spans="1:19" ht="15" customHeight="1">
      <c r="A55" t="str" cm="1">
        <f t="array" ref="A55">IFERROR(INDEX(_xlfn._xlws.FILTER(Maestro_Equipos!$A$4:$A$247,Maestro_Equipos!$A$4:$A$247&lt;&gt;""),ROWS($A$4:A55)),"")</f>
        <v>ED-66</v>
      </c>
      <c r="B55" t="str">
        <f>IFERROR(_xlfn.XLOOKUP($A55,Maestro_Equipos!$A$4:$A$247,Maestro_Equipos!$B$4:$B$247,""),"")</f>
        <v>Planta Micropavimento</v>
      </c>
      <c r="C55" t="str">
        <f>IFERROR(_xlfn.XLOOKUP($A55,Maestro_Equipos!$A$4:$A$247,Maestro_Equipos!$C$4:$C$247,""),"")</f>
        <v>Maquinaria Pesada</v>
      </c>
      <c r="D55" t="str">
        <f>IFERROR(_xlfn.XLOOKUP($A55,Maestro_Equipos!$A:$A,Maestro_Equipos!$I:$I,""),"")</f>
        <v>HORAS</v>
      </c>
      <c r="E55">
        <f>IFERROR(IF($D55="KM",_xlfn.XLOOKUP($A55,Maestro_Equipos!$A:$A,Maestro_Equipos!$N:$N,""),_xlfn.XLOOKUP($A55,Maestro_Equipos!$A:$A,Maestro_Equipos!$M:$M,"")),"")</f>
        <v>0</v>
      </c>
      <c r="F55" t="str">
        <f>IFERROR(_xlfn.XLOOKUP($A55,Maestro_Equipos!$A:$A,Maestro_Equipos!$R:$R,"")+_xlfn.XLOOKUP($A55,Maestro_Equipos!$A:$A,Maestro_Equipos!$J:$J,""),"")</f>
        <v/>
      </c>
      <c r="G55">
        <f>IFERROR(_xlfn.XLOOKUP($A55,Maestro_Equipos!$A:$A,Maestro_Equipos!$K:$K,""),"")</f>
        <v>0</v>
      </c>
      <c r="H55" t="str">
        <f t="shared" si="0"/>
        <v/>
      </c>
      <c r="I55" s="41" t="str">
        <f t="shared" ca="1" si="1"/>
        <v/>
      </c>
      <c r="J55" s="5" t="str">
        <f>IFERROR(INDEX(Maestro_Equipos!$V$4:$V$247,MATCH($A55,Maestro_Equipos!$A$4:$A$247,0)),"")</f>
        <v>Operativo</v>
      </c>
      <c r="K55" s="37">
        <f>IFERROR(
   SUMIFS(Mantenciones!$I:$I,Mantenciones!$B:$B,$A55)
 + SUMIFS('Compras PM'!$F:$F,'Compras PM'!$C:$C,$A55),0)</f>
        <v>0</v>
      </c>
      <c r="L55" s="30" t="str">
        <f t="shared" si="2"/>
        <v>SIN DATOS</v>
      </c>
      <c r="M55" s="58" t="str" cm="1">
        <f t="array" ref="M55">IFERROR(_xlfn.AGGREGATE(14,6,Mantenciones!$A$2:$A$9997/(Mantenciones!$B$2:$B$9997=$A55),1),"")</f>
        <v/>
      </c>
      <c r="N55" s="31" t="str" cm="1">
        <f t="array" ref="N55">IFERROR(_xlfn.AGGREGATE(14,6,'Compras PM'!$A$4:$A$10014/('Compras PM'!$C$4:$C$10014=$A55),1),"")</f>
        <v/>
      </c>
      <c r="O55" s="31" t="str">
        <f>IFERROR(VLOOKUP($A55,Maestro_Equipos!$A$4:$AG$247,27,FALSE()),"")</f>
        <v/>
      </c>
      <c r="P55" s="32" t="str">
        <f t="shared" ca="1" si="3"/>
        <v/>
      </c>
      <c r="Q55" s="32" t="str">
        <f t="shared" ca="1" si="4"/>
        <v/>
      </c>
      <c r="R55" s="30" t="str">
        <f t="shared" si="5"/>
        <v>SIN SALIDA</v>
      </c>
      <c r="S55" s="33" t="str">
        <f>IFERROR(VLOOKUP($A55,Maestro_Equipos!$A$4:$AG$247,33,FALSE()),"")</f>
        <v>Monitorear próximo vencimiento</v>
      </c>
    </row>
    <row r="56" spans="1:19">
      <c r="A56" t="str" cm="1">
        <f t="array" ref="A56">IFERROR(INDEX(_xlfn._xlws.FILTER(Maestro_Equipos!$A$4:$A$247,Maestro_Equipos!$A$4:$A$247&lt;&gt;""),ROWS($A$4:A56)),"")</f>
        <v>ED-67</v>
      </c>
      <c r="B56" t="str">
        <f>IFERROR(_xlfn.XLOOKUP($A56,Maestro_Equipos!$A$4:$A$247,Maestro_Equipos!$B$4:$B$247,""),"")</f>
        <v>Imprimador</v>
      </c>
      <c r="C56" t="str">
        <f>IFERROR(_xlfn.XLOOKUP($A56,Maestro_Equipos!$A$4:$A$247,Maestro_Equipos!$C$4:$C$247,""),"")</f>
        <v>Maquinaria Pesada</v>
      </c>
      <c r="D56" t="str">
        <f>IFERROR(_xlfn.XLOOKUP($A56,Maestro_Equipos!$A:$A,Maestro_Equipos!$I:$I,""),"")</f>
        <v>HORAS</v>
      </c>
      <c r="E56">
        <f>IFERROR(IF($D56="KM",_xlfn.XLOOKUP($A56,Maestro_Equipos!$A:$A,Maestro_Equipos!$N:$N,""),_xlfn.XLOOKUP($A56,Maestro_Equipos!$A:$A,Maestro_Equipos!$M:$M,"")),"")</f>
        <v>0</v>
      </c>
      <c r="F56" t="str">
        <f>IFERROR(_xlfn.XLOOKUP($A56,Maestro_Equipos!$A:$A,Maestro_Equipos!$R:$R,"")+_xlfn.XLOOKUP($A56,Maestro_Equipos!$A:$A,Maestro_Equipos!$J:$J,""),"")</f>
        <v/>
      </c>
      <c r="G56">
        <f>IFERROR(_xlfn.XLOOKUP($A56,Maestro_Equipos!$A:$A,Maestro_Equipos!$K:$K,""),"")</f>
        <v>0</v>
      </c>
      <c r="H56" t="str">
        <f t="shared" si="0"/>
        <v/>
      </c>
      <c r="I56" s="41" t="str">
        <f t="shared" ca="1" si="1"/>
        <v/>
      </c>
      <c r="J56" s="5" t="str">
        <f>IFERROR(INDEX(Maestro_Equipos!$V$4:$V$247,MATCH($A56,Maestro_Equipos!$A$4:$A$247,0)),"")</f>
        <v>Operativo</v>
      </c>
      <c r="K56" s="37">
        <f>IFERROR(
   SUMIFS(Mantenciones!$I:$I,Mantenciones!$B:$B,$A56)
 + SUMIFS('Compras PM'!$F:$F,'Compras PM'!$C:$C,$A56),0)</f>
        <v>0</v>
      </c>
      <c r="L56" s="30" t="str">
        <f t="shared" si="2"/>
        <v>SIN DATOS</v>
      </c>
      <c r="M56" s="58" t="str" cm="1">
        <f t="array" ref="M56">IFERROR(_xlfn.AGGREGATE(14,6,Mantenciones!$A$2:$A$9997/(Mantenciones!$B$2:$B$9997=$A56),1),"")</f>
        <v/>
      </c>
      <c r="N56" s="31" t="str" cm="1">
        <f t="array" ref="N56">IFERROR(_xlfn.AGGREGATE(14,6,'Compras PM'!$A$4:$A$10014/('Compras PM'!$C$4:$C$10014=$A56),1),"")</f>
        <v/>
      </c>
      <c r="O56" s="31" t="str">
        <f>IFERROR(VLOOKUP($A56,Maestro_Equipos!$A$4:$AG$247,27,FALSE()),"")</f>
        <v/>
      </c>
      <c r="P56" s="32" t="str">
        <f t="shared" ca="1" si="3"/>
        <v/>
      </c>
      <c r="Q56" s="32" t="str">
        <f t="shared" ca="1" si="4"/>
        <v/>
      </c>
      <c r="R56" s="30" t="str">
        <f t="shared" si="5"/>
        <v>SIN SALIDA</v>
      </c>
      <c r="S56" s="33" t="str">
        <f>IFERROR(VLOOKUP($A56,Maestro_Equipos!$A$4:$AG$247,33,FALSE()),"")</f>
        <v>Monitorear próximo vencimiento</v>
      </c>
    </row>
    <row r="57" spans="1:19" ht="15" customHeight="1">
      <c r="A57" t="str" cm="1">
        <f t="array" ref="A57">IFERROR(INDEX(_xlfn._xlws.FILTER(Maestro_Equipos!$A$4:$A$247,Maestro_Equipos!$A$4:$A$247&lt;&gt;""),ROWS($A$4:A57)),"")</f>
        <v>EQP-10</v>
      </c>
      <c r="B57" t="str">
        <f>IFERROR(_xlfn.XLOOKUP($A57,Maestro_Equipos!$A$4:$A$247,Maestro_Equipos!$B$4:$B$247,""),"")</f>
        <v>Planta aridos</v>
      </c>
      <c r="C57" t="str">
        <f>IFERROR(_xlfn.XLOOKUP($A57,Maestro_Equipos!$A$4:$A$247,Maestro_Equipos!$C$4:$C$247,""),"")</f>
        <v>Maquinaria Pesada</v>
      </c>
      <c r="D57" t="str">
        <f>IFERROR(_xlfn.XLOOKUP($A57,Maestro_Equipos!$A:$A,Maestro_Equipos!$I:$I,""),"")</f>
        <v>HORAS</v>
      </c>
      <c r="E57">
        <f>IFERROR(IF($D57="KM",_xlfn.XLOOKUP($A57,Maestro_Equipos!$A:$A,Maestro_Equipos!$N:$N,""),_xlfn.XLOOKUP($A57,Maestro_Equipos!$A:$A,Maestro_Equipos!$M:$M,"")),"")</f>
        <v>0</v>
      </c>
      <c r="F57" t="str">
        <f>IFERROR(_xlfn.XLOOKUP($A57,Maestro_Equipos!$A:$A,Maestro_Equipos!$R:$R,"")+_xlfn.XLOOKUP($A57,Maestro_Equipos!$A:$A,Maestro_Equipos!$J:$J,""),"")</f>
        <v/>
      </c>
      <c r="G57">
        <f>IFERROR(_xlfn.XLOOKUP($A57,Maestro_Equipos!$A:$A,Maestro_Equipos!$K:$K,""),"")</f>
        <v>0</v>
      </c>
      <c r="H57" t="str">
        <f t="shared" si="0"/>
        <v/>
      </c>
      <c r="I57" s="41" t="str">
        <f t="shared" ca="1" si="1"/>
        <v/>
      </c>
      <c r="J57" s="5" t="str">
        <f>IFERROR(INDEX(Maestro_Equipos!$V$4:$V$247,MATCH($A57,Maestro_Equipos!$A$4:$A$247,0)),"")</f>
        <v>Operativo</v>
      </c>
      <c r="K57" s="37">
        <f>IFERROR(
   SUMIFS(Mantenciones!$I:$I,Mantenciones!$B:$B,$A57)
 + SUMIFS('Compras PM'!$F:$F,'Compras PM'!$C:$C,$A57),0)</f>
        <v>0</v>
      </c>
      <c r="L57" s="30" t="str">
        <f t="shared" si="2"/>
        <v>SIN DATOS</v>
      </c>
      <c r="M57" s="58" t="str" cm="1">
        <f t="array" ref="M57">IFERROR(_xlfn.AGGREGATE(14,6,Mantenciones!$A$2:$A$9997/(Mantenciones!$B$2:$B$9997=$A57),1),"")</f>
        <v/>
      </c>
      <c r="N57" s="31" t="str" cm="1">
        <f t="array" ref="N57">IFERROR(_xlfn.AGGREGATE(14,6,'Compras PM'!$A$4:$A$10014/('Compras PM'!$C$4:$C$10014=$A57),1),"")</f>
        <v/>
      </c>
      <c r="O57" s="31" t="str">
        <f>IFERROR(VLOOKUP($A57,Maestro_Equipos!$A$4:$AG$247,27,FALSE()),"")</f>
        <v/>
      </c>
      <c r="P57" s="32" t="str">
        <f t="shared" ca="1" si="3"/>
        <v/>
      </c>
      <c r="Q57" s="32" t="str">
        <f t="shared" ca="1" si="4"/>
        <v/>
      </c>
      <c r="R57" s="30" t="str">
        <f t="shared" si="5"/>
        <v>SIN SALIDA</v>
      </c>
      <c r="S57" s="33" t="str">
        <f>IFERROR(VLOOKUP($A57,Maestro_Equipos!$A$4:$AG$247,33,FALSE()),"")</f>
        <v>Monitorear próximo vencimiento</v>
      </c>
    </row>
    <row r="58" spans="1:19" s="69" customFormat="1" hidden="1">
      <c r="A58" s="69" t="str" cm="1">
        <f t="array" ref="A58">IFERROR(INDEX(_xlfn._xlws.FILTER(Maestro_Equipos!$A$4:$A$247,Maestro_Equipos!$A$4:$A$247&lt;&gt;""),ROWS($A$4:A58)),"")</f>
        <v>EQP-13</v>
      </c>
      <c r="B58" s="69" t="str">
        <f>IFERROR(_xlfn.XLOOKUP($A58,Maestro_Equipos!$A$4:$A$247,Maestro_Equipos!$B$4:$B$247,""),"")</f>
        <v>Planta aridos</v>
      </c>
      <c r="C58" s="69" t="str">
        <f>IFERROR(_xlfn.XLOOKUP($A58,Maestro_Equipos!$A$4:$A$247,Maestro_Equipos!$C$4:$C$247,""),"")</f>
        <v>Maquinaria Pesada</v>
      </c>
      <c r="D58" s="69" t="str">
        <f>IFERROR(VLOOKUP($A55,Maestro_Equipos!$A$4:$Z$247,9,FALSE),"")</f>
        <v>HORAS</v>
      </c>
      <c r="E58" s="69">
        <f>IFERROR(IF($D58="KM",_xlfn.XLOOKUP($A58,Maestro_Equipos!$A:$A,Maestro_Equipos!$N:$N,""),_xlfn.XLOOKUP($A58,Maestro_Equipos!$A:$A,Maestro_Equipos!$M:$M,"")),"")</f>
        <v>0</v>
      </c>
      <c r="F58" s="69" t="str">
        <f>IFERROR(_xlfn.XLOOKUP($A58,Maestro_Equipos!$A:$A,Maestro_Equipos!$R:$R,"")+_xlfn.XLOOKUP($A58,Maestro_Equipos!$A:$A,Maestro_Equipos!$J:$J,""),"")</f>
        <v/>
      </c>
      <c r="G58" s="69">
        <f>IFERROR(_xlfn.XLOOKUP($A58,Maestro_Equipos!$A:$A,Maestro_Equipos!$K:$K,""),"")</f>
        <v>0</v>
      </c>
      <c r="H58" s="69" t="str">
        <f t="shared" si="0"/>
        <v/>
      </c>
      <c r="I58" s="70" t="str">
        <f t="shared" ca="1" si="1"/>
        <v/>
      </c>
      <c r="J58" s="71" t="str">
        <f>IFERROR(INDEX(Maestro_Equipos!$V$4:$V$247,MATCH($A58,Maestro_Equipos!$A$4:$A$247,0)),"")</f>
        <v>Fuera de Servicio</v>
      </c>
      <c r="K58" s="72">
        <f>IFERROR(
   SUMIFS(Mantenciones!$I:$I,Mantenciones!$B:$B,$A58)
 + SUMIFS('Compras PM'!$F:$F,'Compras PM'!$C:$C,$A58),0)</f>
        <v>559290.48</v>
      </c>
      <c r="L58" s="73" t="str">
        <f t="shared" si="2"/>
        <v>NO PROGRAMAR</v>
      </c>
      <c r="M58" s="74" t="str" cm="1">
        <f t="array" ref="M58">IFERROR(_xlfn.AGGREGATE(14,6,Mantenciones!$A$2:$A$9997/(Mantenciones!$B$2:$B$9997=$A58),1),"")</f>
        <v/>
      </c>
      <c r="N58" s="75" cm="1">
        <f t="array" ref="N58">IFERROR(_xlfn.AGGREGATE(14,6,'Compras PM'!$A$4:$A$10014/('Compras PM'!$C$4:$C$10014=$A58),1),"")</f>
        <v>46093.724767326399</v>
      </c>
      <c r="O58" s="75" t="str">
        <f>IFERROR(VLOOKUP($A58,Maestro_Equipos!$A$4:$AG$247,27,FALSE()),"")</f>
        <v/>
      </c>
      <c r="P58" s="76">
        <f t="shared" ca="1" si="3"/>
        <v>51.27523267360084</v>
      </c>
      <c r="Q58" s="76" t="str">
        <f t="shared" ca="1" si="4"/>
        <v/>
      </c>
      <c r="R58" s="73" t="str">
        <f t="shared" si="5"/>
        <v>SIN SALIDA</v>
      </c>
      <c r="S58" s="77" t="str">
        <f>IFERROR(VLOOKUP($A58,Maestro_Equipos!$A$4:$AG$247,33,FALSE()),"")</f>
        <v>No programar compra</v>
      </c>
    </row>
    <row r="59" spans="1:19" s="69" customFormat="1" hidden="1">
      <c r="A59" s="69" t="str" cm="1">
        <f t="array" ref="A59">IFERROR(INDEX(_xlfn._xlws.FILTER(Maestro_Equipos!$A$4:$A$247,Maestro_Equipos!$A$4:$A$247&lt;&gt;""),ROWS($A$4:A59)),"")</f>
        <v>EQP-14</v>
      </c>
      <c r="B59" s="69" t="str">
        <f>IFERROR(_xlfn.XLOOKUP($A59,Maestro_Equipos!$A$4:$A$247,Maestro_Equipos!$B$4:$B$247,""),"")</f>
        <v>Planta aridos</v>
      </c>
      <c r="C59" s="69" t="str">
        <f>IFERROR(_xlfn.XLOOKUP($A59,Maestro_Equipos!$A$4:$A$247,Maestro_Equipos!$C$4:$C$247,""),"")</f>
        <v>Maquinaria Pesada</v>
      </c>
      <c r="D59" s="69" t="str">
        <f>IFERROR(VLOOKUP($A56,Maestro_Equipos!$A$4:$Z$247,9,FALSE),"")</f>
        <v>HORAS</v>
      </c>
      <c r="E59" s="69">
        <f>IFERROR(IF($D59="KM",_xlfn.XLOOKUP($A59,Maestro_Equipos!$A:$A,Maestro_Equipos!$N:$N,""),_xlfn.XLOOKUP($A59,Maestro_Equipos!$A:$A,Maestro_Equipos!$M:$M,"")),"")</f>
        <v>0</v>
      </c>
      <c r="F59" s="69" t="str">
        <f>IFERROR(_xlfn.XLOOKUP($A59,Maestro_Equipos!$A:$A,Maestro_Equipos!$R:$R,"")+_xlfn.XLOOKUP($A59,Maestro_Equipos!$A:$A,Maestro_Equipos!$J:$J,""),"")</f>
        <v/>
      </c>
      <c r="G59" s="69">
        <f>IFERROR(_xlfn.XLOOKUP($A59,Maestro_Equipos!$A:$A,Maestro_Equipos!$K:$K,""),"")</f>
        <v>0</v>
      </c>
      <c r="H59" s="69" t="str">
        <f t="shared" si="0"/>
        <v/>
      </c>
      <c r="I59" s="70" t="str">
        <f t="shared" ca="1" si="1"/>
        <v/>
      </c>
      <c r="J59" s="71" t="str">
        <f>IFERROR(INDEX(Maestro_Equipos!$V$4:$V$247,MATCH($A59,Maestro_Equipos!$A$4:$A$247,0)),"")</f>
        <v>Fuera de Servicio</v>
      </c>
      <c r="K59" s="72">
        <f>IFERROR(
   SUMIFS(Mantenciones!$I:$I,Mantenciones!$B:$B,$A59)
 + SUMIFS('Compras PM'!$F:$F,'Compras PM'!$C:$C,$A59),0)</f>
        <v>0</v>
      </c>
      <c r="L59" s="73" t="str">
        <f t="shared" si="2"/>
        <v>NO PROGRAMAR</v>
      </c>
      <c r="M59" s="74" t="str" cm="1">
        <f t="array" ref="M59">IFERROR(_xlfn.AGGREGATE(14,6,Mantenciones!$A$2:$A$9997/(Mantenciones!$B$2:$B$9997=$A59),1),"")</f>
        <v/>
      </c>
      <c r="N59" s="75" t="str" cm="1">
        <f t="array" ref="N59">IFERROR(_xlfn.AGGREGATE(14,6,'Compras PM'!$A$4:$A$10014/('Compras PM'!$C$4:$C$10014=$A59),1),"")</f>
        <v/>
      </c>
      <c r="O59" s="75" t="str">
        <f>IFERROR(VLOOKUP($A59,Maestro_Equipos!$A$4:$AG$247,27,FALSE()),"")</f>
        <v/>
      </c>
      <c r="P59" s="76" t="str">
        <f t="shared" ca="1" si="3"/>
        <v/>
      </c>
      <c r="Q59" s="76" t="str">
        <f t="shared" ca="1" si="4"/>
        <v/>
      </c>
      <c r="R59" s="73" t="str">
        <f t="shared" si="5"/>
        <v>SIN SALIDA</v>
      </c>
      <c r="S59" s="77" t="str">
        <f>IFERROR(VLOOKUP($A59,Maestro_Equipos!$A$4:$AG$247,33,FALSE()),"")</f>
        <v>No programar compra</v>
      </c>
    </row>
    <row r="60" spans="1:19">
      <c r="A60" t="str" cm="1">
        <f t="array" ref="A60">IFERROR(INDEX(_xlfn._xlws.FILTER(Maestro_Equipos!$A$4:$A$247,Maestro_Equipos!$A$4:$A$247&lt;&gt;""),ROWS($A$4:A60)),"")</f>
        <v>EQP-19</v>
      </c>
      <c r="B60" t="str">
        <f>IFERROR(_xlfn.XLOOKUP($A60,Maestro_Equipos!$A$4:$A$247,Maestro_Equipos!$B$4:$B$247,""),"")</f>
        <v>Planta aridos</v>
      </c>
      <c r="C60" t="str">
        <f>IFERROR(_xlfn.XLOOKUP($A60,Maestro_Equipos!$A$4:$A$247,Maestro_Equipos!$C$4:$C$247,""),"")</f>
        <v>Maquinaria Pesada</v>
      </c>
      <c r="D60" t="str">
        <f>IFERROR(_xlfn.XLOOKUP($A60,Maestro_Equipos!$A:$A,Maestro_Equipos!$I:$I,""),"")</f>
        <v>HORAS</v>
      </c>
      <c r="E60">
        <f>IFERROR(IF($D60="KM",_xlfn.XLOOKUP($A60,Maestro_Equipos!$A:$A,Maestro_Equipos!$N:$N,""),_xlfn.XLOOKUP($A60,Maestro_Equipos!$A:$A,Maestro_Equipos!$M:$M,"")),"")</f>
        <v>0</v>
      </c>
      <c r="F60" t="str">
        <f>IFERROR(_xlfn.XLOOKUP($A60,Maestro_Equipos!$A:$A,Maestro_Equipos!$R:$R,"")+_xlfn.XLOOKUP($A60,Maestro_Equipos!$A:$A,Maestro_Equipos!$J:$J,""),"")</f>
        <v/>
      </c>
      <c r="G60">
        <f>IFERROR(_xlfn.XLOOKUP($A60,Maestro_Equipos!$A:$A,Maestro_Equipos!$K:$K,""),"")</f>
        <v>0</v>
      </c>
      <c r="H60" t="str">
        <f t="shared" si="0"/>
        <v/>
      </c>
      <c r="I60" s="41" t="str">
        <f t="shared" ca="1" si="1"/>
        <v/>
      </c>
      <c r="J60" s="5" t="str">
        <f>IFERROR(INDEX(Maestro_Equipos!$V$4:$V$247,MATCH($A60,Maestro_Equipos!$A$4:$A$247,0)),"")</f>
        <v>Operativo</v>
      </c>
      <c r="K60" s="37">
        <f>IFERROR(
   SUMIFS(Mantenciones!$I:$I,Mantenciones!$B:$B,$A60)
 + SUMIFS('Compras PM'!$F:$F,'Compras PM'!$C:$C,$A60),0)</f>
        <v>0</v>
      </c>
      <c r="L60" s="30" t="str">
        <f t="shared" si="2"/>
        <v>SIN DATOS</v>
      </c>
      <c r="M60" s="58" t="str" cm="1">
        <f t="array" ref="M60">IFERROR(_xlfn.AGGREGATE(14,6,Mantenciones!$A$2:$A$9997/(Mantenciones!$B$2:$B$9997=$A60),1),"")</f>
        <v/>
      </c>
      <c r="N60" s="31" t="str" cm="1">
        <f t="array" ref="N60">IFERROR(_xlfn.AGGREGATE(14,6,'Compras PM'!$A$4:$A$10014/('Compras PM'!$C$4:$C$10014=$A60),1),"")</f>
        <v/>
      </c>
      <c r="O60" s="31" t="str">
        <f>IFERROR(VLOOKUP($A60,Maestro_Equipos!$A$4:$AG$247,27,FALSE()),"")</f>
        <v/>
      </c>
      <c r="P60" s="32" t="str">
        <f t="shared" ca="1" si="3"/>
        <v/>
      </c>
      <c r="Q60" s="32" t="str">
        <f t="shared" ca="1" si="4"/>
        <v/>
      </c>
      <c r="R60" s="30" t="str">
        <f t="shared" si="5"/>
        <v>SIN SALIDA</v>
      </c>
      <c r="S60" s="33" t="str">
        <f>IFERROR(VLOOKUP($A60,Maestro_Equipos!$A$4:$AG$247,33,FALSE()),"")</f>
        <v>Monitorear próximo vencimiento</v>
      </c>
    </row>
    <row r="61" spans="1:19">
      <c r="A61" t="str" cm="1">
        <f t="array" ref="A61">IFERROR(INDEX(_xlfn._xlws.FILTER(Maestro_Equipos!$A$4:$A$247,Maestro_Equipos!$A$4:$A$247&lt;&gt;""),ROWS($A$4:A61)),"")</f>
        <v>EQP-9</v>
      </c>
      <c r="B61" t="str">
        <f>IFERROR(_xlfn.XLOOKUP($A61,Maestro_Equipos!$A$4:$A$247,Maestro_Equipos!$B$4:$B$247,""),"")</f>
        <v>Planta aridos</v>
      </c>
      <c r="C61" t="str">
        <f>IFERROR(_xlfn.XLOOKUP($A61,Maestro_Equipos!$A$4:$A$247,Maestro_Equipos!$C$4:$C$247,""),"")</f>
        <v>Maquinaria Pesada</v>
      </c>
      <c r="D61" t="str">
        <f>IFERROR(_xlfn.XLOOKUP($A61,Maestro_Equipos!$A:$A,Maestro_Equipos!$I:$I,""),"")</f>
        <v>HORAS</v>
      </c>
      <c r="E61">
        <f>IFERROR(IF($D61="KM",_xlfn.XLOOKUP($A61,Maestro_Equipos!$A:$A,Maestro_Equipos!$N:$N,""),_xlfn.XLOOKUP($A61,Maestro_Equipos!$A:$A,Maestro_Equipos!$M:$M,"")),"")</f>
        <v>0</v>
      </c>
      <c r="F61" t="str">
        <f>IFERROR(_xlfn.XLOOKUP($A61,Maestro_Equipos!$A:$A,Maestro_Equipos!$R:$R,"")+_xlfn.XLOOKUP($A61,Maestro_Equipos!$A:$A,Maestro_Equipos!$J:$J,""),"")</f>
        <v/>
      </c>
      <c r="G61">
        <f>IFERROR(_xlfn.XLOOKUP($A61,Maestro_Equipos!$A:$A,Maestro_Equipos!$K:$K,""),"")</f>
        <v>0</v>
      </c>
      <c r="H61" t="str">
        <f t="shared" si="0"/>
        <v/>
      </c>
      <c r="I61" s="41" t="str">
        <f t="shared" ca="1" si="1"/>
        <v/>
      </c>
      <c r="J61" s="5" t="str">
        <f>IFERROR(INDEX(Maestro_Equipos!$V$4:$V$247,MATCH($A61,Maestro_Equipos!$A$4:$A$247,0)),"")</f>
        <v>Operativo</v>
      </c>
      <c r="K61" s="37">
        <f>IFERROR(
   SUMIFS(Mantenciones!$I:$I,Mantenciones!$B:$B,$A61)
 + SUMIFS('Compras PM'!$F:$F,'Compras PM'!$C:$C,$A61),0)</f>
        <v>0</v>
      </c>
      <c r="L61" s="30" t="str">
        <f t="shared" si="2"/>
        <v>SIN DATOS</v>
      </c>
      <c r="M61" s="58" t="str" cm="1">
        <f t="array" ref="M61">IFERROR(_xlfn.AGGREGATE(14,6,Mantenciones!$A$2:$A$9997/(Mantenciones!$B$2:$B$9997=$A61),1),"")</f>
        <v/>
      </c>
      <c r="N61" s="31" t="str" cm="1">
        <f t="array" ref="N61">IFERROR(_xlfn.AGGREGATE(14,6,'Compras PM'!$A$4:$A$10014/('Compras PM'!$C$4:$C$10014=$A61),1),"")</f>
        <v/>
      </c>
      <c r="O61" s="31" t="str">
        <f>IFERROR(VLOOKUP($A61,Maestro_Equipos!$A$4:$AG$247,27,FALSE()),"")</f>
        <v/>
      </c>
      <c r="P61" s="32" t="str">
        <f t="shared" ca="1" si="3"/>
        <v/>
      </c>
      <c r="Q61" s="32" t="str">
        <f t="shared" ca="1" si="4"/>
        <v/>
      </c>
      <c r="R61" s="30" t="str">
        <f t="shared" si="5"/>
        <v>SIN SALIDA</v>
      </c>
      <c r="S61" s="33" t="str">
        <f>IFERROR(VLOOKUP($A61,Maestro_Equipos!$A$4:$AG$247,33,FALSE()),"")</f>
        <v>Monitorear próximo vencimiento</v>
      </c>
    </row>
    <row r="62" spans="1:19" s="69" customFormat="1" hidden="1">
      <c r="A62" s="69" t="str" cm="1">
        <f t="array" ref="A62">IFERROR(INDEX(_xlfn._xlws.FILTER(Maestro_Equipos!$A$4:$A$247,Maestro_Equipos!$A$4:$A$247&lt;&gt;""),ROWS($A$4:A62)),"")</f>
        <v>MD-106</v>
      </c>
      <c r="B62" s="69" t="str">
        <f>IFERROR(_xlfn.XLOOKUP($A62,Maestro_Equipos!$A$4:$A$247,Maestro_Equipos!$B$4:$B$247,""),"")</f>
        <v>Maquina Industrial</v>
      </c>
      <c r="C62" s="69" t="str">
        <f>IFERROR(_xlfn.XLOOKUP($A62,Maestro_Equipos!$A$4:$A$247,Maestro_Equipos!$C$4:$C$247,""),"")</f>
        <v>Maquinaria Pesada</v>
      </c>
      <c r="D62" s="69" t="str">
        <f>IFERROR(VLOOKUP($A59,Maestro_Equipos!$A$4:$Z$247,9,FALSE),"")</f>
        <v>HORAS</v>
      </c>
      <c r="E62" s="69">
        <f>IFERROR(IF($D62="KM",_xlfn.XLOOKUP($A62,Maestro_Equipos!$A:$A,Maestro_Equipos!$N:$N,""),_xlfn.XLOOKUP($A62,Maestro_Equipos!$A:$A,Maestro_Equipos!$M:$M,"")),"")</f>
        <v>0</v>
      </c>
      <c r="F62" s="69" t="str">
        <f>IFERROR(_xlfn.XLOOKUP($A62,Maestro_Equipos!$A:$A,Maestro_Equipos!$R:$R,"")+_xlfn.XLOOKUP($A62,Maestro_Equipos!$A:$A,Maestro_Equipos!$J:$J,""),"")</f>
        <v/>
      </c>
      <c r="G62" s="69">
        <f>IFERROR(_xlfn.XLOOKUP($A62,Maestro_Equipos!$A:$A,Maestro_Equipos!$K:$K,""),"")</f>
        <v>0</v>
      </c>
      <c r="H62" s="69" t="str">
        <f t="shared" si="0"/>
        <v/>
      </c>
      <c r="I62" s="70" t="str">
        <f t="shared" ca="1" si="1"/>
        <v/>
      </c>
      <c r="J62" s="71" t="str">
        <f>IFERROR(INDEX(Maestro_Equipos!$V$4:$V$247,MATCH($A62,Maestro_Equipos!$A$4:$A$247,0)),"")</f>
        <v>No operativo</v>
      </c>
      <c r="K62" s="72">
        <f>IFERROR(
   SUMIFS(Mantenciones!$I:$I,Mantenciones!$B:$B,$A62)
 + SUMIFS('Compras PM'!$F:$F,'Compras PM'!$C:$C,$A62),0)</f>
        <v>0</v>
      </c>
      <c r="L62" s="73" t="str">
        <f t="shared" si="2"/>
        <v>SIN DATOS</v>
      </c>
      <c r="M62" s="74" t="str" cm="1">
        <f t="array" ref="M62">IFERROR(_xlfn.AGGREGATE(14,6,Mantenciones!$A$2:$A$9997/(Mantenciones!$B$2:$B$9997=$A62),1),"")</f>
        <v/>
      </c>
      <c r="N62" s="75" t="str" cm="1">
        <f t="array" ref="N62">IFERROR(_xlfn.AGGREGATE(14,6,'Compras PM'!$A$4:$A$10014/('Compras PM'!$C$4:$C$10014=$A62),1),"")</f>
        <v/>
      </c>
      <c r="O62" s="75" t="str">
        <f>IFERROR(VLOOKUP($A62,Maestro_Equipos!$A$4:$AG$247,27,FALSE()),"")</f>
        <v/>
      </c>
      <c r="P62" s="76" t="str">
        <f t="shared" ca="1" si="3"/>
        <v/>
      </c>
      <c r="Q62" s="76" t="str">
        <f t="shared" ca="1" si="4"/>
        <v/>
      </c>
      <c r="R62" s="73" t="str">
        <f t="shared" si="5"/>
        <v>SIN SALIDA</v>
      </c>
      <c r="S62" s="77" t="str">
        <f>IFERROR(VLOOKUP($A62,Maestro_Equipos!$A$4:$AG$247,33,FALSE()),"")</f>
        <v>Monitorear próximo vencimiento</v>
      </c>
    </row>
    <row r="63" spans="1:19" ht="15" customHeight="1">
      <c r="A63" t="str" cm="1">
        <f t="array" ref="A63">IFERROR(INDEX(_xlfn._xlws.FILTER(Maestro_Equipos!$A$4:$A$247,Maestro_Equipos!$A$4:$A$247&lt;&gt;""),ROWS($A$4:A63)),"")</f>
        <v>MD-33</v>
      </c>
      <c r="B63" t="str">
        <f>IFERROR(_xlfn.XLOOKUP($A63,Maestro_Equipos!$A$4:$A$247,Maestro_Equipos!$B$4:$B$247,""),"")</f>
        <v>Excavadora</v>
      </c>
      <c r="C63" t="str">
        <f>IFERROR(_xlfn.XLOOKUP($A63,Maestro_Equipos!$A$4:$A$247,Maestro_Equipos!$C$4:$C$247,""),"")</f>
        <v>Maquinaria Pesada</v>
      </c>
      <c r="D63" t="str">
        <f>IFERROR(_xlfn.XLOOKUP($A63,Maestro_Equipos!$A:$A,Maestro_Equipos!$I:$I,""),"")</f>
        <v>HORAS</v>
      </c>
      <c r="E63">
        <f>IFERROR(IF($D63="KM",_xlfn.XLOOKUP($A63,Maestro_Equipos!$A:$A,Maestro_Equipos!$N:$N,""),_xlfn.XLOOKUP($A63,Maestro_Equipos!$A:$A,Maestro_Equipos!$M:$M,"")),"")</f>
        <v>10128</v>
      </c>
      <c r="F63" t="str">
        <f>IFERROR(_xlfn.XLOOKUP($A63,Maestro_Equipos!$A:$A,Maestro_Equipos!$R:$R,"")+_xlfn.XLOOKUP($A63,Maestro_Equipos!$A:$A,Maestro_Equipos!$J:$J,""),"")</f>
        <v/>
      </c>
      <c r="G63">
        <f>IFERROR(_xlfn.XLOOKUP($A63,Maestro_Equipos!$A:$A,Maestro_Equipos!$K:$K,""),"")</f>
        <v>0</v>
      </c>
      <c r="H63" t="str">
        <f t="shared" si="0"/>
        <v/>
      </c>
      <c r="I63" s="41" t="str">
        <f t="shared" ca="1" si="1"/>
        <v/>
      </c>
      <c r="J63" s="5" t="str">
        <f>IFERROR(INDEX(Maestro_Equipos!$V$4:$V$247,MATCH($A63,Maestro_Equipos!$A$4:$A$247,0)),"")</f>
        <v>Taller</v>
      </c>
      <c r="K63" s="37">
        <f>IFERROR(
   SUMIFS(Mantenciones!$I:$I,Mantenciones!$B:$B,$A63)
 + SUMIFS('Compras PM'!$F:$F,'Compras PM'!$C:$C,$A63),0)</f>
        <v>0</v>
      </c>
      <c r="L63" s="30" t="str">
        <f t="shared" si="2"/>
        <v>SIN DATOS</v>
      </c>
      <c r="M63" s="58" t="str" cm="1">
        <f t="array" ref="M63">IFERROR(_xlfn.AGGREGATE(14,6,Mantenciones!$A$2:$A$9997/(Mantenciones!$B$2:$B$9997=$A63),1),"")</f>
        <v/>
      </c>
      <c r="N63" s="31" t="str" cm="1">
        <f t="array" ref="N63">IFERROR(_xlfn.AGGREGATE(14,6,'Compras PM'!$A$4:$A$10014/('Compras PM'!$C$4:$C$10014=$A63),1),"")</f>
        <v/>
      </c>
      <c r="O63" s="31" t="str">
        <f>IFERROR(VLOOKUP($A63,Maestro_Equipos!$A$4:$AG$247,27,FALSE()),"")</f>
        <v/>
      </c>
      <c r="P63" s="32" t="str">
        <f t="shared" ca="1" si="3"/>
        <v/>
      </c>
      <c r="Q63" s="32" t="str">
        <f t="shared" ca="1" si="4"/>
        <v/>
      </c>
      <c r="R63" s="30" t="str">
        <f t="shared" si="5"/>
        <v>SIN SALIDA</v>
      </c>
      <c r="S63" s="33" t="str">
        <f>IFERROR(VLOOKUP($A63,Maestro_Equipos!$A$4:$AG$247,33,FALSE()),"")</f>
        <v>Monitorear próximo vencimiento</v>
      </c>
    </row>
    <row r="64" spans="1:19" ht="15" customHeight="1">
      <c r="A64" t="str" cm="1">
        <f t="array" ref="A64">IFERROR(INDEX(_xlfn._xlws.FILTER(Maestro_Equipos!$A$4:$A$247,Maestro_Equipos!$A$4:$A$247&lt;&gt;""),ROWS($A$4:A64)),"")</f>
        <v>MD-37</v>
      </c>
      <c r="B64" t="str">
        <f>IFERROR(_xlfn.XLOOKUP($A64,Maestro_Equipos!$A$4:$A$247,Maestro_Equipos!$B$4:$B$247,""),"")</f>
        <v>Cargador Frontal</v>
      </c>
      <c r="C64" t="str">
        <f>IFERROR(_xlfn.XLOOKUP($A64,Maestro_Equipos!$A$4:$A$247,Maestro_Equipos!$C$4:$C$247,""),"")</f>
        <v>Maquinaria Pesada</v>
      </c>
      <c r="D64" t="str">
        <f>IFERROR(_xlfn.XLOOKUP($A64,Maestro_Equipos!$A:$A,Maestro_Equipos!$I:$I,""),"")</f>
        <v>HORAS</v>
      </c>
      <c r="E64">
        <f>IFERROR(IF($D64="KM",_xlfn.XLOOKUP($A64,Maestro_Equipos!$A:$A,Maestro_Equipos!$N:$N,""),_xlfn.XLOOKUP($A64,Maestro_Equipos!$A:$A,Maestro_Equipos!$M:$M,"")),"")</f>
        <v>14098</v>
      </c>
      <c r="F64">
        <f>IFERROR(_xlfn.XLOOKUP($A64,Maestro_Equipos!$A:$A,Maestro_Equipos!$R:$R,"")+_xlfn.XLOOKUP($A64,Maestro_Equipos!$A:$A,Maestro_Equipos!$J:$J,""),"")</f>
        <v>13732</v>
      </c>
      <c r="G64">
        <f>IFERROR(_xlfn.XLOOKUP($A64,Maestro_Equipos!$A:$A,Maestro_Equipos!$K:$K,""),"")</f>
        <v>0</v>
      </c>
      <c r="H64" t="str">
        <f t="shared" si="0"/>
        <v/>
      </c>
      <c r="I64" s="41" t="str">
        <f t="shared" ca="1" si="1"/>
        <v/>
      </c>
      <c r="J64" s="5" t="str">
        <f>IFERROR(INDEX(Maestro_Equipos!$V$4:$V$247,MATCH($A64,Maestro_Equipos!$A$4:$A$247,0)),"")</f>
        <v>Taller</v>
      </c>
      <c r="K64" s="37">
        <f>IFERROR(
   SUMIFS(Mantenciones!$I:$I,Mantenciones!$B:$B,$A64)
 + SUMIFS('Compras PM'!$F:$F,'Compras PM'!$C:$C,$A64),0)</f>
        <v>0</v>
      </c>
      <c r="L64" s="30" t="str">
        <f t="shared" si="2"/>
        <v>SIN DATOS</v>
      </c>
      <c r="M64" s="58" cm="1">
        <f t="array" ref="M64">IFERROR(_xlfn.AGGREGATE(14,6,Mantenciones!$A$2:$A$9997/(Mantenciones!$B$2:$B$9997=$A64),1),"")</f>
        <v>46105</v>
      </c>
      <c r="N64" s="31" t="str" cm="1">
        <f t="array" ref="N64">IFERROR(_xlfn.AGGREGATE(14,6,'Compras PM'!$A$4:$A$10014/('Compras PM'!$C$4:$C$10014=$A64),1),"")</f>
        <v/>
      </c>
      <c r="O64" s="31">
        <f>IFERROR(VLOOKUP($A64,Maestro_Equipos!$A$4:$AG$247,27,FALSE()),"")</f>
        <v>46105</v>
      </c>
      <c r="P64" s="32" t="str">
        <f t="shared" ca="1" si="3"/>
        <v/>
      </c>
      <c r="Q64" s="32">
        <f t="shared" ca="1" si="4"/>
        <v>0</v>
      </c>
      <c r="R64" s="30" t="str">
        <f t="shared" si="5"/>
        <v>REALIZADA</v>
      </c>
      <c r="S64" s="33" t="str">
        <f>IFERROR(VLOOKUP($A64,Maestro_Equipos!$A$4:$AG$247,33,FALSE()),"")</f>
        <v>Monitorear próximo vencimiento</v>
      </c>
    </row>
    <row r="65" spans="1:19" ht="15" customHeight="1">
      <c r="A65" t="str" cm="1">
        <f t="array" ref="A65">IFERROR(INDEX(_xlfn._xlws.FILTER(Maestro_Equipos!$A$4:$A$247,Maestro_Equipos!$A$4:$A$247&lt;&gt;""),ROWS($A$4:A65)),"")</f>
        <v>MD-38</v>
      </c>
      <c r="B65" t="str">
        <f>IFERROR(_xlfn.XLOOKUP($A65,Maestro_Equipos!$A$4:$A$247,Maestro_Equipos!$B$4:$B$247,""),"")</f>
        <v>Rodillo</v>
      </c>
      <c r="C65" t="str">
        <f>IFERROR(_xlfn.XLOOKUP($A65,Maestro_Equipos!$A$4:$A$247,Maestro_Equipos!$C$4:$C$247,""),"")</f>
        <v>Maquinaria Pesada</v>
      </c>
      <c r="D65" t="str">
        <f>IFERROR(_xlfn.XLOOKUP($A65,Maestro_Equipos!$A:$A,Maestro_Equipos!$I:$I,""),"")</f>
        <v>HORAS</v>
      </c>
      <c r="E65">
        <f>IFERROR(IF($D65="KM",_xlfn.XLOOKUP($A65,Maestro_Equipos!$A:$A,Maestro_Equipos!$N:$N,""),_xlfn.XLOOKUP($A65,Maestro_Equipos!$A:$A,Maestro_Equipos!$M:$M,"")),"")</f>
        <v>7947</v>
      </c>
      <c r="F65" t="str">
        <f>IFERROR(_xlfn.XLOOKUP($A65,Maestro_Equipos!$A:$A,Maestro_Equipos!$R:$R,"")+_xlfn.XLOOKUP($A65,Maestro_Equipos!$A:$A,Maestro_Equipos!$J:$J,""),"")</f>
        <v/>
      </c>
      <c r="G65">
        <f>IFERROR(_xlfn.XLOOKUP($A65,Maestro_Equipos!$A:$A,Maestro_Equipos!$K:$K,""),"")</f>
        <v>0</v>
      </c>
      <c r="H65" t="str">
        <f t="shared" si="0"/>
        <v/>
      </c>
      <c r="I65" s="41" t="str">
        <f t="shared" ca="1" si="1"/>
        <v/>
      </c>
      <c r="J65" s="5" t="str">
        <f>IFERROR(INDEX(Maestro_Equipos!$V$4:$V$247,MATCH($A65,Maestro_Equipos!$A$4:$A$247,0)),"")</f>
        <v>Operativo</v>
      </c>
      <c r="K65" s="37">
        <f>IFERROR(
   SUMIFS(Mantenciones!$I:$I,Mantenciones!$B:$B,$A65)
 + SUMIFS('Compras PM'!$F:$F,'Compras PM'!$C:$C,$A65),0)</f>
        <v>0</v>
      </c>
      <c r="L65" s="30" t="str">
        <f t="shared" si="2"/>
        <v>SIN DATOS</v>
      </c>
      <c r="M65" s="58" t="str" cm="1">
        <f t="array" ref="M65">IFERROR(_xlfn.AGGREGATE(14,6,Mantenciones!$A$2:$A$9997/(Mantenciones!$B$2:$B$9997=$A65),1),"")</f>
        <v/>
      </c>
      <c r="N65" s="31" t="str" cm="1">
        <f t="array" ref="N65">IFERROR(_xlfn.AGGREGATE(14,6,'Compras PM'!$A$4:$A$10014/('Compras PM'!$C$4:$C$10014=$A65),1),"")</f>
        <v/>
      </c>
      <c r="O65" s="31" t="str">
        <f>IFERROR(VLOOKUP($A65,Maestro_Equipos!$A$4:$AG$247,27,FALSE()),"")</f>
        <v/>
      </c>
      <c r="P65" s="32" t="str">
        <f t="shared" ca="1" si="3"/>
        <v/>
      </c>
      <c r="Q65" s="32" t="str">
        <f t="shared" ca="1" si="4"/>
        <v/>
      </c>
      <c r="R65" s="30" t="str">
        <f t="shared" si="5"/>
        <v>SIN SALIDA</v>
      </c>
      <c r="S65" s="33" t="str">
        <f>IFERROR(VLOOKUP($A65,Maestro_Equipos!$A$4:$AG$247,33,FALSE()),"")</f>
        <v>Monitorear próximo vencimiento</v>
      </c>
    </row>
    <row r="66" spans="1:19">
      <c r="A66" t="str" cm="1">
        <f t="array" ref="A66">IFERROR(INDEX(_xlfn._xlws.FILTER(Maestro_Equipos!$A$4:$A$247,Maestro_Equipos!$A$4:$A$247&lt;&gt;""),ROWS($A$4:A66)),"")</f>
        <v>MD-42</v>
      </c>
      <c r="B66" t="str">
        <f>IFERROR(_xlfn.XLOOKUP($A66,Maestro_Equipos!$A$4:$A$247,Maestro_Equipos!$B$4:$B$247,""),"")</f>
        <v>Cargador Frontal</v>
      </c>
      <c r="C66" t="str">
        <f>IFERROR(_xlfn.XLOOKUP($A66,Maestro_Equipos!$A$4:$A$247,Maestro_Equipos!$C$4:$C$247,""),"")</f>
        <v>Maquinaria Pesada</v>
      </c>
      <c r="D66" t="str">
        <f>IFERROR(_xlfn.XLOOKUP($A66,Maestro_Equipos!$A:$A,Maestro_Equipos!$I:$I,""),"")</f>
        <v>HORAS</v>
      </c>
      <c r="E66">
        <f>IFERROR(IF($D66="KM",_xlfn.XLOOKUP($A66,Maestro_Equipos!$A:$A,Maestro_Equipos!$N:$N,""),_xlfn.XLOOKUP($A66,Maestro_Equipos!$A:$A,Maestro_Equipos!$M:$M,"")),"")</f>
        <v>0</v>
      </c>
      <c r="F66" t="str">
        <f>IFERROR(_xlfn.XLOOKUP($A66,Maestro_Equipos!$A:$A,Maestro_Equipos!$R:$R,"")+_xlfn.XLOOKUP($A66,Maestro_Equipos!$A:$A,Maestro_Equipos!$J:$J,""),"")</f>
        <v/>
      </c>
      <c r="G66">
        <f>IFERROR(_xlfn.XLOOKUP($A66,Maestro_Equipos!$A:$A,Maestro_Equipos!$K:$K,""),"")</f>
        <v>0</v>
      </c>
      <c r="H66" t="str">
        <f t="shared" si="0"/>
        <v/>
      </c>
      <c r="I66" s="41" t="str">
        <f t="shared" ca="1" si="1"/>
        <v/>
      </c>
      <c r="J66" s="5" t="str">
        <f>IFERROR(INDEX(Maestro_Equipos!$V$4:$V$247,MATCH($A66,Maestro_Equipos!$A$4:$A$247,0)),"")</f>
        <v>Taller</v>
      </c>
      <c r="K66" s="37">
        <f>IFERROR(
   SUMIFS(Mantenciones!$I:$I,Mantenciones!$B:$B,$A66)
 + SUMIFS('Compras PM'!$F:$F,'Compras PM'!$C:$C,$A66),0)</f>
        <v>0</v>
      </c>
      <c r="L66" s="30" t="str">
        <f t="shared" si="2"/>
        <v>SIN DATOS</v>
      </c>
      <c r="M66" s="58" t="str" cm="1">
        <f t="array" ref="M66">IFERROR(_xlfn.AGGREGATE(14,6,Mantenciones!$A$2:$A$9997/(Mantenciones!$B$2:$B$9997=$A66),1),"")</f>
        <v/>
      </c>
      <c r="N66" s="31" t="str" cm="1">
        <f t="array" ref="N66">IFERROR(_xlfn.AGGREGATE(14,6,'Compras PM'!$A$4:$A$10014/('Compras PM'!$C$4:$C$10014=$A66),1),"")</f>
        <v/>
      </c>
      <c r="O66" s="31" t="str">
        <f>IFERROR(VLOOKUP($A66,Maestro_Equipos!$A$4:$AG$247,27,FALSE()),"")</f>
        <v/>
      </c>
      <c r="P66" s="32" t="str">
        <f t="shared" ca="1" si="3"/>
        <v/>
      </c>
      <c r="Q66" s="32" t="str">
        <f t="shared" ca="1" si="4"/>
        <v/>
      </c>
      <c r="R66" s="30" t="str">
        <f t="shared" si="5"/>
        <v>SIN SALIDA</v>
      </c>
      <c r="S66" s="33" t="str">
        <f>IFERROR(VLOOKUP($A66,Maestro_Equipos!$A$4:$AG$247,33,FALSE()),"")</f>
        <v>Monitorear próximo vencimiento</v>
      </c>
    </row>
    <row r="67" spans="1:19">
      <c r="A67" t="str" cm="1">
        <f t="array" ref="A67">IFERROR(INDEX(_xlfn._xlws.FILTER(Maestro_Equipos!$A$4:$A$247,Maestro_Equipos!$A$4:$A$247&lt;&gt;""),ROWS($A$4:A67)),"")</f>
        <v>MD-43</v>
      </c>
      <c r="B67" t="str">
        <f>IFERROR(_xlfn.XLOOKUP($A67,Maestro_Equipos!$A$4:$A$247,Maestro_Equipos!$B$4:$B$247,""),"")</f>
        <v>Excavadora</v>
      </c>
      <c r="C67" t="str">
        <f>IFERROR(_xlfn.XLOOKUP($A67,Maestro_Equipos!$A$4:$A$247,Maestro_Equipos!$C$4:$C$247,""),"")</f>
        <v>Maquinaria Pesada</v>
      </c>
      <c r="D67" t="str">
        <f>IFERROR(_xlfn.XLOOKUP($A67,Maestro_Equipos!$A:$A,Maestro_Equipos!$I:$I,""),"")</f>
        <v>HORAS</v>
      </c>
      <c r="E67">
        <f>IFERROR(IF($D67="KM",_xlfn.XLOOKUP($A67,Maestro_Equipos!$A:$A,Maestro_Equipos!$N:$N,""),_xlfn.XLOOKUP($A67,Maestro_Equipos!$A:$A,Maestro_Equipos!$M:$M,"")),"")</f>
        <v>0</v>
      </c>
      <c r="F67" t="str">
        <f>IFERROR(_xlfn.XLOOKUP($A67,Maestro_Equipos!$A:$A,Maestro_Equipos!$R:$R,"")+_xlfn.XLOOKUP($A67,Maestro_Equipos!$A:$A,Maestro_Equipos!$J:$J,""),"")</f>
        <v/>
      </c>
      <c r="G67">
        <f>IFERROR(_xlfn.XLOOKUP($A67,Maestro_Equipos!$A:$A,Maestro_Equipos!$K:$K,""),"")</f>
        <v>0</v>
      </c>
      <c r="H67" t="str">
        <f t="shared" si="0"/>
        <v/>
      </c>
      <c r="I67" s="41" t="str">
        <f t="shared" ca="1" si="1"/>
        <v/>
      </c>
      <c r="J67" s="5" t="str">
        <f>IFERROR(INDEX(Maestro_Equipos!$V$4:$V$247,MATCH($A67,Maestro_Equipos!$A$4:$A$247,0)),"")</f>
        <v>Taller</v>
      </c>
      <c r="K67" s="37">
        <f>IFERROR(
   SUMIFS(Mantenciones!$I:$I,Mantenciones!$B:$B,$A67)
 + SUMIFS('Compras PM'!$F:$F,'Compras PM'!$C:$C,$A67),0)</f>
        <v>0</v>
      </c>
      <c r="L67" s="30" t="str">
        <f t="shared" si="2"/>
        <v>SIN DATOS</v>
      </c>
      <c r="M67" s="58" t="str" cm="1">
        <f t="array" ref="M67">IFERROR(_xlfn.AGGREGATE(14,6,Mantenciones!$A$2:$A$9997/(Mantenciones!$B$2:$B$9997=$A67),1),"")</f>
        <v/>
      </c>
      <c r="N67" s="31" t="str" cm="1">
        <f t="array" ref="N67">IFERROR(_xlfn.AGGREGATE(14,6,'Compras PM'!$A$4:$A$10014/('Compras PM'!$C$4:$C$10014=$A67),1),"")</f>
        <v/>
      </c>
      <c r="O67" s="31" t="str">
        <f>IFERROR(VLOOKUP($A67,Maestro_Equipos!$A$4:$AG$247,27,FALSE()),"")</f>
        <v/>
      </c>
      <c r="P67" s="32" t="str">
        <f t="shared" ca="1" si="3"/>
        <v/>
      </c>
      <c r="Q67" s="32" t="str">
        <f t="shared" ca="1" si="4"/>
        <v/>
      </c>
      <c r="R67" s="30" t="str">
        <f t="shared" si="5"/>
        <v>SIN SALIDA</v>
      </c>
      <c r="S67" s="33" t="str">
        <f>IFERROR(VLOOKUP($A67,Maestro_Equipos!$A$4:$AG$247,33,FALSE()),"")</f>
        <v>Monitorear próximo vencimiento</v>
      </c>
    </row>
    <row r="68" spans="1:19">
      <c r="A68" t="str" cm="1">
        <f t="array" ref="A68">IFERROR(INDEX(_xlfn._xlws.FILTER(Maestro_Equipos!$A$4:$A$247,Maestro_Equipos!$A$4:$A$247&lt;&gt;""),ROWS($A$4:A68)),"")</f>
        <v>MD-47</v>
      </c>
      <c r="B68" t="str">
        <f>IFERROR(_xlfn.XLOOKUP($A68,Maestro_Equipos!$A$4:$A$247,Maestro_Equipos!$B$4:$B$247,""),"")</f>
        <v>Excavadora</v>
      </c>
      <c r="C68" t="str">
        <f>IFERROR(_xlfn.XLOOKUP($A68,Maestro_Equipos!$A$4:$A$247,Maestro_Equipos!$C$4:$C$247,""),"")</f>
        <v>Maquinaria Pesada</v>
      </c>
      <c r="D68" t="str">
        <f>IFERROR(_xlfn.XLOOKUP($A68,Maestro_Equipos!$A:$A,Maestro_Equipos!$I:$I,""),"")</f>
        <v>HORAS</v>
      </c>
      <c r="E68">
        <f>IFERROR(IF($D68="KM",_xlfn.XLOOKUP($A68,Maestro_Equipos!$A:$A,Maestro_Equipos!$N:$N,""),_xlfn.XLOOKUP($A68,Maestro_Equipos!$A:$A,Maestro_Equipos!$M:$M,"")),"")</f>
        <v>0</v>
      </c>
      <c r="F68" t="str">
        <f>IFERROR(_xlfn.XLOOKUP($A68,Maestro_Equipos!$A:$A,Maestro_Equipos!$R:$R,"")+_xlfn.XLOOKUP($A68,Maestro_Equipos!$A:$A,Maestro_Equipos!$J:$J,""),"")</f>
        <v/>
      </c>
      <c r="G68">
        <f>IFERROR(_xlfn.XLOOKUP($A68,Maestro_Equipos!$A:$A,Maestro_Equipos!$K:$K,""),"")</f>
        <v>0</v>
      </c>
      <c r="H68" t="str">
        <f t="shared" ref="H68:H131" si="6">IFERROR(IF(OR($E68="",$F68="",$G68="",$G68&lt;=0),"",ROUND(($F68-$E68)/$G68,0)),"")</f>
        <v/>
      </c>
      <c r="I68" s="41" t="str">
        <f t="shared" ref="I68:I131" ca="1" si="7">IFERROR(IF($H68="","",TODAY()+$H68),"")</f>
        <v/>
      </c>
      <c r="J68" s="5" t="str">
        <f>IFERROR(INDEX(Maestro_Equipos!$V$4:$V$247,MATCH($A68,Maestro_Equipos!$A$4:$A$247,0)),"")</f>
        <v>Operativo</v>
      </c>
      <c r="K68" s="37">
        <f>IFERROR(
   SUMIFS(Mantenciones!$I:$I,Mantenciones!$B:$B,$A68)
 + SUMIFS('Compras PM'!$F:$F,'Compras PM'!$C:$C,$A68),0)</f>
        <v>0</v>
      </c>
      <c r="L68" s="30" t="str">
        <f t="shared" ref="L68:L131" si="8">IF($J68="Fuera de Servicio","NO PROGRAMAR",IF($H68="","SIN DATOS",IF($H68&lt;=0,"VENCIDA",IF($H68&lt;=7,"CRÍTICA",IF($H68&lt;=15,"ALTA",IF($H68&lt;=30,"MEDIA","BAJA"))))))</f>
        <v>SIN DATOS</v>
      </c>
      <c r="M68" s="58" t="str" cm="1">
        <f t="array" ref="M68">IFERROR(_xlfn.AGGREGATE(14,6,Mantenciones!$A$2:$A$9997/(Mantenciones!$B$2:$B$9997=$A68),1),"")</f>
        <v/>
      </c>
      <c r="N68" s="31" t="str" cm="1">
        <f t="array" ref="N68">IFERROR(_xlfn.AGGREGATE(14,6,'Compras PM'!$A$4:$A$10014/('Compras PM'!$C$4:$C$10014=$A68),1),"")</f>
        <v/>
      </c>
      <c r="O68" s="31" t="str">
        <f>IFERROR(VLOOKUP($A68,Maestro_Equipos!$A$4:$AG$247,27,FALSE()),"")</f>
        <v/>
      </c>
      <c r="P68" s="32" t="str">
        <f t="shared" ref="P68:P131" ca="1" si="9">IFERROR(IF($N68="","",IF(OR($M68="",$M68&lt;$N68),TODAY()-$N68,$M68-$N68)),"")</f>
        <v/>
      </c>
      <c r="Q68" s="32" t="str">
        <f t="shared" ref="Q68:Q131" ca="1" si="10">IFERROR(IF($O68="","",IF(OR($M68="",$M68&lt;$O68),TODAY()-$O68,$M68-$O68)),"")</f>
        <v/>
      </c>
      <c r="R68" s="30" t="str">
        <f t="shared" ref="R68:R131" si="11">IF($O68="","SIN SALIDA",IF(OR($M68="",$M68&lt;$O68),"PENDIENTE","REALIZADA"))</f>
        <v>SIN SALIDA</v>
      </c>
      <c r="S68" s="33" t="str">
        <f>IFERROR(VLOOKUP($A68,Maestro_Equipos!$A$4:$AG$247,33,FALSE()),"")</f>
        <v>Monitorear próximo vencimiento</v>
      </c>
    </row>
    <row r="69" spans="1:19" ht="15" customHeight="1">
      <c r="A69" t="str" cm="1">
        <f t="array" ref="A69">IFERROR(INDEX(_xlfn._xlws.FILTER(Maestro_Equipos!$A$4:$A$247,Maestro_Equipos!$A$4:$A$247&lt;&gt;""),ROWS($A$4:A69)),"")</f>
        <v>MD-50</v>
      </c>
      <c r="B69" t="str">
        <f>IFERROR(_xlfn.XLOOKUP($A69,Maestro_Equipos!$A$4:$A$247,Maestro_Equipos!$B$4:$B$247,""),"")</f>
        <v>Retroexcavadora</v>
      </c>
      <c r="C69" t="str">
        <f>IFERROR(_xlfn.XLOOKUP($A69,Maestro_Equipos!$A$4:$A$247,Maestro_Equipos!$C$4:$C$247,""),"")</f>
        <v>Maquinaria Pesada</v>
      </c>
      <c r="D69" t="str">
        <f>IFERROR(_xlfn.XLOOKUP($A69,Maestro_Equipos!$A:$A,Maestro_Equipos!$I:$I,""),"")</f>
        <v>HORAS</v>
      </c>
      <c r="E69">
        <f>IFERROR(IF($D69="KM",_xlfn.XLOOKUP($A69,Maestro_Equipos!$A:$A,Maestro_Equipos!$N:$N,""),_xlfn.XLOOKUP($A69,Maestro_Equipos!$A:$A,Maestro_Equipos!$M:$M,"")),"")</f>
        <v>0</v>
      </c>
      <c r="F69" t="str">
        <f>IFERROR(_xlfn.XLOOKUP($A69,Maestro_Equipos!$A:$A,Maestro_Equipos!$R:$R,"")+_xlfn.XLOOKUP($A69,Maestro_Equipos!$A:$A,Maestro_Equipos!$J:$J,""),"")</f>
        <v/>
      </c>
      <c r="G69">
        <f>IFERROR(_xlfn.XLOOKUP($A69,Maestro_Equipos!$A:$A,Maestro_Equipos!$K:$K,""),"")</f>
        <v>0</v>
      </c>
      <c r="H69" t="str">
        <f t="shared" si="6"/>
        <v/>
      </c>
      <c r="I69" s="41" t="str">
        <f t="shared" ca="1" si="7"/>
        <v/>
      </c>
      <c r="J69" s="5" t="str">
        <f>IFERROR(INDEX(Maestro_Equipos!$V$4:$V$247,MATCH($A69,Maestro_Equipos!$A$4:$A$247,0)),"")</f>
        <v>Operativo</v>
      </c>
      <c r="K69" s="37">
        <f>IFERROR(
   SUMIFS(Mantenciones!$I:$I,Mantenciones!$B:$B,$A69)
 + SUMIFS('Compras PM'!$F:$F,'Compras PM'!$C:$C,$A69),0)</f>
        <v>0</v>
      </c>
      <c r="L69" s="30" t="str">
        <f t="shared" si="8"/>
        <v>SIN DATOS</v>
      </c>
      <c r="M69" s="58" t="str" cm="1">
        <f t="array" ref="M69">IFERROR(_xlfn.AGGREGATE(14,6,Mantenciones!$A$2:$A$9997/(Mantenciones!$B$2:$B$9997=$A69),1),"")</f>
        <v/>
      </c>
      <c r="N69" s="31" t="str" cm="1">
        <f t="array" ref="N69">IFERROR(_xlfn.AGGREGATE(14,6,'Compras PM'!$A$4:$A$10014/('Compras PM'!$C$4:$C$10014=$A69),1),"")</f>
        <v/>
      </c>
      <c r="O69" s="31" t="str">
        <f>IFERROR(VLOOKUP($A69,Maestro_Equipos!$A$4:$AG$247,27,FALSE()),"")</f>
        <v/>
      </c>
      <c r="P69" s="32" t="str">
        <f t="shared" ca="1" si="9"/>
        <v/>
      </c>
      <c r="Q69" s="32" t="str">
        <f t="shared" ca="1" si="10"/>
        <v/>
      </c>
      <c r="R69" s="30" t="str">
        <f t="shared" si="11"/>
        <v>SIN SALIDA</v>
      </c>
      <c r="S69" s="33" t="str">
        <f>IFERROR(VLOOKUP($A69,Maestro_Equipos!$A$4:$AG$247,33,FALSE()),"")</f>
        <v>Monitorear próximo vencimiento</v>
      </c>
    </row>
    <row r="70" spans="1:19" ht="15" customHeight="1">
      <c r="A70" t="str" cm="1">
        <f t="array" ref="A70">IFERROR(INDEX(_xlfn._xlws.FILTER(Maestro_Equipos!$A$4:$A$247,Maestro_Equipos!$A$4:$A$247&lt;&gt;""),ROWS($A$4:A70)),"")</f>
        <v>MD-51</v>
      </c>
      <c r="B70" t="str">
        <f>IFERROR(_xlfn.XLOOKUP($A70,Maestro_Equipos!$A$4:$A$247,Maestro_Equipos!$B$4:$B$247,""),"")</f>
        <v>Rodillo de Neumaticos</v>
      </c>
      <c r="C70" t="str">
        <f>IFERROR(_xlfn.XLOOKUP($A70,Maestro_Equipos!$A$4:$A$247,Maestro_Equipos!$C$4:$C$247,""),"")</f>
        <v>Maquinaria Pesada</v>
      </c>
      <c r="D70" t="str">
        <f>IFERROR(_xlfn.XLOOKUP($A70,Maestro_Equipos!$A:$A,Maestro_Equipos!$I:$I,""),"")</f>
        <v>HORAS</v>
      </c>
      <c r="E70">
        <f>IFERROR(IF($D70="KM",_xlfn.XLOOKUP($A70,Maestro_Equipos!$A:$A,Maestro_Equipos!$N:$N,""),_xlfn.XLOOKUP($A70,Maestro_Equipos!$A:$A,Maestro_Equipos!$M:$M,"")),"")</f>
        <v>8627</v>
      </c>
      <c r="F70" t="str">
        <f>IFERROR(_xlfn.XLOOKUP($A70,Maestro_Equipos!$A:$A,Maestro_Equipos!$R:$R,"")+_xlfn.XLOOKUP($A70,Maestro_Equipos!$A:$A,Maestro_Equipos!$J:$J,""),"")</f>
        <v/>
      </c>
      <c r="G70">
        <f>IFERROR(_xlfn.XLOOKUP($A70,Maestro_Equipos!$A:$A,Maestro_Equipos!$K:$K,""),"")</f>
        <v>0.2</v>
      </c>
      <c r="H70" t="str">
        <f t="shared" si="6"/>
        <v/>
      </c>
      <c r="I70" s="41" t="str">
        <f t="shared" ca="1" si="7"/>
        <v/>
      </c>
      <c r="J70" s="5" t="str">
        <f>IFERROR(INDEX(Maestro_Equipos!$V$4:$V$247,MATCH($A70,Maestro_Equipos!$A$4:$A$247,0)),"")</f>
        <v>Operativo</v>
      </c>
      <c r="K70" s="37">
        <f>IFERROR(
   SUMIFS(Mantenciones!$I:$I,Mantenciones!$B:$B,$A70)
 + SUMIFS('Compras PM'!$F:$F,'Compras PM'!$C:$C,$A70),0)</f>
        <v>0</v>
      </c>
      <c r="L70" s="30" t="str">
        <f t="shared" si="8"/>
        <v>SIN DATOS</v>
      </c>
      <c r="M70" s="58" t="str" cm="1">
        <f t="array" ref="M70">IFERROR(_xlfn.AGGREGATE(14,6,Mantenciones!$A$2:$A$9997/(Mantenciones!$B$2:$B$9997=$A70),1),"")</f>
        <v/>
      </c>
      <c r="N70" s="31" t="str" cm="1">
        <f t="array" ref="N70">IFERROR(_xlfn.AGGREGATE(14,6,'Compras PM'!$A$4:$A$10014/('Compras PM'!$C$4:$C$10014=$A70),1),"")</f>
        <v/>
      </c>
      <c r="O70" s="31">
        <f>IFERROR(VLOOKUP($A70,Maestro_Equipos!$A$4:$AG$247,27,FALSE()),"")</f>
        <v>46083</v>
      </c>
      <c r="P70" s="32" t="str">
        <f t="shared" ca="1" si="9"/>
        <v/>
      </c>
      <c r="Q70" s="32">
        <f t="shared" ca="1" si="10"/>
        <v>62</v>
      </c>
      <c r="R70" s="30" t="str">
        <f t="shared" si="11"/>
        <v>PENDIENTE</v>
      </c>
      <c r="S70" s="33" t="str">
        <f>IFERROR(VLOOKUP($A70,Maestro_Equipos!$A$4:$AG$247,33,FALSE()),"")</f>
        <v>Monitorear próximo vencimiento</v>
      </c>
    </row>
    <row r="71" spans="1:19" ht="15" customHeight="1">
      <c r="A71" t="str" cm="1">
        <f t="array" ref="A71">IFERROR(INDEX(_xlfn._xlws.FILTER(Maestro_Equipos!$A$4:$A$247,Maestro_Equipos!$A$4:$A$247&lt;&gt;""),ROWS($A$4:A71)),"")</f>
        <v>MD-52</v>
      </c>
      <c r="B71" t="str">
        <f>IFERROR(_xlfn.XLOOKUP($A71,Maestro_Equipos!$A$4:$A$247,Maestro_Equipos!$B$4:$B$247,""),"")</f>
        <v>Rodillo Doble Tambor</v>
      </c>
      <c r="C71" t="str">
        <f>IFERROR(_xlfn.XLOOKUP($A71,Maestro_Equipos!$A$4:$A$247,Maestro_Equipos!$C$4:$C$247,""),"")</f>
        <v>Maquinaria Pesada</v>
      </c>
      <c r="D71" t="str">
        <f>IFERROR(_xlfn.XLOOKUP($A71,Maestro_Equipos!$A:$A,Maestro_Equipos!$I:$I,""),"")</f>
        <v>HORAS</v>
      </c>
      <c r="E71">
        <f>IFERROR(IF($D71="KM",_xlfn.XLOOKUP($A71,Maestro_Equipos!$A:$A,Maestro_Equipos!$N:$N,""),_xlfn.XLOOKUP($A71,Maestro_Equipos!$A:$A,Maestro_Equipos!$M:$M,"")),"")</f>
        <v>0</v>
      </c>
      <c r="F71" t="str">
        <f>IFERROR(_xlfn.XLOOKUP($A71,Maestro_Equipos!$A:$A,Maestro_Equipos!$R:$R,"")+_xlfn.XLOOKUP($A71,Maestro_Equipos!$A:$A,Maestro_Equipos!$J:$J,""),"")</f>
        <v/>
      </c>
      <c r="G71">
        <f>IFERROR(_xlfn.XLOOKUP($A71,Maestro_Equipos!$A:$A,Maestro_Equipos!$K:$K,""),"")</f>
        <v>0</v>
      </c>
      <c r="H71" t="str">
        <f t="shared" si="6"/>
        <v/>
      </c>
      <c r="I71" s="41" t="str">
        <f t="shared" ca="1" si="7"/>
        <v/>
      </c>
      <c r="J71" s="5" t="str">
        <f>IFERROR(INDEX(Maestro_Equipos!$V$4:$V$247,MATCH($A71,Maestro_Equipos!$A$4:$A$247,0)),"")</f>
        <v>Operativo</v>
      </c>
      <c r="K71" s="37">
        <f>IFERROR(
   SUMIFS(Mantenciones!$I:$I,Mantenciones!$B:$B,$A71)
 + SUMIFS('Compras PM'!$F:$F,'Compras PM'!$C:$C,$A71),0)</f>
        <v>0</v>
      </c>
      <c r="L71" s="30" t="str">
        <f t="shared" si="8"/>
        <v>SIN DATOS</v>
      </c>
      <c r="M71" s="58" t="str" cm="1">
        <f t="array" ref="M71">IFERROR(_xlfn.AGGREGATE(14,6,Mantenciones!$A$2:$A$9997/(Mantenciones!$B$2:$B$9997=$A71),1),"")</f>
        <v/>
      </c>
      <c r="N71" s="31" t="str" cm="1">
        <f t="array" ref="N71">IFERROR(_xlfn.AGGREGATE(14,6,'Compras PM'!$A$4:$A$10014/('Compras PM'!$C$4:$C$10014=$A71),1),"")</f>
        <v/>
      </c>
      <c r="O71" s="31" t="str">
        <f>IFERROR(VLOOKUP($A71,Maestro_Equipos!$A$4:$AG$247,27,FALSE()),"")</f>
        <v/>
      </c>
      <c r="P71" s="32" t="str">
        <f t="shared" ca="1" si="9"/>
        <v/>
      </c>
      <c r="Q71" s="32" t="str">
        <f t="shared" ca="1" si="10"/>
        <v/>
      </c>
      <c r="R71" s="30" t="str">
        <f t="shared" si="11"/>
        <v>SIN SALIDA</v>
      </c>
      <c r="S71" s="33" t="str">
        <f>IFERROR(VLOOKUP($A71,Maestro_Equipos!$A$4:$AG$247,33,FALSE()),"")</f>
        <v>Monitorear próximo vencimiento</v>
      </c>
    </row>
    <row r="72" spans="1:19" ht="15" customHeight="1">
      <c r="A72" t="str" cm="1">
        <f t="array" ref="A72">IFERROR(INDEX(_xlfn._xlws.FILTER(Maestro_Equipos!$A$4:$A$247,Maestro_Equipos!$A$4:$A$247&lt;&gt;""),ROWS($A$4:A72)),"")</f>
        <v>MD-58</v>
      </c>
      <c r="B72" t="str">
        <f>IFERROR(_xlfn.XLOOKUP($A72,Maestro_Equipos!$A$4:$A$247,Maestro_Equipos!$B$4:$B$247,""),"")</f>
        <v>Rodillo de Neumaticos</v>
      </c>
      <c r="C72" t="str">
        <f>IFERROR(_xlfn.XLOOKUP($A72,Maestro_Equipos!$A$4:$A$247,Maestro_Equipos!$C$4:$C$247,""),"")</f>
        <v>Maquinaria Pesada</v>
      </c>
      <c r="D72" t="str">
        <f>IFERROR(_xlfn.XLOOKUP($A72,Maestro_Equipos!$A:$A,Maestro_Equipos!$I:$I,""),"")</f>
        <v>HORAS</v>
      </c>
      <c r="E72">
        <f>IFERROR(IF($D72="KM",_xlfn.XLOOKUP($A72,Maestro_Equipos!$A:$A,Maestro_Equipos!$N:$N,""),_xlfn.XLOOKUP($A72,Maestro_Equipos!$A:$A,Maestro_Equipos!$M:$M,"")),"")</f>
        <v>0</v>
      </c>
      <c r="F72" t="str">
        <f>IFERROR(_xlfn.XLOOKUP($A72,Maestro_Equipos!$A:$A,Maestro_Equipos!$R:$R,"")+_xlfn.XLOOKUP($A72,Maestro_Equipos!$A:$A,Maestro_Equipos!$J:$J,""),"")</f>
        <v/>
      </c>
      <c r="G72">
        <f>IFERROR(_xlfn.XLOOKUP($A72,Maestro_Equipos!$A:$A,Maestro_Equipos!$K:$K,""),"")</f>
        <v>0</v>
      </c>
      <c r="H72" t="str">
        <f t="shared" si="6"/>
        <v/>
      </c>
      <c r="I72" s="41" t="str">
        <f t="shared" ca="1" si="7"/>
        <v/>
      </c>
      <c r="J72" s="5" t="str">
        <f>IFERROR(INDEX(Maestro_Equipos!$V$4:$V$247,MATCH($A72,Maestro_Equipos!$A$4:$A$247,0)),"")</f>
        <v>Operativo</v>
      </c>
      <c r="K72" s="37">
        <f>IFERROR(
   SUMIFS(Mantenciones!$I:$I,Mantenciones!$B:$B,$A72)
 + SUMIFS('Compras PM'!$F:$F,'Compras PM'!$C:$C,$A72),0)</f>
        <v>0</v>
      </c>
      <c r="L72" s="30" t="str">
        <f t="shared" si="8"/>
        <v>SIN DATOS</v>
      </c>
      <c r="M72" s="58" t="str" cm="1">
        <f t="array" ref="M72">IFERROR(_xlfn.AGGREGATE(14,6,Mantenciones!$A$2:$A$9997/(Mantenciones!$B$2:$B$9997=$A72),1),"")</f>
        <v/>
      </c>
      <c r="N72" s="31" t="str" cm="1">
        <f t="array" ref="N72">IFERROR(_xlfn.AGGREGATE(14,6,'Compras PM'!$A$4:$A$10014/('Compras PM'!$C$4:$C$10014=$A72),1),"")</f>
        <v/>
      </c>
      <c r="O72" s="31" t="str">
        <f>IFERROR(VLOOKUP($A72,Maestro_Equipos!$A$4:$AG$247,27,FALSE()),"")</f>
        <v/>
      </c>
      <c r="P72" s="32" t="str">
        <f t="shared" ca="1" si="9"/>
        <v/>
      </c>
      <c r="Q72" s="32" t="str">
        <f t="shared" ca="1" si="10"/>
        <v/>
      </c>
      <c r="R72" s="30" t="str">
        <f t="shared" si="11"/>
        <v>SIN SALIDA</v>
      </c>
      <c r="S72" s="33" t="str">
        <f>IFERROR(VLOOKUP($A72,Maestro_Equipos!$A$4:$AG$247,33,FALSE()),"")</f>
        <v>Monitorear próximo vencimiento</v>
      </c>
    </row>
    <row r="73" spans="1:19" ht="15" customHeight="1">
      <c r="A73" t="str" cm="1">
        <f t="array" ref="A73">IFERROR(INDEX(_xlfn._xlws.FILTER(Maestro_Equipos!$A$4:$A$247,Maestro_Equipos!$A$4:$A$247&lt;&gt;""),ROWS($A$4:A73)),"")</f>
        <v>MD-59</v>
      </c>
      <c r="B73" t="str">
        <f>IFERROR(_xlfn.XLOOKUP($A73,Maestro_Equipos!$A$4:$A$247,Maestro_Equipos!$B$4:$B$247,""),"")</f>
        <v>Cargador Frontal</v>
      </c>
      <c r="C73" t="str">
        <f>IFERROR(_xlfn.XLOOKUP($A73,Maestro_Equipos!$A$4:$A$247,Maestro_Equipos!$C$4:$C$247,""),"")</f>
        <v>Maquinaria Pesada</v>
      </c>
      <c r="D73" t="str">
        <f>IFERROR(_xlfn.XLOOKUP($A73,Maestro_Equipos!$A:$A,Maestro_Equipos!$I:$I,""),"")</f>
        <v>HORAS</v>
      </c>
      <c r="E73">
        <f>IFERROR(IF($D73="KM",_xlfn.XLOOKUP($A73,Maestro_Equipos!$A:$A,Maestro_Equipos!$N:$N,""),_xlfn.XLOOKUP($A73,Maestro_Equipos!$A:$A,Maestro_Equipos!$M:$M,"")),"")</f>
        <v>0</v>
      </c>
      <c r="F73" t="str">
        <f>IFERROR(_xlfn.XLOOKUP($A73,Maestro_Equipos!$A:$A,Maestro_Equipos!$R:$R,"")+_xlfn.XLOOKUP($A73,Maestro_Equipos!$A:$A,Maestro_Equipos!$J:$J,""),"")</f>
        <v/>
      </c>
      <c r="G73">
        <f>IFERROR(_xlfn.XLOOKUP($A73,Maestro_Equipos!$A:$A,Maestro_Equipos!$K:$K,""),"")</f>
        <v>0</v>
      </c>
      <c r="H73" t="str">
        <f t="shared" si="6"/>
        <v/>
      </c>
      <c r="I73" s="41" t="str">
        <f t="shared" ca="1" si="7"/>
        <v/>
      </c>
      <c r="J73" s="5" t="str">
        <f>IFERROR(INDEX(Maestro_Equipos!$V$4:$V$247,MATCH($A73,Maestro_Equipos!$A$4:$A$247,0)),"")</f>
        <v>Operativo</v>
      </c>
      <c r="K73" s="37">
        <f>IFERROR(
   SUMIFS(Mantenciones!$I:$I,Mantenciones!$B:$B,$A73)
 + SUMIFS('Compras PM'!$F:$F,'Compras PM'!$C:$C,$A73),0)</f>
        <v>0</v>
      </c>
      <c r="L73" s="30" t="str">
        <f t="shared" si="8"/>
        <v>SIN DATOS</v>
      </c>
      <c r="M73" s="58" t="str" cm="1">
        <f t="array" ref="M73">IFERROR(_xlfn.AGGREGATE(14,6,Mantenciones!$A$2:$A$9997/(Mantenciones!$B$2:$B$9997=$A73),1),"")</f>
        <v/>
      </c>
      <c r="N73" s="31" t="str" cm="1">
        <f t="array" ref="N73">IFERROR(_xlfn.AGGREGATE(14,6,'Compras PM'!$A$4:$A$10014/('Compras PM'!$C$4:$C$10014=$A73),1),"")</f>
        <v/>
      </c>
      <c r="O73" s="31" t="str">
        <f>IFERROR(VLOOKUP($A73,Maestro_Equipos!$A$4:$AG$247,27,FALSE()),"")</f>
        <v/>
      </c>
      <c r="P73" s="32" t="str">
        <f t="shared" ca="1" si="9"/>
        <v/>
      </c>
      <c r="Q73" s="32" t="str">
        <f t="shared" ca="1" si="10"/>
        <v/>
      </c>
      <c r="R73" s="30" t="str">
        <f t="shared" si="11"/>
        <v>SIN SALIDA</v>
      </c>
      <c r="S73" s="33" t="str">
        <f>IFERROR(VLOOKUP($A73,Maestro_Equipos!$A$4:$AG$247,33,FALSE()),"")</f>
        <v>Monitorear próximo vencimiento</v>
      </c>
    </row>
    <row r="74" spans="1:19" ht="15" customHeight="1">
      <c r="A74" t="str" cm="1">
        <f t="array" ref="A74">IFERROR(INDEX(_xlfn._xlws.FILTER(Maestro_Equipos!$A$4:$A$247,Maestro_Equipos!$A$4:$A$247&lt;&gt;""),ROWS($A$4:A74)),"")</f>
        <v>MD-64</v>
      </c>
      <c r="B74" t="str">
        <f>IFERROR(_xlfn.XLOOKUP($A74,Maestro_Equipos!$A$4:$A$247,Maestro_Equipos!$B$4:$B$247,""),"")</f>
        <v>Retroexcavadora</v>
      </c>
      <c r="C74" t="str">
        <f>IFERROR(_xlfn.XLOOKUP($A74,Maestro_Equipos!$A$4:$A$247,Maestro_Equipos!$C$4:$C$247,""),"")</f>
        <v>Maquinaria Pesada</v>
      </c>
      <c r="D74" t="str">
        <f>IFERROR(_xlfn.XLOOKUP($A74,Maestro_Equipos!$A:$A,Maestro_Equipos!$I:$I,""),"")</f>
        <v>HORAS</v>
      </c>
      <c r="E74">
        <f>IFERROR(IF($D74="KM",_xlfn.XLOOKUP($A74,Maestro_Equipos!$A:$A,Maestro_Equipos!$N:$N,""),_xlfn.XLOOKUP($A74,Maestro_Equipos!$A:$A,Maestro_Equipos!$M:$M,"")),"")</f>
        <v>0</v>
      </c>
      <c r="F74" t="str">
        <f>IFERROR(_xlfn.XLOOKUP($A74,Maestro_Equipos!$A:$A,Maestro_Equipos!$R:$R,"")+_xlfn.XLOOKUP($A74,Maestro_Equipos!$A:$A,Maestro_Equipos!$J:$J,""),"")</f>
        <v/>
      </c>
      <c r="G74">
        <f>IFERROR(_xlfn.XLOOKUP($A74,Maestro_Equipos!$A:$A,Maestro_Equipos!$K:$K,""),"")</f>
        <v>0</v>
      </c>
      <c r="H74" t="str">
        <f t="shared" si="6"/>
        <v/>
      </c>
      <c r="I74" s="41" t="str">
        <f t="shared" ca="1" si="7"/>
        <v/>
      </c>
      <c r="J74" s="5" t="str">
        <f>IFERROR(INDEX(Maestro_Equipos!$V$4:$V$247,MATCH($A74,Maestro_Equipos!$A$4:$A$247,0)),"")</f>
        <v>Operativo</v>
      </c>
      <c r="K74" s="37">
        <f>IFERROR(
   SUMIFS(Mantenciones!$I:$I,Mantenciones!$B:$B,$A74)
 + SUMIFS('Compras PM'!$F:$F,'Compras PM'!$C:$C,$A74),0)</f>
        <v>0</v>
      </c>
      <c r="L74" s="30" t="str">
        <f t="shared" si="8"/>
        <v>SIN DATOS</v>
      </c>
      <c r="M74" s="58" cm="1">
        <f t="array" ref="M74">IFERROR(_xlfn.AGGREGATE(14,6,Mantenciones!$A$2:$A$9997/(Mantenciones!$B$2:$B$9997=$A74),1),"")</f>
        <v>45989</v>
      </c>
      <c r="N74" s="31" t="str" cm="1">
        <f t="array" ref="N74">IFERROR(_xlfn.AGGREGATE(14,6,'Compras PM'!$A$4:$A$10014/('Compras PM'!$C$4:$C$10014=$A74),1),"")</f>
        <v/>
      </c>
      <c r="O74" s="31" t="str">
        <f>IFERROR(VLOOKUP($A74,Maestro_Equipos!$A$4:$AG$247,27,FALSE()),"")</f>
        <v/>
      </c>
      <c r="P74" s="32" t="str">
        <f t="shared" ca="1" si="9"/>
        <v/>
      </c>
      <c r="Q74" s="32" t="str">
        <f t="shared" ca="1" si="10"/>
        <v/>
      </c>
      <c r="R74" s="30" t="str">
        <f t="shared" si="11"/>
        <v>SIN SALIDA</v>
      </c>
      <c r="S74" s="33" t="str">
        <f>IFERROR(VLOOKUP($A74,Maestro_Equipos!$A$4:$AG$247,33,FALSE()),"")</f>
        <v>Monitorear próximo vencimiento</v>
      </c>
    </row>
    <row r="75" spans="1:19" s="69" customFormat="1" ht="15" hidden="1" customHeight="1">
      <c r="A75" s="69" t="str" cm="1">
        <f t="array" ref="A75">IFERROR(INDEX(_xlfn._xlws.FILTER(Maestro_Equipos!$A$4:$A$247,Maestro_Equipos!$A$4:$A$247&lt;&gt;""),ROWS($A$4:A75)),"")</f>
        <v>MD-77</v>
      </c>
      <c r="B75" s="69" t="str">
        <f>IFERROR(_xlfn.XLOOKUP($A75,Maestro_Equipos!$A$4:$A$247,Maestro_Equipos!$B$4:$B$247,""),"")</f>
        <v>Motoniveladora</v>
      </c>
      <c r="C75" s="69" t="str">
        <f>IFERROR(_xlfn.XLOOKUP($A75,Maestro_Equipos!$A$4:$A$247,Maestro_Equipos!$C$4:$C$247,""),"")</f>
        <v>Maquinaria Pesada</v>
      </c>
      <c r="D75" s="69" t="str">
        <f>IFERROR(VLOOKUP($A72,Maestro_Equipos!$A$4:$Z$247,9,FALSE),"")</f>
        <v>HORAS</v>
      </c>
      <c r="E75" s="69">
        <f>IFERROR(IF($D75="KM",_xlfn.XLOOKUP($A75,Maestro_Equipos!$A:$A,Maestro_Equipos!$N:$N,""),_xlfn.XLOOKUP($A75,Maestro_Equipos!$A:$A,Maestro_Equipos!$M:$M,"")),"")</f>
        <v>0</v>
      </c>
      <c r="F75" s="69" t="str">
        <f>IFERROR(_xlfn.XLOOKUP($A75,Maestro_Equipos!$A:$A,Maestro_Equipos!$R:$R,"")+_xlfn.XLOOKUP($A75,Maestro_Equipos!$A:$A,Maestro_Equipos!$J:$J,""),"")</f>
        <v/>
      </c>
      <c r="G75" s="69">
        <f>IFERROR(_xlfn.XLOOKUP($A75,Maestro_Equipos!$A:$A,Maestro_Equipos!$K:$K,""),"")</f>
        <v>0</v>
      </c>
      <c r="H75" s="69" t="str">
        <f t="shared" si="6"/>
        <v/>
      </c>
      <c r="I75" s="70" t="str">
        <f t="shared" ca="1" si="7"/>
        <v/>
      </c>
      <c r="J75" s="71" t="str">
        <f>IFERROR(INDEX(Maestro_Equipos!$V$4:$V$247,MATCH($A75,Maestro_Equipos!$A$4:$A$247,0)),"")</f>
        <v>Fuera de Servicio</v>
      </c>
      <c r="K75" s="72">
        <f>IFERROR(
   SUMIFS(Mantenciones!$I:$I,Mantenciones!$B:$B,$A75)
 + SUMIFS('Compras PM'!$F:$F,'Compras PM'!$C:$C,$A75),0)</f>
        <v>0</v>
      </c>
      <c r="L75" s="73" t="str">
        <f t="shared" si="8"/>
        <v>NO PROGRAMAR</v>
      </c>
      <c r="M75" s="74" t="str" cm="1">
        <f t="array" ref="M75">IFERROR(_xlfn.AGGREGATE(14,6,Mantenciones!$A$2:$A$9997/(Mantenciones!$B$2:$B$9997=$A75),1),"")</f>
        <v/>
      </c>
      <c r="N75" s="75" t="str" cm="1">
        <f t="array" ref="N75">IFERROR(_xlfn.AGGREGATE(14,6,'Compras PM'!$A$4:$A$10014/('Compras PM'!$C$4:$C$10014=$A75),1),"")</f>
        <v/>
      </c>
      <c r="O75" s="75" t="str">
        <f>IFERROR(VLOOKUP($A75,Maestro_Equipos!$A$4:$AG$247,27,FALSE()),"")</f>
        <v/>
      </c>
      <c r="P75" s="76" t="str">
        <f t="shared" ca="1" si="9"/>
        <v/>
      </c>
      <c r="Q75" s="76" t="str">
        <f t="shared" ca="1" si="10"/>
        <v/>
      </c>
      <c r="R75" s="73" t="str">
        <f t="shared" si="11"/>
        <v>SIN SALIDA</v>
      </c>
      <c r="S75" s="77" t="str">
        <f>IFERROR(VLOOKUP($A75,Maestro_Equipos!$A$4:$AG$247,33,FALSE()),"")</f>
        <v>No programar compra</v>
      </c>
    </row>
    <row r="76" spans="1:19" s="69" customFormat="1" ht="15" hidden="1" customHeight="1">
      <c r="A76" s="69" t="str" cm="1">
        <f t="array" ref="A76">IFERROR(INDEX(_xlfn._xlws.FILTER(Maestro_Equipos!$A$4:$A$247,Maestro_Equipos!$A$4:$A$247&lt;&gt;""),ROWS($A$4:A76)),"")</f>
        <v>MD-78</v>
      </c>
      <c r="B76" s="69" t="str">
        <f>IFERROR(_xlfn.XLOOKUP($A76,Maestro_Equipos!$A$4:$A$247,Maestro_Equipos!$B$4:$B$247,""),"")</f>
        <v>Extendedora</v>
      </c>
      <c r="C76" s="69" t="str">
        <f>IFERROR(_xlfn.XLOOKUP($A76,Maestro_Equipos!$A$4:$A$247,Maestro_Equipos!$C$4:$C$247,""),"")</f>
        <v>Maquinaria Pesada</v>
      </c>
      <c r="D76" s="69" t="str">
        <f>IFERROR(VLOOKUP($A73,Maestro_Equipos!$A$4:$Z$247,9,FALSE),"")</f>
        <v>HORAS</v>
      </c>
      <c r="E76" s="69">
        <f>IFERROR(IF($D76="KM",_xlfn.XLOOKUP($A76,Maestro_Equipos!$A:$A,Maestro_Equipos!$N:$N,""),_xlfn.XLOOKUP($A76,Maestro_Equipos!$A:$A,Maestro_Equipos!$M:$M,"")),"")</f>
        <v>0</v>
      </c>
      <c r="F76" s="69" t="str">
        <f>IFERROR(_xlfn.XLOOKUP($A76,Maestro_Equipos!$A:$A,Maestro_Equipos!$R:$R,"")+_xlfn.XLOOKUP($A76,Maestro_Equipos!$A:$A,Maestro_Equipos!$J:$J,""),"")</f>
        <v/>
      </c>
      <c r="G76" s="69">
        <f>IFERROR(_xlfn.XLOOKUP($A76,Maestro_Equipos!$A:$A,Maestro_Equipos!$K:$K,""),"")</f>
        <v>0</v>
      </c>
      <c r="H76" s="69" t="str">
        <f t="shared" si="6"/>
        <v/>
      </c>
      <c r="I76" s="70" t="str">
        <f t="shared" ca="1" si="7"/>
        <v/>
      </c>
      <c r="J76" s="71" t="str">
        <f>IFERROR(INDEX(Maestro_Equipos!$V$4:$V$247,MATCH($A76,Maestro_Equipos!$A$4:$A$247,0)),"")</f>
        <v>Fuera de Servicio</v>
      </c>
      <c r="K76" s="72">
        <f>IFERROR(
   SUMIFS(Mantenciones!$I:$I,Mantenciones!$B:$B,$A76)
 + SUMIFS('Compras PM'!$F:$F,'Compras PM'!$C:$C,$A76),0)</f>
        <v>0</v>
      </c>
      <c r="L76" s="73" t="str">
        <f t="shared" si="8"/>
        <v>NO PROGRAMAR</v>
      </c>
      <c r="M76" s="74" cm="1">
        <f t="array" ref="M76">IFERROR(_xlfn.AGGREGATE(14,6,Mantenciones!$A$2:$A$9997/(Mantenciones!$B$2:$B$9997=$A76),1),"")</f>
        <v>45618</v>
      </c>
      <c r="N76" s="75" t="str" cm="1">
        <f t="array" ref="N76">IFERROR(_xlfn.AGGREGATE(14,6,'Compras PM'!$A$4:$A$10014/('Compras PM'!$C$4:$C$10014=$A76),1),"")</f>
        <v/>
      </c>
      <c r="O76" s="75" t="str">
        <f>IFERROR(VLOOKUP($A76,Maestro_Equipos!$A$4:$AG$247,27,FALSE()),"")</f>
        <v/>
      </c>
      <c r="P76" s="76" t="str">
        <f t="shared" ca="1" si="9"/>
        <v/>
      </c>
      <c r="Q76" s="76" t="str">
        <f t="shared" ca="1" si="10"/>
        <v/>
      </c>
      <c r="R76" s="73" t="str">
        <f t="shared" si="11"/>
        <v>SIN SALIDA</v>
      </c>
      <c r="S76" s="77" t="str">
        <f>IFERROR(VLOOKUP($A76,Maestro_Equipos!$A$4:$AG$247,33,FALSE()),"")</f>
        <v>No programar compra</v>
      </c>
    </row>
    <row r="77" spans="1:19" s="69" customFormat="1" ht="15" hidden="1" customHeight="1">
      <c r="A77" s="69" t="str" cm="1">
        <f t="array" ref="A77">IFERROR(INDEX(_xlfn._xlws.FILTER(Maestro_Equipos!$A$4:$A$247,Maestro_Equipos!$A$4:$A$247&lt;&gt;""),ROWS($A$4:A77)),"")</f>
        <v>MD-81</v>
      </c>
      <c r="B77" s="69" t="str">
        <f>IFERROR(_xlfn.XLOOKUP($A77,Maestro_Equipos!$A$4:$A$247,Maestro_Equipos!$B$4:$B$247,""),"")</f>
        <v>Pavimentadora de encofrado deslizante</v>
      </c>
      <c r="C77" s="69" t="str">
        <f>IFERROR(_xlfn.XLOOKUP($A77,Maestro_Equipos!$A$4:$A$247,Maestro_Equipos!$C$4:$C$247,""),"")</f>
        <v>Maquinaria Pesada</v>
      </c>
      <c r="D77" s="69" t="str">
        <f>IFERROR(VLOOKUP($A74,Maestro_Equipos!$A$4:$Z$247,9,FALSE),"")</f>
        <v>HORAS</v>
      </c>
      <c r="E77" s="69">
        <f>IFERROR(IF($D77="KM",_xlfn.XLOOKUP($A77,Maestro_Equipos!$A:$A,Maestro_Equipos!$N:$N,""),_xlfn.XLOOKUP($A77,Maestro_Equipos!$A:$A,Maestro_Equipos!$M:$M,"")),"")</f>
        <v>0</v>
      </c>
      <c r="F77" s="69" t="str">
        <f>IFERROR(_xlfn.XLOOKUP($A77,Maestro_Equipos!$A:$A,Maestro_Equipos!$R:$R,"")+_xlfn.XLOOKUP($A77,Maestro_Equipos!$A:$A,Maestro_Equipos!$J:$J,""),"")</f>
        <v/>
      </c>
      <c r="G77" s="69">
        <f>IFERROR(_xlfn.XLOOKUP($A77,Maestro_Equipos!$A:$A,Maestro_Equipos!$K:$K,""),"")</f>
        <v>0</v>
      </c>
      <c r="H77" s="69" t="str">
        <f t="shared" si="6"/>
        <v/>
      </c>
      <c r="I77" s="70" t="str">
        <f t="shared" ca="1" si="7"/>
        <v/>
      </c>
      <c r="J77" s="71" t="str">
        <f>IFERROR(INDEX(Maestro_Equipos!$V$4:$V$247,MATCH($A77,Maestro_Equipos!$A$4:$A$247,0)),"")</f>
        <v>Fuera de Servicio</v>
      </c>
      <c r="K77" s="72">
        <f>IFERROR(
   SUMIFS(Mantenciones!$I:$I,Mantenciones!$B:$B,$A77)
 + SUMIFS('Compras PM'!$F:$F,'Compras PM'!$C:$C,$A77),0)</f>
        <v>0</v>
      </c>
      <c r="L77" s="73" t="str">
        <f t="shared" si="8"/>
        <v>NO PROGRAMAR</v>
      </c>
      <c r="M77" s="74" t="str" cm="1">
        <f t="array" ref="M77">IFERROR(_xlfn.AGGREGATE(14,6,Mantenciones!$A$2:$A$9997/(Mantenciones!$B$2:$B$9997=$A77),1),"")</f>
        <v/>
      </c>
      <c r="N77" s="75" t="str" cm="1">
        <f t="array" ref="N77">IFERROR(_xlfn.AGGREGATE(14,6,'Compras PM'!$A$4:$A$10014/('Compras PM'!$C$4:$C$10014=$A77),1),"")</f>
        <v/>
      </c>
      <c r="O77" s="75" t="str">
        <f>IFERROR(VLOOKUP($A77,Maestro_Equipos!$A$4:$AG$247,27,FALSE()),"")</f>
        <v/>
      </c>
      <c r="P77" s="76" t="str">
        <f t="shared" ca="1" si="9"/>
        <v/>
      </c>
      <c r="Q77" s="76" t="str">
        <f t="shared" ca="1" si="10"/>
        <v/>
      </c>
      <c r="R77" s="73" t="str">
        <f t="shared" si="11"/>
        <v>SIN SALIDA</v>
      </c>
      <c r="S77" s="77" t="str">
        <f>IFERROR(VLOOKUP($A77,Maestro_Equipos!$A$4:$AG$247,33,FALSE()),"")</f>
        <v>No programar compra</v>
      </c>
    </row>
    <row r="78" spans="1:19" ht="15" customHeight="1">
      <c r="A78" t="str" cm="1">
        <f t="array" ref="A78">IFERROR(INDEX(_xlfn._xlws.FILTER(Maestro_Equipos!$A$4:$A$247,Maestro_Equipos!$A$4:$A$247&lt;&gt;""),ROWS($A$4:A78)),"")</f>
        <v>MD-87</v>
      </c>
      <c r="B78" t="str">
        <f>IFERROR(_xlfn.XLOOKUP($A78,Maestro_Equipos!$A$4:$A$247,Maestro_Equipos!$B$4:$B$247,""),"")</f>
        <v>Excavadora</v>
      </c>
      <c r="C78" t="str">
        <f>IFERROR(_xlfn.XLOOKUP($A78,Maestro_Equipos!$A$4:$A$247,Maestro_Equipos!$C$4:$C$247,""),"")</f>
        <v>Maquinaria Pesada</v>
      </c>
      <c r="D78" t="str">
        <f>IFERROR(_xlfn.XLOOKUP($A78,Maestro_Equipos!$A:$A,Maestro_Equipos!$I:$I,""),"")</f>
        <v>HORAS</v>
      </c>
      <c r="E78">
        <f>IFERROR(IF($D78="KM",_xlfn.XLOOKUP($A78,Maestro_Equipos!$A:$A,Maestro_Equipos!$N:$N,""),_xlfn.XLOOKUP($A78,Maestro_Equipos!$A:$A,Maestro_Equipos!$M:$M,"")),"")</f>
        <v>6777</v>
      </c>
      <c r="F78">
        <f>IFERROR(_xlfn.XLOOKUP($A78,Maestro_Equipos!$A:$A,Maestro_Equipos!$R:$R,"")+_xlfn.XLOOKUP($A78,Maestro_Equipos!$A:$A,Maestro_Equipos!$J:$J,""),"")</f>
        <v>6933</v>
      </c>
      <c r="G78">
        <f>IFERROR(_xlfn.XLOOKUP($A78,Maestro_Equipos!$A:$A,Maestro_Equipos!$K:$K,""),"")</f>
        <v>0</v>
      </c>
      <c r="H78" t="str">
        <f t="shared" si="6"/>
        <v/>
      </c>
      <c r="I78" s="41" t="str">
        <f t="shared" ca="1" si="7"/>
        <v/>
      </c>
      <c r="J78" s="5" t="str">
        <f>IFERROR(INDEX(Maestro_Equipos!$V$4:$V$247,MATCH($A78,Maestro_Equipos!$A$4:$A$247,0)),"")</f>
        <v>Operativo</v>
      </c>
      <c r="K78" s="37">
        <f>IFERROR(
   SUMIFS(Mantenciones!$I:$I,Mantenciones!$B:$B,$A78)
 + SUMIFS('Compras PM'!$F:$F,'Compras PM'!$C:$C,$A78),0)</f>
        <v>450580.41</v>
      </c>
      <c r="L78" s="30" t="str">
        <f t="shared" si="8"/>
        <v>SIN DATOS</v>
      </c>
      <c r="M78" s="58" cm="1">
        <f t="array" ref="M78">IFERROR(_xlfn.AGGREGATE(14,6,Mantenciones!$A$2:$A$9997/(Mantenciones!$B$2:$B$9997=$A78),1),"")</f>
        <v>46100</v>
      </c>
      <c r="N78" s="31" cm="1">
        <f t="array" ref="N78">IFERROR(_xlfn.AGGREGATE(14,6,'Compras PM'!$A$4:$A$10014/('Compras PM'!$C$4:$C$10014=$A78),1),"")</f>
        <v>46106</v>
      </c>
      <c r="O78" s="31">
        <f>IFERROR(VLOOKUP($A78,Maestro_Equipos!$A$4:$AG$247,27,FALSE()),"")</f>
        <v>46101</v>
      </c>
      <c r="P78" s="32">
        <f t="shared" ca="1" si="9"/>
        <v>39</v>
      </c>
      <c r="Q78" s="32">
        <f t="shared" ca="1" si="10"/>
        <v>44</v>
      </c>
      <c r="R78" s="30" t="str">
        <f t="shared" si="11"/>
        <v>PENDIENTE</v>
      </c>
      <c r="S78" s="33" t="str">
        <f>IFERROR(VLOOKUP($A78,Maestro_Equipos!$A$4:$AG$247,33,FALSE()),"")</f>
        <v>Monitorear próximo vencimiento</v>
      </c>
    </row>
    <row r="79" spans="1:19" ht="15" customHeight="1">
      <c r="A79" t="str" cm="1">
        <f t="array" ref="A79">IFERROR(INDEX(_xlfn._xlws.FILTER(Maestro_Equipos!$A$4:$A$247,Maestro_Equipos!$A$4:$A$247&lt;&gt;""),ROWS($A$4:A79)),"")</f>
        <v>MD-90</v>
      </c>
      <c r="B79" t="str">
        <f>IFERROR(_xlfn.XLOOKUP($A79,Maestro_Equipos!$A$4:$A$247,Maestro_Equipos!$B$4:$B$247,""),"")</f>
        <v>Excavadora</v>
      </c>
      <c r="C79" t="str">
        <f>IFERROR(_xlfn.XLOOKUP($A79,Maestro_Equipos!$A$4:$A$247,Maestro_Equipos!$C$4:$C$247,""),"")</f>
        <v>Maquinaria Pesada</v>
      </c>
      <c r="D79" t="str">
        <f>IFERROR(_xlfn.XLOOKUP($A79,Maestro_Equipos!$A:$A,Maestro_Equipos!$I:$I,""),"")</f>
        <v>HORAS</v>
      </c>
      <c r="E79">
        <f>IFERROR(IF($D79="KM",_xlfn.XLOOKUP($A79,Maestro_Equipos!$A:$A,Maestro_Equipos!$N:$N,""),_xlfn.XLOOKUP($A79,Maestro_Equipos!$A:$A,Maestro_Equipos!$M:$M,"")),"")</f>
        <v>0</v>
      </c>
      <c r="F79" t="str">
        <f>IFERROR(_xlfn.XLOOKUP($A79,Maestro_Equipos!$A:$A,Maestro_Equipos!$R:$R,"")+_xlfn.XLOOKUP($A79,Maestro_Equipos!$A:$A,Maestro_Equipos!$J:$J,""),"")</f>
        <v/>
      </c>
      <c r="G79">
        <f>IFERROR(_xlfn.XLOOKUP($A79,Maestro_Equipos!$A:$A,Maestro_Equipos!$K:$K,""),"")</f>
        <v>0</v>
      </c>
      <c r="H79" t="str">
        <f t="shared" si="6"/>
        <v/>
      </c>
      <c r="I79" s="41" t="str">
        <f t="shared" ca="1" si="7"/>
        <v/>
      </c>
      <c r="J79" s="5" t="str">
        <f>IFERROR(INDEX(Maestro_Equipos!$V$4:$V$247,MATCH($A79,Maestro_Equipos!$A$4:$A$247,0)),"")</f>
        <v>Operativo</v>
      </c>
      <c r="K79" s="37">
        <f>IFERROR(
   SUMIFS(Mantenciones!$I:$I,Mantenciones!$B:$B,$A79)
 + SUMIFS('Compras PM'!$F:$F,'Compras PM'!$C:$C,$A79),0)</f>
        <v>0</v>
      </c>
      <c r="L79" s="30" t="str">
        <f t="shared" si="8"/>
        <v>SIN DATOS</v>
      </c>
      <c r="M79" s="58" t="str" cm="1">
        <f t="array" ref="M79">IFERROR(_xlfn.AGGREGATE(14,6,Mantenciones!$A$2:$A$9997/(Mantenciones!$B$2:$B$9997=$A79),1),"")</f>
        <v/>
      </c>
      <c r="N79" s="31" t="str" cm="1">
        <f t="array" ref="N79">IFERROR(_xlfn.AGGREGATE(14,6,'Compras PM'!$A$4:$A$10014/('Compras PM'!$C$4:$C$10014=$A79),1),"")</f>
        <v/>
      </c>
      <c r="O79" s="31" t="str">
        <f>IFERROR(VLOOKUP($A79,Maestro_Equipos!$A$4:$AG$247,27,FALSE()),"")</f>
        <v/>
      </c>
      <c r="P79" s="32" t="str">
        <f t="shared" ca="1" si="9"/>
        <v/>
      </c>
      <c r="Q79" s="32" t="str">
        <f t="shared" ca="1" si="10"/>
        <v/>
      </c>
      <c r="R79" s="30" t="str">
        <f t="shared" si="11"/>
        <v>SIN SALIDA</v>
      </c>
      <c r="S79" s="33" t="str">
        <f>IFERROR(VLOOKUP($A79,Maestro_Equipos!$A$4:$AG$247,33,FALSE()),"")</f>
        <v>Monitorear próximo vencimiento</v>
      </c>
    </row>
    <row r="80" spans="1:19" ht="15" customHeight="1">
      <c r="A80" t="str" cm="1">
        <f t="array" ref="A80">IFERROR(INDEX(_xlfn._xlws.FILTER(Maestro_Equipos!$A$4:$A$247,Maestro_Equipos!$A$4:$A$247&lt;&gt;""),ROWS($A$4:A80)),"")</f>
        <v>MD-91</v>
      </c>
      <c r="B80" t="str">
        <f>IFERROR(_xlfn.XLOOKUP($A80,Maestro_Equipos!$A$4:$A$247,Maestro_Equipos!$B$4:$B$247,""),"")</f>
        <v>Motoniveladora</v>
      </c>
      <c r="C80" t="str">
        <f>IFERROR(_xlfn.XLOOKUP($A80,Maestro_Equipos!$A$4:$A$247,Maestro_Equipos!$C$4:$C$247,""),"")</f>
        <v>Maquinaria Pesada</v>
      </c>
      <c r="D80" t="str">
        <f>IFERROR(_xlfn.XLOOKUP($A80,Maestro_Equipos!$A:$A,Maestro_Equipos!$I:$I,""),"")</f>
        <v>HORAS</v>
      </c>
      <c r="E80">
        <f>IFERROR(IF($D80="KM",_xlfn.XLOOKUP($A80,Maestro_Equipos!$A:$A,Maestro_Equipos!$N:$N,""),_xlfn.XLOOKUP($A80,Maestro_Equipos!$A:$A,Maestro_Equipos!$M:$M,"")),"")</f>
        <v>0</v>
      </c>
      <c r="F80" t="str">
        <f>IFERROR(_xlfn.XLOOKUP($A80,Maestro_Equipos!$A:$A,Maestro_Equipos!$R:$R,"")+_xlfn.XLOOKUP($A80,Maestro_Equipos!$A:$A,Maestro_Equipos!$J:$J,""),"")</f>
        <v/>
      </c>
      <c r="G80">
        <f>IFERROR(_xlfn.XLOOKUP($A80,Maestro_Equipos!$A:$A,Maestro_Equipos!$K:$K,""),"")</f>
        <v>0</v>
      </c>
      <c r="H80" t="str">
        <f t="shared" si="6"/>
        <v/>
      </c>
      <c r="I80" s="41" t="str">
        <f t="shared" ca="1" si="7"/>
        <v/>
      </c>
      <c r="J80" s="5" t="str">
        <f>IFERROR(INDEX(Maestro_Equipos!$V$4:$V$247,MATCH($A80,Maestro_Equipos!$A$4:$A$247,0)),"")</f>
        <v>Taller</v>
      </c>
      <c r="K80" s="37">
        <f>IFERROR(
   SUMIFS(Mantenciones!$I:$I,Mantenciones!$B:$B,$A80)
 + SUMIFS('Compras PM'!$F:$F,'Compras PM'!$C:$C,$A80),0)</f>
        <v>0</v>
      </c>
      <c r="L80" s="30" t="str">
        <f t="shared" si="8"/>
        <v>SIN DATOS</v>
      </c>
      <c r="M80" s="58" t="str" cm="1">
        <f t="array" ref="M80">IFERROR(_xlfn.AGGREGATE(14,6,Mantenciones!$A$2:$A$9997/(Mantenciones!$B$2:$B$9997=$A80),1),"")</f>
        <v/>
      </c>
      <c r="N80" s="31" t="str" cm="1">
        <f t="array" ref="N80">IFERROR(_xlfn.AGGREGATE(14,6,'Compras PM'!$A$4:$A$10014/('Compras PM'!$C$4:$C$10014=$A80),1),"")</f>
        <v/>
      </c>
      <c r="O80" s="31" t="str">
        <f>IFERROR(VLOOKUP($A80,Maestro_Equipos!$A$4:$AG$247,27,FALSE()),"")</f>
        <v/>
      </c>
      <c r="P80" s="32" t="str">
        <f t="shared" ca="1" si="9"/>
        <v/>
      </c>
      <c r="Q80" s="32" t="str">
        <f t="shared" ca="1" si="10"/>
        <v/>
      </c>
      <c r="R80" s="30" t="str">
        <f t="shared" si="11"/>
        <v>SIN SALIDA</v>
      </c>
      <c r="S80" s="33" t="str">
        <f>IFERROR(VLOOKUP($A80,Maestro_Equipos!$A$4:$AG$247,33,FALSE()),"")</f>
        <v>Monitorear próximo vencimiento</v>
      </c>
    </row>
    <row r="81" spans="1:19" ht="15" customHeight="1">
      <c r="A81" t="str" cm="1">
        <f t="array" ref="A81">IFERROR(INDEX(_xlfn._xlws.FILTER(Maestro_Equipos!$A$4:$A$247,Maestro_Equipos!$A$4:$A$247&lt;&gt;""),ROWS($A$4:A81)),"")</f>
        <v>VD-141</v>
      </c>
      <c r="B81" t="str">
        <f>IFERROR(_xlfn.XLOOKUP($A81,Maestro_Equipos!$A$4:$A$247,Maestro_Equipos!$B$4:$B$247,""),"")</f>
        <v>Camioneta</v>
      </c>
      <c r="C81" t="str">
        <f>IFERROR(_xlfn.XLOOKUP($A81,Maestro_Equipos!$A$4:$A$247,Maestro_Equipos!$C$4:$C$247,""),"")</f>
        <v>Vehículos Livianos</v>
      </c>
      <c r="D81" t="str">
        <f>IFERROR(_xlfn.XLOOKUP($A81,Maestro_Equipos!$A:$A,Maestro_Equipos!$I:$I,""),"")</f>
        <v>KM</v>
      </c>
      <c r="E81">
        <f>IFERROR(IF($D81="KM",_xlfn.XLOOKUP($A81,Maestro_Equipos!$A:$A,Maestro_Equipos!$N:$N,""),_xlfn.XLOOKUP($A81,Maestro_Equipos!$A:$A,Maestro_Equipos!$M:$M,"")),"")</f>
        <v>0</v>
      </c>
      <c r="F81" t="str">
        <f>IFERROR(_xlfn.XLOOKUP($A81,Maestro_Equipos!$A:$A,Maestro_Equipos!$R:$R,"")+_xlfn.XLOOKUP($A81,Maestro_Equipos!$A:$A,Maestro_Equipos!$J:$J,""),"")</f>
        <v/>
      </c>
      <c r="G81">
        <f>IFERROR(_xlfn.XLOOKUP($A81,Maestro_Equipos!$A:$A,Maestro_Equipos!$K:$K,""),"")</f>
        <v>0</v>
      </c>
      <c r="H81" t="str">
        <f t="shared" si="6"/>
        <v/>
      </c>
      <c r="I81" s="41" t="str">
        <f t="shared" ca="1" si="7"/>
        <v/>
      </c>
      <c r="J81" s="5" t="str">
        <f>IFERROR(INDEX(Maestro_Equipos!$V$4:$V$247,MATCH($A81,Maestro_Equipos!$A$4:$A$247,0)),"")</f>
        <v>Operativo</v>
      </c>
      <c r="K81" s="37">
        <f>IFERROR(
   SUMIFS(Mantenciones!$I:$I,Mantenciones!$B:$B,$A81)
 + SUMIFS('Compras PM'!$F:$F,'Compras PM'!$C:$C,$A81),0)</f>
        <v>0</v>
      </c>
      <c r="L81" s="30" t="str">
        <f t="shared" si="8"/>
        <v>SIN DATOS</v>
      </c>
      <c r="M81" s="58" t="str" cm="1">
        <f t="array" ref="M81">IFERROR(_xlfn.AGGREGATE(14,6,Mantenciones!$A$2:$A$9997/(Mantenciones!$B$2:$B$9997=$A81),1),"")</f>
        <v/>
      </c>
      <c r="N81" s="31" t="str" cm="1">
        <f t="array" ref="N81">IFERROR(_xlfn.AGGREGATE(14,6,'Compras PM'!$A$4:$A$10014/('Compras PM'!$C$4:$C$10014=$A81),1),"")</f>
        <v/>
      </c>
      <c r="O81" s="31" t="str">
        <f>IFERROR(VLOOKUP($A81,Maestro_Equipos!$A$4:$AG$247,27,FALSE()),"")</f>
        <v/>
      </c>
      <c r="P81" s="32" t="str">
        <f t="shared" ca="1" si="9"/>
        <v/>
      </c>
      <c r="Q81" s="32" t="str">
        <f t="shared" ca="1" si="10"/>
        <v/>
      </c>
      <c r="R81" s="30" t="str">
        <f t="shared" si="11"/>
        <v>SIN SALIDA</v>
      </c>
      <c r="S81" s="33" t="str">
        <f>IFERROR(VLOOKUP($A81,Maestro_Equipos!$A$4:$AG$247,33,FALSE()),"")</f>
        <v>Monitorear próximo vencimiento</v>
      </c>
    </row>
    <row r="82" spans="1:19" ht="20.25" customHeight="1">
      <c r="A82" t="str" cm="1">
        <f t="array" ref="A82">IFERROR(INDEX(_xlfn._xlws.FILTER(Maestro_Equipos!$A$4:$A$247,Maestro_Equipos!$A$4:$A$247&lt;&gt;""),ROWS($A$4:A82)),"")</f>
        <v>VD-29</v>
      </c>
      <c r="B82" t="str">
        <f>IFERROR(_xlfn.XLOOKUP($A82,Maestro_Equipos!$A$4:$A$247,Maestro_Equipos!$B$4:$B$247,""),"")</f>
        <v>Minibus</v>
      </c>
      <c r="C82" t="str">
        <f>IFERROR(_xlfn.XLOOKUP($A82,Maestro_Equipos!$A$4:$A$247,Maestro_Equipos!$C$4:$C$247,""),"")</f>
        <v>Vehículos Livianos</v>
      </c>
      <c r="D82" t="str">
        <f>IFERROR(_xlfn.XLOOKUP($A82,Maestro_Equipos!$A:$A,Maestro_Equipos!$I:$I,""),"")</f>
        <v>KM</v>
      </c>
      <c r="E82">
        <f>IFERROR(IF($D82="KM",_xlfn.XLOOKUP($A82,Maestro_Equipos!$A:$A,Maestro_Equipos!$N:$N,""),_xlfn.XLOOKUP($A82,Maestro_Equipos!$A:$A,Maestro_Equipos!$M:$M,"")),"")</f>
        <v>510507</v>
      </c>
      <c r="F82" t="str">
        <f>IFERROR(_xlfn.XLOOKUP($A82,Maestro_Equipos!$A:$A,Maestro_Equipos!$R:$R,"")+_xlfn.XLOOKUP($A82,Maestro_Equipos!$A:$A,Maestro_Equipos!$J:$J,""),"")</f>
        <v/>
      </c>
      <c r="G82">
        <f>IFERROR(_xlfn.XLOOKUP($A82,Maestro_Equipos!$A:$A,Maestro_Equipos!$K:$K,""),"")</f>
        <v>0</v>
      </c>
      <c r="H82" t="str">
        <f t="shared" si="6"/>
        <v/>
      </c>
      <c r="I82" s="41" t="str">
        <f t="shared" ca="1" si="7"/>
        <v/>
      </c>
      <c r="J82" s="5" t="str">
        <f>IFERROR(INDEX(Maestro_Equipos!$V$4:$V$247,MATCH($A82,Maestro_Equipos!$A$4:$A$247,0)),"")</f>
        <v>Operativo</v>
      </c>
      <c r="K82" s="37">
        <f>IFERROR(
   SUMIFS(Mantenciones!$I:$I,Mantenciones!$B:$B,$A82)
 + SUMIFS('Compras PM'!$F:$F,'Compras PM'!$C:$C,$A82),0)</f>
        <v>61356.4</v>
      </c>
      <c r="L82" s="30" t="str">
        <f t="shared" si="8"/>
        <v>SIN DATOS</v>
      </c>
      <c r="M82" s="58" cm="1">
        <f t="array" ref="M82">IFERROR(_xlfn.AGGREGATE(14,6,Mantenciones!$A$2:$A$9997/(Mantenciones!$B$2:$B$9997=$A82),1),"")</f>
        <v>46078</v>
      </c>
      <c r="N82" s="31" cm="1">
        <f t="array" ref="N82">IFERROR(_xlfn.AGGREGATE(14,6,'Compras PM'!$A$4:$A$10014/('Compras PM'!$C$4:$C$10014=$A82),1),"")</f>
        <v>46073.523869641198</v>
      </c>
      <c r="O82" s="31">
        <f>IFERROR(VLOOKUP($A82,Maestro_Equipos!$A$4:$AG$247,27,FALSE()),"")</f>
        <v>46077</v>
      </c>
      <c r="P82" s="32">
        <f t="shared" ca="1" si="9"/>
        <v>4.4761303588020382</v>
      </c>
      <c r="Q82" s="32">
        <f t="shared" ca="1" si="10"/>
        <v>1</v>
      </c>
      <c r="R82" s="30" t="str">
        <f t="shared" si="11"/>
        <v>REALIZADA</v>
      </c>
      <c r="S82" s="33" t="str">
        <f>IFERROR(VLOOKUP($A82,Maestro_Equipos!$A$4:$AG$247,33,FALSE()),"")</f>
        <v>Monitorear próximo vencimiento</v>
      </c>
    </row>
    <row r="83" spans="1:19" ht="15" customHeight="1">
      <c r="A83" t="str" cm="1">
        <f t="array" ref="A83">IFERROR(INDEX(_xlfn._xlws.FILTER(Maestro_Equipos!$A$4:$A$247,Maestro_Equipos!$A$4:$A$247&lt;&gt;""),ROWS($A$4:A83)),"")</f>
        <v>VD-45</v>
      </c>
      <c r="B83" t="str">
        <f>IFERROR(_xlfn.XLOOKUP($A83,Maestro_Equipos!$A$4:$A$247,Maestro_Equipos!$B$4:$B$247,""),"")</f>
        <v>Minibus</v>
      </c>
      <c r="C83" t="str">
        <f>IFERROR(_xlfn.XLOOKUP($A83,Maestro_Equipos!$A$4:$A$247,Maestro_Equipos!$C$4:$C$247,""),"")</f>
        <v>Vehículos Livianos</v>
      </c>
      <c r="D83" t="str">
        <f>IFERROR(_xlfn.XLOOKUP($A83,Maestro_Equipos!$A:$A,Maestro_Equipos!$I:$I,""),"")</f>
        <v>KM</v>
      </c>
      <c r="E83">
        <f>IFERROR(IF($D83="KM",_xlfn.XLOOKUP($A83,Maestro_Equipos!$A:$A,Maestro_Equipos!$N:$N,""),_xlfn.XLOOKUP($A83,Maestro_Equipos!$A:$A,Maestro_Equipos!$M:$M,"")),"")</f>
        <v>256600</v>
      </c>
      <c r="F83" t="str">
        <f>IFERROR(_xlfn.XLOOKUP($A83,Maestro_Equipos!$A:$A,Maestro_Equipos!$R:$R,"")+_xlfn.XLOOKUP($A83,Maestro_Equipos!$A:$A,Maestro_Equipos!$J:$J,""),"")</f>
        <v/>
      </c>
      <c r="G83">
        <f>IFERROR(_xlfn.XLOOKUP($A83,Maestro_Equipos!$A:$A,Maestro_Equipos!$K:$K,""),"")</f>
        <v>0</v>
      </c>
      <c r="H83" t="str">
        <f t="shared" si="6"/>
        <v/>
      </c>
      <c r="I83" s="41" t="str">
        <f t="shared" ca="1" si="7"/>
        <v/>
      </c>
      <c r="J83" s="5" t="str">
        <f>IFERROR(INDEX(Maestro_Equipos!$V$4:$V$247,MATCH($A83,Maestro_Equipos!$A$4:$A$247,0)),"")</f>
        <v>Operativo</v>
      </c>
      <c r="K83" s="37">
        <f>IFERROR(
   SUMIFS(Mantenciones!$I:$I,Mantenciones!$B:$B,$A83)
 + SUMIFS('Compras PM'!$F:$F,'Compras PM'!$C:$C,$A83),0)</f>
        <v>0</v>
      </c>
      <c r="L83" s="30" t="str">
        <f t="shared" si="8"/>
        <v>SIN DATOS</v>
      </c>
      <c r="M83" s="58" t="str" cm="1">
        <f t="array" ref="M83">IFERROR(_xlfn.AGGREGATE(14,6,Mantenciones!$A$2:$A$9997/(Mantenciones!$B$2:$B$9997=$A83),1),"")</f>
        <v/>
      </c>
      <c r="N83" s="31" t="str" cm="1">
        <f t="array" ref="N83">IFERROR(_xlfn.AGGREGATE(14,6,'Compras PM'!$A$4:$A$10014/('Compras PM'!$C$4:$C$10014=$A83),1),"")</f>
        <v/>
      </c>
      <c r="O83" s="31" t="str">
        <f>IFERROR(VLOOKUP($A83,Maestro_Equipos!$A$4:$AG$247,27,FALSE()),"")</f>
        <v/>
      </c>
      <c r="P83" s="32" t="str">
        <f t="shared" ca="1" si="9"/>
        <v/>
      </c>
      <c r="Q83" s="32" t="str">
        <f t="shared" ca="1" si="10"/>
        <v/>
      </c>
      <c r="R83" s="30" t="str">
        <f t="shared" si="11"/>
        <v>SIN SALIDA</v>
      </c>
      <c r="S83" s="33" t="str">
        <f>IFERROR(VLOOKUP($A83,Maestro_Equipos!$A$4:$AG$247,33,FALSE()),"")</f>
        <v>Monitorear próximo vencimiento</v>
      </c>
    </row>
    <row r="84" spans="1:19" s="69" customFormat="1" ht="15" hidden="1" customHeight="1">
      <c r="A84" s="69" t="str" cm="1">
        <f t="array" ref="A84">IFERROR(INDEX(_xlfn._xlws.FILTER(Maestro_Equipos!$A$4:$A$247,Maestro_Equipos!$A$4:$A$247&lt;&gt;""),ROWS($A$4:A84)),"")</f>
        <v>VD-57</v>
      </c>
      <c r="B84" s="69" t="str">
        <f>IFERROR(_xlfn.XLOOKUP($A84,Maestro_Equipos!$A$4:$A$247,Maestro_Equipos!$B$4:$B$247,""),"")</f>
        <v>Camioneta</v>
      </c>
      <c r="C84" s="69" t="str">
        <f>IFERROR(_xlfn.XLOOKUP($A84,Maestro_Equipos!$A$4:$A$247,Maestro_Equipos!$C$4:$C$247,""),"")</f>
        <v>Vehículos Livianos</v>
      </c>
      <c r="D84" s="69" t="str">
        <f>IFERROR(VLOOKUP($A81,Maestro_Equipos!$A$4:$Z$247,9,FALSE),"")</f>
        <v>KM</v>
      </c>
      <c r="E84" s="69">
        <f>IFERROR(IF($D84="KM",_xlfn.XLOOKUP($A84,Maestro_Equipos!$A:$A,Maestro_Equipos!$N:$N,""),_xlfn.XLOOKUP($A84,Maestro_Equipos!$A:$A,Maestro_Equipos!$M:$M,"")),"")</f>
        <v>113489</v>
      </c>
      <c r="F84" s="69" t="str">
        <f>IFERROR(_xlfn.XLOOKUP($A84,Maestro_Equipos!$A:$A,Maestro_Equipos!$R:$R,"")+_xlfn.XLOOKUP($A84,Maestro_Equipos!$A:$A,Maestro_Equipos!$J:$J,""),"")</f>
        <v/>
      </c>
      <c r="G84" s="69">
        <f>IFERROR(_xlfn.XLOOKUP($A84,Maestro_Equipos!$A:$A,Maestro_Equipos!$K:$K,""),"")</f>
        <v>0</v>
      </c>
      <c r="H84" s="69" t="str">
        <f t="shared" si="6"/>
        <v/>
      </c>
      <c r="I84" s="70" t="str">
        <f t="shared" ca="1" si="7"/>
        <v/>
      </c>
      <c r="J84" s="71" t="str">
        <f>IFERROR(INDEX(Maestro_Equipos!$V$4:$V$247,MATCH($A84,Maestro_Equipos!$A$4:$A$247,0)),"")</f>
        <v>Fuera de Servicio</v>
      </c>
      <c r="K84" s="72">
        <f>IFERROR(
   SUMIFS(Mantenciones!$I:$I,Mantenciones!$B:$B,$A84)
 + SUMIFS('Compras PM'!$F:$F,'Compras PM'!$C:$C,$A84),0)</f>
        <v>0</v>
      </c>
      <c r="L84" s="73" t="str">
        <f t="shared" si="8"/>
        <v>NO PROGRAMAR</v>
      </c>
      <c r="M84" s="74" t="str" cm="1">
        <f t="array" ref="M84">IFERROR(_xlfn.AGGREGATE(14,6,Mantenciones!$A$2:$A$9997/(Mantenciones!$B$2:$B$9997=$A84),1),"")</f>
        <v/>
      </c>
      <c r="N84" s="75" t="str" cm="1">
        <f t="array" ref="N84">IFERROR(_xlfn.AGGREGATE(14,6,'Compras PM'!$A$4:$A$10014/('Compras PM'!$C$4:$C$10014=$A84),1),"")</f>
        <v/>
      </c>
      <c r="O84" s="75" t="str">
        <f>IFERROR(VLOOKUP($A84,Maestro_Equipos!$A$4:$AG$247,27,FALSE()),"")</f>
        <v/>
      </c>
      <c r="P84" s="76" t="str">
        <f t="shared" ca="1" si="9"/>
        <v/>
      </c>
      <c r="Q84" s="76" t="str">
        <f t="shared" ca="1" si="10"/>
        <v/>
      </c>
      <c r="R84" s="73" t="str">
        <f t="shared" si="11"/>
        <v>SIN SALIDA</v>
      </c>
      <c r="S84" s="77" t="str">
        <f>IFERROR(VLOOKUP($A84,Maestro_Equipos!$A$4:$AG$247,33,FALSE()),"")</f>
        <v>No programar compra</v>
      </c>
    </row>
    <row r="85" spans="1:19" s="69" customFormat="1" ht="15" hidden="1" customHeight="1">
      <c r="A85" s="69" t="str" cm="1">
        <f t="array" ref="A85">IFERROR(INDEX(_xlfn._xlws.FILTER(Maestro_Equipos!$A$4:$A$247,Maestro_Equipos!$A$4:$A$247&lt;&gt;""),ROWS($A$4:A85)),"")</f>
        <v>VD-59</v>
      </c>
      <c r="B85" s="69" t="str">
        <f>IFERROR(_xlfn.XLOOKUP($A85,Maestro_Equipos!$A$4:$A$247,Maestro_Equipos!$B$4:$B$247,""),"")</f>
        <v>Camioneta</v>
      </c>
      <c r="C85" s="69" t="str">
        <f>IFERROR(_xlfn.XLOOKUP($A85,Maestro_Equipos!$A$4:$A$247,Maestro_Equipos!$C$4:$C$247,""),"")</f>
        <v>Vehículos Livianos</v>
      </c>
      <c r="D85" s="69" t="str">
        <f>IFERROR(VLOOKUP($A82,Maestro_Equipos!$A$4:$Z$247,9,FALSE),"")</f>
        <v>KM</v>
      </c>
      <c r="E85" s="69">
        <f>IFERROR(IF($D85="KM",_xlfn.XLOOKUP($A85,Maestro_Equipos!$A:$A,Maestro_Equipos!$N:$N,""),_xlfn.XLOOKUP($A85,Maestro_Equipos!$A:$A,Maestro_Equipos!$M:$M,"")),"")</f>
        <v>0</v>
      </c>
      <c r="F85" s="69" t="str">
        <f>IFERROR(_xlfn.XLOOKUP($A85,Maestro_Equipos!$A:$A,Maestro_Equipos!$R:$R,"")+_xlfn.XLOOKUP($A85,Maestro_Equipos!$A:$A,Maestro_Equipos!$J:$J,""),"")</f>
        <v/>
      </c>
      <c r="G85" s="69">
        <f>IFERROR(_xlfn.XLOOKUP($A85,Maestro_Equipos!$A:$A,Maestro_Equipos!$K:$K,""),"")</f>
        <v>0</v>
      </c>
      <c r="H85" s="69" t="str">
        <f t="shared" si="6"/>
        <v/>
      </c>
      <c r="I85" s="70" t="str">
        <f t="shared" ca="1" si="7"/>
        <v/>
      </c>
      <c r="J85" s="71" t="str">
        <f>IFERROR(INDEX(Maestro_Equipos!$V$4:$V$247,MATCH($A85,Maestro_Equipos!$A$4:$A$247,0)),"")</f>
        <v>Fuera de Servicio</v>
      </c>
      <c r="K85" s="72">
        <f>IFERROR(
   SUMIFS(Mantenciones!$I:$I,Mantenciones!$B:$B,$A85)
 + SUMIFS('Compras PM'!$F:$F,'Compras PM'!$C:$C,$A85),0)</f>
        <v>0</v>
      </c>
      <c r="L85" s="73" t="str">
        <f t="shared" si="8"/>
        <v>NO PROGRAMAR</v>
      </c>
      <c r="M85" s="74" t="str" cm="1">
        <f t="array" ref="M85">IFERROR(_xlfn.AGGREGATE(14,6,Mantenciones!$A$2:$A$9997/(Mantenciones!$B$2:$B$9997=$A85),1),"")</f>
        <v/>
      </c>
      <c r="N85" s="75" t="str" cm="1">
        <f t="array" ref="N85">IFERROR(_xlfn.AGGREGATE(14,6,'Compras PM'!$A$4:$A$10014/('Compras PM'!$C$4:$C$10014=$A85),1),"")</f>
        <v/>
      </c>
      <c r="O85" s="75" t="str">
        <f>IFERROR(VLOOKUP($A85,Maestro_Equipos!$A$4:$AG$247,27,FALSE()),"")</f>
        <v/>
      </c>
      <c r="P85" s="76" t="str">
        <f t="shared" ca="1" si="9"/>
        <v/>
      </c>
      <c r="Q85" s="76" t="str">
        <f t="shared" ca="1" si="10"/>
        <v/>
      </c>
      <c r="R85" s="73" t="str">
        <f t="shared" si="11"/>
        <v>SIN SALIDA</v>
      </c>
      <c r="S85" s="77" t="str">
        <f>IFERROR(VLOOKUP($A85,Maestro_Equipos!$A$4:$AG$247,33,FALSE()),"")</f>
        <v>No programar compra</v>
      </c>
    </row>
    <row r="86" spans="1:19" s="69" customFormat="1" ht="15" hidden="1" customHeight="1">
      <c r="A86" s="69" t="str" cm="1">
        <f t="array" ref="A86">IFERROR(INDEX(_xlfn._xlws.FILTER(Maestro_Equipos!$A$4:$A$247,Maestro_Equipos!$A$4:$A$247&lt;&gt;""),ROWS($A$4:A86)),"")</f>
        <v>VD-62</v>
      </c>
      <c r="B86" s="69" t="str">
        <f>IFERROR(_xlfn.XLOOKUP($A86,Maestro_Equipos!$A$4:$A$247,Maestro_Equipos!$B$4:$B$247,""),"")</f>
        <v>Camioneta</v>
      </c>
      <c r="C86" s="69" t="str">
        <f>IFERROR(_xlfn.XLOOKUP($A86,Maestro_Equipos!$A$4:$A$247,Maestro_Equipos!$C$4:$C$247,""),"")</f>
        <v>Vehículos Livianos</v>
      </c>
      <c r="D86" s="69" t="str">
        <f>IFERROR(VLOOKUP($A83,Maestro_Equipos!$A$4:$Z$247,9,FALSE),"")</f>
        <v>KM</v>
      </c>
      <c r="E86" s="69">
        <f>IFERROR(IF($D86="KM",_xlfn.XLOOKUP($A86,Maestro_Equipos!$A:$A,Maestro_Equipos!$N:$N,""),_xlfn.XLOOKUP($A86,Maestro_Equipos!$A:$A,Maestro_Equipos!$M:$M,"")),"")</f>
        <v>0</v>
      </c>
      <c r="F86" s="69" t="str">
        <f>IFERROR(_xlfn.XLOOKUP($A86,Maestro_Equipos!$A:$A,Maestro_Equipos!$R:$R,"")+_xlfn.XLOOKUP($A86,Maestro_Equipos!$A:$A,Maestro_Equipos!$J:$J,""),"")</f>
        <v/>
      </c>
      <c r="G86" s="69">
        <f>IFERROR(_xlfn.XLOOKUP($A86,Maestro_Equipos!$A:$A,Maestro_Equipos!$K:$K,""),"")</f>
        <v>0</v>
      </c>
      <c r="H86" s="69" t="str">
        <f t="shared" si="6"/>
        <v/>
      </c>
      <c r="I86" s="70" t="str">
        <f t="shared" ca="1" si="7"/>
        <v/>
      </c>
      <c r="J86" s="71" t="str">
        <f>IFERROR(INDEX(Maestro_Equipos!$V$4:$V$247,MATCH($A86,Maestro_Equipos!$A$4:$A$247,0)),"")</f>
        <v>Fuera de Servicio</v>
      </c>
      <c r="K86" s="72">
        <f>IFERROR(
   SUMIFS(Mantenciones!$I:$I,Mantenciones!$B:$B,$A86)
 + SUMIFS('Compras PM'!$F:$F,'Compras PM'!$C:$C,$A86),0)</f>
        <v>0</v>
      </c>
      <c r="L86" s="73" t="str">
        <f t="shared" si="8"/>
        <v>NO PROGRAMAR</v>
      </c>
      <c r="M86" s="74" t="str" cm="1">
        <f t="array" ref="M86">IFERROR(_xlfn.AGGREGATE(14,6,Mantenciones!$A$2:$A$9997/(Mantenciones!$B$2:$B$9997=$A86),1),"")</f>
        <v/>
      </c>
      <c r="N86" s="75" t="str" cm="1">
        <f t="array" ref="N86">IFERROR(_xlfn.AGGREGATE(14,6,'Compras PM'!$A$4:$A$10014/('Compras PM'!$C$4:$C$10014=$A86),1),"")</f>
        <v/>
      </c>
      <c r="O86" s="75" t="str">
        <f>IFERROR(VLOOKUP($A86,Maestro_Equipos!$A$4:$AG$247,27,FALSE()),"")</f>
        <v/>
      </c>
      <c r="P86" s="76" t="str">
        <f t="shared" ca="1" si="9"/>
        <v/>
      </c>
      <c r="Q86" s="76" t="str">
        <f t="shared" ca="1" si="10"/>
        <v/>
      </c>
      <c r="R86" s="73" t="str">
        <f t="shared" si="11"/>
        <v>SIN SALIDA</v>
      </c>
      <c r="S86" s="77" t="str">
        <f>IFERROR(VLOOKUP($A86,Maestro_Equipos!$A$4:$AG$247,33,FALSE()),"")</f>
        <v>No programar compra</v>
      </c>
    </row>
    <row r="87" spans="1:19" s="69" customFormat="1" ht="15" hidden="1" customHeight="1">
      <c r="A87" s="69" t="str" cm="1">
        <f t="array" ref="A87">IFERROR(INDEX(_xlfn._xlws.FILTER(Maestro_Equipos!$A$4:$A$247,Maestro_Equipos!$A$4:$A$247&lt;&gt;""),ROWS($A$4:A87)),"")</f>
        <v>VD-65</v>
      </c>
      <c r="B87" s="69" t="str">
        <f>IFERROR(_xlfn.XLOOKUP($A87,Maestro_Equipos!$A$4:$A$247,Maestro_Equipos!$B$4:$B$247,""),"")</f>
        <v>Camioneta</v>
      </c>
      <c r="C87" s="69" t="str">
        <f>IFERROR(_xlfn.XLOOKUP($A87,Maestro_Equipos!$A$4:$A$247,Maestro_Equipos!$C$4:$C$247,""),"")</f>
        <v>Vehículos Livianos</v>
      </c>
      <c r="D87" s="69" t="str">
        <f>IFERROR(VLOOKUP($A84,Maestro_Equipos!$A$4:$Z$247,9,FALSE),"")</f>
        <v>KM</v>
      </c>
      <c r="E87" s="69">
        <f>IFERROR(IF($D87="KM",_xlfn.XLOOKUP($A87,Maestro_Equipos!$A:$A,Maestro_Equipos!$N:$N,""),_xlfn.XLOOKUP($A87,Maestro_Equipos!$A:$A,Maestro_Equipos!$M:$M,"")),"")</f>
        <v>0</v>
      </c>
      <c r="F87" s="69" t="str">
        <f>IFERROR(_xlfn.XLOOKUP($A87,Maestro_Equipos!$A:$A,Maestro_Equipos!$R:$R,"")+_xlfn.XLOOKUP($A87,Maestro_Equipos!$A:$A,Maestro_Equipos!$J:$J,""),"")</f>
        <v/>
      </c>
      <c r="G87" s="69">
        <f>IFERROR(_xlfn.XLOOKUP($A87,Maestro_Equipos!$A:$A,Maestro_Equipos!$K:$K,""),"")</f>
        <v>0</v>
      </c>
      <c r="H87" s="69" t="str">
        <f t="shared" si="6"/>
        <v/>
      </c>
      <c r="I87" s="70" t="str">
        <f t="shared" ca="1" si="7"/>
        <v/>
      </c>
      <c r="J87" s="71" t="str">
        <f>IFERROR(INDEX(Maestro_Equipos!$V$4:$V$247,MATCH($A87,Maestro_Equipos!$A$4:$A$247,0)),"")</f>
        <v>Fuera de Servicio</v>
      </c>
      <c r="K87" s="72">
        <f>IFERROR(
   SUMIFS(Mantenciones!$I:$I,Mantenciones!$B:$B,$A87)
 + SUMIFS('Compras PM'!$F:$F,'Compras PM'!$C:$C,$A87),0)</f>
        <v>0</v>
      </c>
      <c r="L87" s="73" t="str">
        <f t="shared" si="8"/>
        <v>NO PROGRAMAR</v>
      </c>
      <c r="M87" s="74" t="str" cm="1">
        <f t="array" ref="M87">IFERROR(_xlfn.AGGREGATE(14,6,Mantenciones!$A$2:$A$9997/(Mantenciones!$B$2:$B$9997=$A87),1),"")</f>
        <v/>
      </c>
      <c r="N87" s="75" t="str" cm="1">
        <f t="array" ref="N87">IFERROR(_xlfn.AGGREGATE(14,6,'Compras PM'!$A$4:$A$10014/('Compras PM'!$C$4:$C$10014=$A87),1),"")</f>
        <v/>
      </c>
      <c r="O87" s="75" t="str">
        <f>IFERROR(VLOOKUP($A87,Maestro_Equipos!$A$4:$AG$247,27,FALSE()),"")</f>
        <v/>
      </c>
      <c r="P87" s="76" t="str">
        <f t="shared" ca="1" si="9"/>
        <v/>
      </c>
      <c r="Q87" s="76" t="str">
        <f t="shared" ca="1" si="10"/>
        <v/>
      </c>
      <c r="R87" s="73" t="str">
        <f t="shared" si="11"/>
        <v>SIN SALIDA</v>
      </c>
      <c r="S87" s="77" t="str">
        <f>IFERROR(VLOOKUP($A87,Maestro_Equipos!$A$4:$AG$247,33,FALSE()),"")</f>
        <v>No programar compra</v>
      </c>
    </row>
    <row r="88" spans="1:19" s="69" customFormat="1" ht="15" hidden="1" customHeight="1">
      <c r="A88" s="69" t="str" cm="1">
        <f t="array" ref="A88">IFERROR(INDEX(_xlfn._xlws.FILTER(Maestro_Equipos!$A$4:$A$247,Maestro_Equipos!$A$4:$A$247&lt;&gt;""),ROWS($A$4:A88)),"")</f>
        <v>VD-68</v>
      </c>
      <c r="B88" s="69" t="str">
        <f>IFERROR(_xlfn.XLOOKUP($A88,Maestro_Equipos!$A$4:$A$247,Maestro_Equipos!$B$4:$B$247,""),"")</f>
        <v>Camioneta</v>
      </c>
      <c r="C88" s="69" t="str">
        <f>IFERROR(_xlfn.XLOOKUP($A88,Maestro_Equipos!$A$4:$A$247,Maestro_Equipos!$C$4:$C$247,""),"")</f>
        <v>Vehículos Livianos</v>
      </c>
      <c r="D88" s="69" t="str">
        <f>IFERROR(VLOOKUP($A85,Maestro_Equipos!$A$4:$Z$247,9,FALSE),"")</f>
        <v>KM</v>
      </c>
      <c r="E88" s="69">
        <f>IFERROR(IF($D88="KM",_xlfn.XLOOKUP($A88,Maestro_Equipos!$A:$A,Maestro_Equipos!$N:$N,""),_xlfn.XLOOKUP($A88,Maestro_Equipos!$A:$A,Maestro_Equipos!$M:$M,"")),"")</f>
        <v>0</v>
      </c>
      <c r="F88" s="69" t="str">
        <f>IFERROR(_xlfn.XLOOKUP($A88,Maestro_Equipos!$A:$A,Maestro_Equipos!$R:$R,"")+_xlfn.XLOOKUP($A88,Maestro_Equipos!$A:$A,Maestro_Equipos!$J:$J,""),"")</f>
        <v/>
      </c>
      <c r="G88" s="69">
        <f>IFERROR(_xlfn.XLOOKUP($A88,Maestro_Equipos!$A:$A,Maestro_Equipos!$K:$K,""),"")</f>
        <v>0</v>
      </c>
      <c r="H88" s="69" t="str">
        <f t="shared" si="6"/>
        <v/>
      </c>
      <c r="I88" s="70" t="str">
        <f t="shared" ca="1" si="7"/>
        <v/>
      </c>
      <c r="J88" s="71" t="str">
        <f>IFERROR(INDEX(Maestro_Equipos!$V$4:$V$247,MATCH($A88,Maestro_Equipos!$A$4:$A$247,0)),"")</f>
        <v>Fuera de Servicio</v>
      </c>
      <c r="K88" s="72">
        <f>IFERROR(
   SUMIFS(Mantenciones!$I:$I,Mantenciones!$B:$B,$A88)
 + SUMIFS('Compras PM'!$F:$F,'Compras PM'!$C:$C,$A88),0)</f>
        <v>0</v>
      </c>
      <c r="L88" s="73" t="str">
        <f t="shared" si="8"/>
        <v>NO PROGRAMAR</v>
      </c>
      <c r="M88" s="74" t="str" cm="1">
        <f t="array" ref="M88">IFERROR(_xlfn.AGGREGATE(14,6,Mantenciones!$A$2:$A$9997/(Mantenciones!$B$2:$B$9997=$A88),1),"")</f>
        <v/>
      </c>
      <c r="N88" s="75" t="str" cm="1">
        <f t="array" ref="N88">IFERROR(_xlfn.AGGREGATE(14,6,'Compras PM'!$A$4:$A$10014/('Compras PM'!$C$4:$C$10014=$A88),1),"")</f>
        <v/>
      </c>
      <c r="O88" s="75" t="str">
        <f>IFERROR(VLOOKUP($A88,Maestro_Equipos!$A$4:$AG$247,27,FALSE()),"")</f>
        <v/>
      </c>
      <c r="P88" s="76" t="str">
        <f t="shared" ca="1" si="9"/>
        <v/>
      </c>
      <c r="Q88" s="76" t="str">
        <f t="shared" ca="1" si="10"/>
        <v/>
      </c>
      <c r="R88" s="73" t="str">
        <f t="shared" si="11"/>
        <v>SIN SALIDA</v>
      </c>
      <c r="S88" s="77" t="str">
        <f>IFERROR(VLOOKUP($A88,Maestro_Equipos!$A$4:$AG$247,33,FALSE()),"")</f>
        <v>No programar compra</v>
      </c>
    </row>
    <row r="89" spans="1:19" s="69" customFormat="1" ht="15" hidden="1" customHeight="1">
      <c r="A89" s="69" t="str" cm="1">
        <f t="array" ref="A89">IFERROR(INDEX(_xlfn._xlws.FILTER(Maestro_Equipos!$A$4:$A$247,Maestro_Equipos!$A$4:$A$247&lt;&gt;""),ROWS($A$4:A89)),"")</f>
        <v>VD-70</v>
      </c>
      <c r="B89" s="69" t="str">
        <f>IFERROR(_xlfn.XLOOKUP($A89,Maestro_Equipos!$A$4:$A$247,Maestro_Equipos!$B$4:$B$247,""),"")</f>
        <v>Furgon</v>
      </c>
      <c r="C89" s="69" t="str">
        <f>IFERROR(_xlfn.XLOOKUP($A89,Maestro_Equipos!$A$4:$A$247,Maestro_Equipos!$C$4:$C$247,""),"")</f>
        <v>Vehículos Livianos</v>
      </c>
      <c r="D89" s="69" t="str">
        <f>IFERROR(VLOOKUP($A86,Maestro_Equipos!$A$4:$Z$247,9,FALSE),"")</f>
        <v>KM</v>
      </c>
      <c r="E89" s="69">
        <f>IFERROR(IF($D89="KM",_xlfn.XLOOKUP($A89,Maestro_Equipos!$A:$A,Maestro_Equipos!$N:$N,""),_xlfn.XLOOKUP($A89,Maestro_Equipos!$A:$A,Maestro_Equipos!$M:$M,"")),"")</f>
        <v>0</v>
      </c>
      <c r="F89" s="69" t="str">
        <f>IFERROR(_xlfn.XLOOKUP($A89,Maestro_Equipos!$A:$A,Maestro_Equipos!$R:$R,"")+_xlfn.XLOOKUP($A89,Maestro_Equipos!$A:$A,Maestro_Equipos!$J:$J,""),"")</f>
        <v/>
      </c>
      <c r="G89" s="69">
        <f>IFERROR(_xlfn.XLOOKUP($A89,Maestro_Equipos!$A:$A,Maestro_Equipos!$K:$K,""),"")</f>
        <v>0</v>
      </c>
      <c r="H89" s="69" t="str">
        <f t="shared" si="6"/>
        <v/>
      </c>
      <c r="I89" s="70" t="str">
        <f t="shared" ca="1" si="7"/>
        <v/>
      </c>
      <c r="J89" s="71" t="str">
        <f>IFERROR(INDEX(Maestro_Equipos!$V$4:$V$247,MATCH($A89,Maestro_Equipos!$A$4:$A$247,0)),"")</f>
        <v>Fuera de Servicio</v>
      </c>
      <c r="K89" s="72">
        <f>IFERROR(
   SUMIFS(Mantenciones!$I:$I,Mantenciones!$B:$B,$A89)
 + SUMIFS('Compras PM'!$F:$F,'Compras PM'!$C:$C,$A89),0)</f>
        <v>0</v>
      </c>
      <c r="L89" s="73" t="str">
        <f t="shared" si="8"/>
        <v>NO PROGRAMAR</v>
      </c>
      <c r="M89" s="74" t="str" cm="1">
        <f t="array" ref="M89">IFERROR(_xlfn.AGGREGATE(14,6,Mantenciones!$A$2:$A$9997/(Mantenciones!$B$2:$B$9997=$A89),1),"")</f>
        <v/>
      </c>
      <c r="N89" s="75" t="str" cm="1">
        <f t="array" ref="N89">IFERROR(_xlfn.AGGREGATE(14,6,'Compras PM'!$A$4:$A$10014/('Compras PM'!$C$4:$C$10014=$A89),1),"")</f>
        <v/>
      </c>
      <c r="O89" s="75" t="str">
        <f>IFERROR(VLOOKUP($A89,Maestro_Equipos!$A$4:$AG$247,27,FALSE()),"")</f>
        <v/>
      </c>
      <c r="P89" s="76" t="str">
        <f t="shared" ca="1" si="9"/>
        <v/>
      </c>
      <c r="Q89" s="76" t="str">
        <f t="shared" ca="1" si="10"/>
        <v/>
      </c>
      <c r="R89" s="73" t="str">
        <f t="shared" si="11"/>
        <v>SIN SALIDA</v>
      </c>
      <c r="S89" s="77" t="str">
        <f>IFERROR(VLOOKUP($A89,Maestro_Equipos!$A$4:$AG$247,33,FALSE()),"")</f>
        <v>No programar compra</v>
      </c>
    </row>
    <row r="90" spans="1:19" s="69" customFormat="1" ht="15" hidden="1" customHeight="1">
      <c r="A90" s="69" t="str" cm="1">
        <f t="array" ref="A90">IFERROR(INDEX(_xlfn._xlws.FILTER(Maestro_Equipos!$A$4:$A$247,Maestro_Equipos!$A$4:$A$247&lt;&gt;""),ROWS($A$4:A90)),"")</f>
        <v>VD-71</v>
      </c>
      <c r="B90" s="69" t="str">
        <f>IFERROR(_xlfn.XLOOKUP($A90,Maestro_Equipos!$A$4:$A$247,Maestro_Equipos!$B$4:$B$247,""),"")</f>
        <v>Furgon</v>
      </c>
      <c r="C90" s="69" t="str">
        <f>IFERROR(_xlfn.XLOOKUP($A90,Maestro_Equipos!$A$4:$A$247,Maestro_Equipos!$C$4:$C$247,""),"")</f>
        <v>Vehículos Livianos</v>
      </c>
      <c r="D90" s="69" t="str">
        <f>IFERROR(VLOOKUP($A87,Maestro_Equipos!$A$4:$Z$247,9,FALSE),"")</f>
        <v>KM</v>
      </c>
      <c r="E90" s="69">
        <f>IFERROR(IF($D90="KM",_xlfn.XLOOKUP($A90,Maestro_Equipos!$A:$A,Maestro_Equipos!$N:$N,""),_xlfn.XLOOKUP($A90,Maestro_Equipos!$A:$A,Maestro_Equipos!$M:$M,"")),"")</f>
        <v>118036</v>
      </c>
      <c r="F90" s="69" t="str">
        <f>IFERROR(_xlfn.XLOOKUP($A90,Maestro_Equipos!$A:$A,Maestro_Equipos!$R:$R,"")+_xlfn.XLOOKUP($A90,Maestro_Equipos!$A:$A,Maestro_Equipos!$J:$J,""),"")</f>
        <v/>
      </c>
      <c r="G90" s="69">
        <f>IFERROR(_xlfn.XLOOKUP($A90,Maestro_Equipos!$A:$A,Maestro_Equipos!$K:$K,""),"")</f>
        <v>0</v>
      </c>
      <c r="H90" s="69" t="str">
        <f t="shared" si="6"/>
        <v/>
      </c>
      <c r="I90" s="70" t="str">
        <f t="shared" ca="1" si="7"/>
        <v/>
      </c>
      <c r="J90" s="71" t="str">
        <f>IFERROR(INDEX(Maestro_Equipos!$V$4:$V$247,MATCH($A90,Maestro_Equipos!$A$4:$A$247,0)),"")</f>
        <v>Fuera de Servicio</v>
      </c>
      <c r="K90" s="72">
        <f>IFERROR(
   SUMIFS(Mantenciones!$I:$I,Mantenciones!$B:$B,$A90)
 + SUMIFS('Compras PM'!$F:$F,'Compras PM'!$C:$C,$A90),0)</f>
        <v>0</v>
      </c>
      <c r="L90" s="73" t="str">
        <f t="shared" si="8"/>
        <v>NO PROGRAMAR</v>
      </c>
      <c r="M90" s="74" t="str" cm="1">
        <f t="array" ref="M90">IFERROR(_xlfn.AGGREGATE(14,6,Mantenciones!$A$2:$A$9997/(Mantenciones!$B$2:$B$9997=$A90),1),"")</f>
        <v/>
      </c>
      <c r="N90" s="75" t="str" cm="1">
        <f t="array" ref="N90">IFERROR(_xlfn.AGGREGATE(14,6,'Compras PM'!$A$4:$A$10014/('Compras PM'!$C$4:$C$10014=$A90),1),"")</f>
        <v/>
      </c>
      <c r="O90" s="75" t="str">
        <f>IFERROR(VLOOKUP($A90,Maestro_Equipos!$A$4:$AG$247,27,FALSE()),"")</f>
        <v/>
      </c>
      <c r="P90" s="76" t="str">
        <f t="shared" ca="1" si="9"/>
        <v/>
      </c>
      <c r="Q90" s="76" t="str">
        <f t="shared" ca="1" si="10"/>
        <v/>
      </c>
      <c r="R90" s="73" t="str">
        <f t="shared" si="11"/>
        <v>SIN SALIDA</v>
      </c>
      <c r="S90" s="77" t="str">
        <f>IFERROR(VLOOKUP($A90,Maestro_Equipos!$A$4:$AG$247,33,FALSE()),"")</f>
        <v>No programar compra</v>
      </c>
    </row>
    <row r="91" spans="1:19" s="69" customFormat="1" ht="15" hidden="1" customHeight="1">
      <c r="A91" s="69" t="str" cm="1">
        <f t="array" ref="A91">IFERROR(INDEX(_xlfn._xlws.FILTER(Maestro_Equipos!$A$4:$A$247,Maestro_Equipos!$A$4:$A$247&lt;&gt;""),ROWS($A$4:A91)),"")</f>
        <v>VD-73</v>
      </c>
      <c r="B91" s="69" t="str">
        <f>IFERROR(_xlfn.XLOOKUP($A91,Maestro_Equipos!$A$4:$A$247,Maestro_Equipos!$B$4:$B$247,""),"")</f>
        <v>Furgon</v>
      </c>
      <c r="C91" s="69" t="str">
        <f>IFERROR(_xlfn.XLOOKUP($A91,Maestro_Equipos!$A$4:$A$247,Maestro_Equipos!$C$4:$C$247,""),"")</f>
        <v>Vehículos Livianos</v>
      </c>
      <c r="D91" s="69" t="str">
        <f>IFERROR(VLOOKUP($A88,Maestro_Equipos!$A$4:$Z$247,9,FALSE),"")</f>
        <v>KM</v>
      </c>
      <c r="E91" s="69">
        <f>IFERROR(IF($D91="KM",_xlfn.XLOOKUP($A91,Maestro_Equipos!$A:$A,Maestro_Equipos!$N:$N,""),_xlfn.XLOOKUP($A91,Maestro_Equipos!$A:$A,Maestro_Equipos!$M:$M,"")),"")</f>
        <v>0</v>
      </c>
      <c r="F91" s="69" t="str">
        <f>IFERROR(_xlfn.XLOOKUP($A91,Maestro_Equipos!$A:$A,Maestro_Equipos!$R:$R,"")+_xlfn.XLOOKUP($A91,Maestro_Equipos!$A:$A,Maestro_Equipos!$J:$J,""),"")</f>
        <v/>
      </c>
      <c r="G91" s="69">
        <f>IFERROR(_xlfn.XLOOKUP($A91,Maestro_Equipos!$A:$A,Maestro_Equipos!$K:$K,""),"")</f>
        <v>0</v>
      </c>
      <c r="H91" s="69" t="str">
        <f t="shared" si="6"/>
        <v/>
      </c>
      <c r="I91" s="70" t="str">
        <f t="shared" ca="1" si="7"/>
        <v/>
      </c>
      <c r="J91" s="71" t="str">
        <f>IFERROR(INDEX(Maestro_Equipos!$V$4:$V$247,MATCH($A91,Maestro_Equipos!$A$4:$A$247,0)),"")</f>
        <v>Fuera de Servicio</v>
      </c>
      <c r="K91" s="72">
        <f>IFERROR(
   SUMIFS(Mantenciones!$I:$I,Mantenciones!$B:$B,$A91)
 + SUMIFS('Compras PM'!$F:$F,'Compras PM'!$C:$C,$A91),0)</f>
        <v>0</v>
      </c>
      <c r="L91" s="73" t="str">
        <f t="shared" si="8"/>
        <v>NO PROGRAMAR</v>
      </c>
      <c r="M91" s="74" t="str" cm="1">
        <f t="array" ref="M91">IFERROR(_xlfn.AGGREGATE(14,6,Mantenciones!$A$2:$A$9997/(Mantenciones!$B$2:$B$9997=$A91),1),"")</f>
        <v/>
      </c>
      <c r="N91" s="75" t="str" cm="1">
        <f t="array" ref="N91">IFERROR(_xlfn.AGGREGATE(14,6,'Compras PM'!$A$4:$A$10014/('Compras PM'!$C$4:$C$10014=$A91),1),"")</f>
        <v/>
      </c>
      <c r="O91" s="75" t="str">
        <f>IFERROR(VLOOKUP($A91,Maestro_Equipos!$A$4:$AG$247,27,FALSE()),"")</f>
        <v/>
      </c>
      <c r="P91" s="76" t="str">
        <f t="shared" ca="1" si="9"/>
        <v/>
      </c>
      <c r="Q91" s="76" t="str">
        <f t="shared" ca="1" si="10"/>
        <v/>
      </c>
      <c r="R91" s="73" t="str">
        <f t="shared" si="11"/>
        <v>SIN SALIDA</v>
      </c>
      <c r="S91" s="77" t="str">
        <f>IFERROR(VLOOKUP($A91,Maestro_Equipos!$A$4:$AG$247,33,FALSE()),"")</f>
        <v>No programar compra</v>
      </c>
    </row>
    <row r="92" spans="1:19" s="69" customFormat="1" ht="15" hidden="1" customHeight="1">
      <c r="A92" s="69" t="str" cm="1">
        <f t="array" ref="A92">IFERROR(INDEX(_xlfn._xlws.FILTER(Maestro_Equipos!$A$4:$A$247,Maestro_Equipos!$A$4:$A$247&lt;&gt;""),ROWS($A$4:A92)),"")</f>
        <v>VD-74</v>
      </c>
      <c r="B92" s="69" t="str">
        <f>IFERROR(_xlfn.XLOOKUP($A92,Maestro_Equipos!$A$4:$A$247,Maestro_Equipos!$B$4:$B$247,""),"")</f>
        <v>Camioneta</v>
      </c>
      <c r="C92" s="69" t="str">
        <f>IFERROR(_xlfn.XLOOKUP($A92,Maestro_Equipos!$A$4:$A$247,Maestro_Equipos!$C$4:$C$247,""),"")</f>
        <v>Vehículos Livianos</v>
      </c>
      <c r="D92" s="69" t="str">
        <f>IFERROR(VLOOKUP($A89,Maestro_Equipos!$A$4:$Z$247,9,FALSE),"")</f>
        <v>KM</v>
      </c>
      <c r="E92" s="69">
        <f>IFERROR(IF($D92="KM",_xlfn.XLOOKUP($A92,Maestro_Equipos!$A:$A,Maestro_Equipos!$N:$N,""),_xlfn.XLOOKUP($A92,Maestro_Equipos!$A:$A,Maestro_Equipos!$M:$M,"")),"")</f>
        <v>0</v>
      </c>
      <c r="F92" s="69" t="str">
        <f>IFERROR(_xlfn.XLOOKUP($A92,Maestro_Equipos!$A:$A,Maestro_Equipos!$R:$R,"")+_xlfn.XLOOKUP($A92,Maestro_Equipos!$A:$A,Maestro_Equipos!$J:$J,""),"")</f>
        <v/>
      </c>
      <c r="G92" s="69">
        <f>IFERROR(_xlfn.XLOOKUP($A92,Maestro_Equipos!$A:$A,Maestro_Equipos!$K:$K,""),"")</f>
        <v>0</v>
      </c>
      <c r="H92" s="69" t="str">
        <f t="shared" si="6"/>
        <v/>
      </c>
      <c r="I92" s="70" t="str">
        <f t="shared" ca="1" si="7"/>
        <v/>
      </c>
      <c r="J92" s="71" t="str">
        <f>IFERROR(INDEX(Maestro_Equipos!$V$4:$V$247,MATCH($A92,Maestro_Equipos!$A$4:$A$247,0)),"")</f>
        <v>Fuera de Servicio</v>
      </c>
      <c r="K92" s="72">
        <f>IFERROR(
   SUMIFS(Mantenciones!$I:$I,Mantenciones!$B:$B,$A92)
 + SUMIFS('Compras PM'!$F:$F,'Compras PM'!$C:$C,$A92),0)</f>
        <v>0</v>
      </c>
      <c r="L92" s="73" t="str">
        <f t="shared" si="8"/>
        <v>NO PROGRAMAR</v>
      </c>
      <c r="M92" s="74" t="str" cm="1">
        <f t="array" ref="M92">IFERROR(_xlfn.AGGREGATE(14,6,Mantenciones!$A$2:$A$9997/(Mantenciones!$B$2:$B$9997=$A92),1),"")</f>
        <v/>
      </c>
      <c r="N92" s="75" t="str" cm="1">
        <f t="array" ref="N92">IFERROR(_xlfn.AGGREGATE(14,6,'Compras PM'!$A$4:$A$10014/('Compras PM'!$C$4:$C$10014=$A92),1),"")</f>
        <v/>
      </c>
      <c r="O92" s="75" t="str">
        <f>IFERROR(VLOOKUP($A92,Maestro_Equipos!$A$4:$AG$247,27,FALSE()),"")</f>
        <v/>
      </c>
      <c r="P92" s="76" t="str">
        <f t="shared" ca="1" si="9"/>
        <v/>
      </c>
      <c r="Q92" s="76" t="str">
        <f t="shared" ca="1" si="10"/>
        <v/>
      </c>
      <c r="R92" s="73" t="str">
        <f t="shared" si="11"/>
        <v>SIN SALIDA</v>
      </c>
      <c r="S92" s="77" t="str">
        <f>IFERROR(VLOOKUP($A92,Maestro_Equipos!$A$4:$AG$247,33,FALSE()),"")</f>
        <v>No programar compra</v>
      </c>
    </row>
    <row r="93" spans="1:19" s="69" customFormat="1" ht="15" hidden="1" customHeight="1">
      <c r="A93" s="69" t="str" cm="1">
        <f t="array" ref="A93">IFERROR(INDEX(_xlfn._xlws.FILTER(Maestro_Equipos!$A$4:$A$247,Maestro_Equipos!$A$4:$A$247&lt;&gt;""),ROWS($A$4:A93)),"")</f>
        <v>VD-80</v>
      </c>
      <c r="B93" s="69" t="str">
        <f>IFERROR(_xlfn.XLOOKUP($A93,Maestro_Equipos!$A$4:$A$247,Maestro_Equipos!$B$4:$B$247,""),"")</f>
        <v>Furgon</v>
      </c>
      <c r="C93" s="69" t="str">
        <f>IFERROR(_xlfn.XLOOKUP($A93,Maestro_Equipos!$A$4:$A$247,Maestro_Equipos!$C$4:$C$247,""),"")</f>
        <v>Vehículos Livianos</v>
      </c>
      <c r="D93" s="69" t="str">
        <f>IFERROR(VLOOKUP($A90,Maestro_Equipos!$A$4:$Z$247,9,FALSE),"")</f>
        <v>KM</v>
      </c>
      <c r="E93" s="69">
        <f>IFERROR(IF($D93="KM",_xlfn.XLOOKUP($A93,Maestro_Equipos!$A:$A,Maestro_Equipos!$N:$N,""),_xlfn.XLOOKUP($A93,Maestro_Equipos!$A:$A,Maestro_Equipos!$M:$M,"")),"")</f>
        <v>0</v>
      </c>
      <c r="F93" s="69" t="str">
        <f>IFERROR(_xlfn.XLOOKUP($A93,Maestro_Equipos!$A:$A,Maestro_Equipos!$R:$R,"")+_xlfn.XLOOKUP($A93,Maestro_Equipos!$A:$A,Maestro_Equipos!$J:$J,""),"")</f>
        <v/>
      </c>
      <c r="G93" s="69">
        <f>IFERROR(_xlfn.XLOOKUP($A93,Maestro_Equipos!$A:$A,Maestro_Equipos!$K:$K,""),"")</f>
        <v>0</v>
      </c>
      <c r="H93" s="69" t="str">
        <f t="shared" si="6"/>
        <v/>
      </c>
      <c r="I93" s="70" t="str">
        <f t="shared" ca="1" si="7"/>
        <v/>
      </c>
      <c r="J93" s="71" t="str">
        <f>IFERROR(INDEX(Maestro_Equipos!$V$4:$V$247,MATCH($A93,Maestro_Equipos!$A$4:$A$247,0)),"")</f>
        <v>Fuera de Servicio</v>
      </c>
      <c r="K93" s="72">
        <f>IFERROR(
   SUMIFS(Mantenciones!$I:$I,Mantenciones!$B:$B,$A93)
 + SUMIFS('Compras PM'!$F:$F,'Compras PM'!$C:$C,$A93),0)</f>
        <v>0</v>
      </c>
      <c r="L93" s="73" t="str">
        <f t="shared" si="8"/>
        <v>NO PROGRAMAR</v>
      </c>
      <c r="M93" s="74" t="str" cm="1">
        <f t="array" ref="M93">IFERROR(_xlfn.AGGREGATE(14,6,Mantenciones!$A$2:$A$9997/(Mantenciones!$B$2:$B$9997=$A93),1),"")</f>
        <v/>
      </c>
      <c r="N93" s="75" t="str" cm="1">
        <f t="array" ref="N93">IFERROR(_xlfn.AGGREGATE(14,6,'Compras PM'!$A$4:$A$10014/('Compras PM'!$C$4:$C$10014=$A93),1),"")</f>
        <v/>
      </c>
      <c r="O93" s="75" t="str">
        <f>IFERROR(VLOOKUP($A93,Maestro_Equipos!$A$4:$AG$247,27,FALSE()),"")</f>
        <v/>
      </c>
      <c r="P93" s="76" t="str">
        <f t="shared" ca="1" si="9"/>
        <v/>
      </c>
      <c r="Q93" s="76" t="str">
        <f t="shared" ca="1" si="10"/>
        <v/>
      </c>
      <c r="R93" s="73" t="str">
        <f t="shared" si="11"/>
        <v>SIN SALIDA</v>
      </c>
      <c r="S93" s="77" t="str">
        <f>IFERROR(VLOOKUP($A93,Maestro_Equipos!$A$4:$AG$247,33,FALSE()),"")</f>
        <v>No programar compra</v>
      </c>
    </row>
    <row r="94" spans="1:19" s="69" customFormat="1" ht="15" hidden="1" customHeight="1">
      <c r="A94" s="69" t="str" cm="1">
        <f t="array" ref="A94">IFERROR(INDEX(_xlfn._xlws.FILTER(Maestro_Equipos!$A$4:$A$247,Maestro_Equipos!$A$4:$A$247&lt;&gt;""),ROWS($A$4:A94)),"")</f>
        <v>VD-81</v>
      </c>
      <c r="B94" s="69" t="str">
        <f>IFERROR(_xlfn.XLOOKUP($A94,Maestro_Equipos!$A$4:$A$247,Maestro_Equipos!$B$4:$B$247,""),"")</f>
        <v>Furgon</v>
      </c>
      <c r="C94" s="69" t="str">
        <f>IFERROR(_xlfn.XLOOKUP($A94,Maestro_Equipos!$A$4:$A$247,Maestro_Equipos!$C$4:$C$247,""),"")</f>
        <v>Vehículos Livianos</v>
      </c>
      <c r="D94" s="69" t="str">
        <f>IFERROR(VLOOKUP($A91,Maestro_Equipos!$A$4:$Z$247,9,FALSE),"")</f>
        <v>KM</v>
      </c>
      <c r="E94" s="69">
        <f>IFERROR(IF($D94="KM",_xlfn.XLOOKUP($A94,Maestro_Equipos!$A:$A,Maestro_Equipos!$N:$N,""),_xlfn.XLOOKUP($A94,Maestro_Equipos!$A:$A,Maestro_Equipos!$M:$M,"")),"")</f>
        <v>0</v>
      </c>
      <c r="F94" s="69" t="str">
        <f>IFERROR(_xlfn.XLOOKUP($A94,Maestro_Equipos!$A:$A,Maestro_Equipos!$R:$R,"")+_xlfn.XLOOKUP($A94,Maestro_Equipos!$A:$A,Maestro_Equipos!$J:$J,""),"")</f>
        <v/>
      </c>
      <c r="G94" s="69">
        <f>IFERROR(_xlfn.XLOOKUP($A94,Maestro_Equipos!$A:$A,Maestro_Equipos!$K:$K,""),"")</f>
        <v>0</v>
      </c>
      <c r="H94" s="69" t="str">
        <f t="shared" si="6"/>
        <v/>
      </c>
      <c r="I94" s="70" t="str">
        <f t="shared" ca="1" si="7"/>
        <v/>
      </c>
      <c r="J94" s="71" t="str">
        <f>IFERROR(INDEX(Maestro_Equipos!$V$4:$V$247,MATCH($A94,Maestro_Equipos!$A$4:$A$247,0)),"")</f>
        <v>Fuera de Servicio</v>
      </c>
      <c r="K94" s="72">
        <f>IFERROR(
   SUMIFS(Mantenciones!$I:$I,Mantenciones!$B:$B,$A94)
 + SUMIFS('Compras PM'!$F:$F,'Compras PM'!$C:$C,$A94),0)</f>
        <v>0</v>
      </c>
      <c r="L94" s="73" t="str">
        <f t="shared" si="8"/>
        <v>NO PROGRAMAR</v>
      </c>
      <c r="M94" s="74" t="str" cm="1">
        <f t="array" ref="M94">IFERROR(_xlfn.AGGREGATE(14,6,Mantenciones!$A$2:$A$9997/(Mantenciones!$B$2:$B$9997=$A94),1),"")</f>
        <v/>
      </c>
      <c r="N94" s="75" t="str" cm="1">
        <f t="array" ref="N94">IFERROR(_xlfn.AGGREGATE(14,6,'Compras PM'!$A$4:$A$10014/('Compras PM'!$C$4:$C$10014=$A94),1),"")</f>
        <v/>
      </c>
      <c r="O94" s="75" t="str">
        <f>IFERROR(VLOOKUP($A94,Maestro_Equipos!$A$4:$AG$247,27,FALSE()),"")</f>
        <v/>
      </c>
      <c r="P94" s="76" t="str">
        <f t="shared" ca="1" si="9"/>
        <v/>
      </c>
      <c r="Q94" s="76" t="str">
        <f t="shared" ca="1" si="10"/>
        <v/>
      </c>
      <c r="R94" s="73" t="str">
        <f t="shared" si="11"/>
        <v>SIN SALIDA</v>
      </c>
      <c r="S94" s="77" t="str">
        <f>IFERROR(VLOOKUP($A94,Maestro_Equipos!$A$4:$AG$247,33,FALSE()),"")</f>
        <v>No programar compra</v>
      </c>
    </row>
    <row r="95" spans="1:19" s="69" customFormat="1" ht="15" hidden="1" customHeight="1">
      <c r="A95" s="69" t="str" cm="1">
        <f t="array" ref="A95">IFERROR(INDEX(_xlfn._xlws.FILTER(Maestro_Equipos!$A$4:$A$247,Maestro_Equipos!$A$4:$A$247&lt;&gt;""),ROWS($A$4:A95)),"")</f>
        <v>VD-83</v>
      </c>
      <c r="B95" s="69" t="str">
        <f>IFERROR(_xlfn.XLOOKUP($A95,Maestro_Equipos!$A$4:$A$247,Maestro_Equipos!$B$4:$B$247,""),"")</f>
        <v>Furgon</v>
      </c>
      <c r="C95" s="69" t="str">
        <f>IFERROR(_xlfn.XLOOKUP($A95,Maestro_Equipos!$A$4:$A$247,Maestro_Equipos!$C$4:$C$247,""),"")</f>
        <v>Vehículos Livianos</v>
      </c>
      <c r="D95" s="69" t="str">
        <f>IFERROR(VLOOKUP($A92,Maestro_Equipos!$A$4:$Z$247,9,FALSE),"")</f>
        <v>KM</v>
      </c>
      <c r="E95" s="69">
        <f>IFERROR(IF($D95="KM",_xlfn.XLOOKUP($A95,Maestro_Equipos!$A:$A,Maestro_Equipos!$N:$N,""),_xlfn.XLOOKUP($A95,Maestro_Equipos!$A:$A,Maestro_Equipos!$M:$M,"")),"")</f>
        <v>0</v>
      </c>
      <c r="F95" s="69" t="str">
        <f>IFERROR(_xlfn.XLOOKUP($A95,Maestro_Equipos!$A:$A,Maestro_Equipos!$R:$R,"")+_xlfn.XLOOKUP($A95,Maestro_Equipos!$A:$A,Maestro_Equipos!$J:$J,""),"")</f>
        <v/>
      </c>
      <c r="G95" s="69">
        <f>IFERROR(_xlfn.XLOOKUP($A95,Maestro_Equipos!$A:$A,Maestro_Equipos!$K:$K,""),"")</f>
        <v>0</v>
      </c>
      <c r="H95" s="69" t="str">
        <f t="shared" si="6"/>
        <v/>
      </c>
      <c r="I95" s="70" t="str">
        <f t="shared" ca="1" si="7"/>
        <v/>
      </c>
      <c r="J95" s="71" t="str">
        <f>IFERROR(INDEX(Maestro_Equipos!$V$4:$V$247,MATCH($A95,Maestro_Equipos!$A$4:$A$247,0)),"")</f>
        <v>Fuera de Servicio</v>
      </c>
      <c r="K95" s="72">
        <f>IFERROR(
   SUMIFS(Mantenciones!$I:$I,Mantenciones!$B:$B,$A95)
 + SUMIFS('Compras PM'!$F:$F,'Compras PM'!$C:$C,$A95),0)</f>
        <v>0</v>
      </c>
      <c r="L95" s="73" t="str">
        <f t="shared" si="8"/>
        <v>NO PROGRAMAR</v>
      </c>
      <c r="M95" s="74" t="str" cm="1">
        <f t="array" ref="M95">IFERROR(_xlfn.AGGREGATE(14,6,Mantenciones!$A$2:$A$9997/(Mantenciones!$B$2:$B$9997=$A95),1),"")</f>
        <v/>
      </c>
      <c r="N95" s="75" t="str" cm="1">
        <f t="array" ref="N95">IFERROR(_xlfn.AGGREGATE(14,6,'Compras PM'!$A$4:$A$10014/('Compras PM'!$C$4:$C$10014=$A95),1),"")</f>
        <v/>
      </c>
      <c r="O95" s="75" t="str">
        <f>IFERROR(VLOOKUP($A95,Maestro_Equipos!$A$4:$AG$247,27,FALSE()),"")</f>
        <v/>
      </c>
      <c r="P95" s="76" t="str">
        <f t="shared" ca="1" si="9"/>
        <v/>
      </c>
      <c r="Q95" s="76" t="str">
        <f t="shared" ca="1" si="10"/>
        <v/>
      </c>
      <c r="R95" s="73" t="str">
        <f t="shared" si="11"/>
        <v>SIN SALIDA</v>
      </c>
      <c r="S95" s="77" t="str">
        <f>IFERROR(VLOOKUP($A95,Maestro_Equipos!$A$4:$AG$247,33,FALSE()),"")</f>
        <v>No programar compra</v>
      </c>
    </row>
    <row r="96" spans="1:19" ht="15" customHeight="1">
      <c r="A96" t="str" cm="1">
        <f t="array" ref="A96">IFERROR(INDEX(_xlfn._xlws.FILTER(Maestro_Equipos!$A$4:$A$247,Maestro_Equipos!$A$4:$A$247&lt;&gt;""),ROWS($A$4:A96)),"")</f>
        <v>WED-05</v>
      </c>
      <c r="B96" t="str">
        <f>IFERROR(_xlfn.XLOOKUP($A96,Maestro_Equipos!$A$4:$A$247,Maestro_Equipos!$B$4:$B$247,""),"")</f>
        <v>Semiremolque</v>
      </c>
      <c r="C96" t="str">
        <f>IFERROR(_xlfn.XLOOKUP($A96,Maestro_Equipos!$A$4:$A$247,Maestro_Equipos!$C$4:$C$247,""),"")</f>
        <v>Maquinaria Pesada</v>
      </c>
      <c r="D96" t="str">
        <f>IFERROR(_xlfn.XLOOKUP($A96,Maestro_Equipos!$A:$A,Maestro_Equipos!$I:$I,""),"")</f>
        <v>HORAS</v>
      </c>
      <c r="E96">
        <f>IFERROR(IF($D96="KM",_xlfn.XLOOKUP($A96,Maestro_Equipos!$A:$A,Maestro_Equipos!$N:$N,""),_xlfn.XLOOKUP($A96,Maestro_Equipos!$A:$A,Maestro_Equipos!$M:$M,"")),"")</f>
        <v>0</v>
      </c>
      <c r="F96" t="str">
        <f>IFERROR(_xlfn.XLOOKUP($A96,Maestro_Equipos!$A:$A,Maestro_Equipos!$R:$R,"")+_xlfn.XLOOKUP($A96,Maestro_Equipos!$A:$A,Maestro_Equipos!$J:$J,""),"")</f>
        <v/>
      </c>
      <c r="G96">
        <f>IFERROR(_xlfn.XLOOKUP($A96,Maestro_Equipos!$A:$A,Maestro_Equipos!$K:$K,""),"")</f>
        <v>0</v>
      </c>
      <c r="H96" t="str">
        <f t="shared" si="6"/>
        <v/>
      </c>
      <c r="I96" s="41" t="str">
        <f t="shared" ca="1" si="7"/>
        <v/>
      </c>
      <c r="J96" s="5" t="str">
        <f>IFERROR(INDEX(Maestro_Equipos!$V$4:$V$247,MATCH($A96,Maestro_Equipos!$A$4:$A$247,0)),"")</f>
        <v>Operativo</v>
      </c>
      <c r="K96" s="37">
        <f>IFERROR(
   SUMIFS(Mantenciones!$I:$I,Mantenciones!$B:$B,$A96)
 + SUMIFS('Compras PM'!$F:$F,'Compras PM'!$C:$C,$A96),0)</f>
        <v>0</v>
      </c>
      <c r="L96" s="30" t="str">
        <f t="shared" si="8"/>
        <v>SIN DATOS</v>
      </c>
      <c r="M96" s="58" t="str" cm="1">
        <f t="array" ref="M96">IFERROR(_xlfn.AGGREGATE(14,6,Mantenciones!$A$2:$A$9997/(Mantenciones!$B$2:$B$9997=$A96),1),"")</f>
        <v/>
      </c>
      <c r="N96" s="31" t="str" cm="1">
        <f t="array" ref="N96">IFERROR(_xlfn.AGGREGATE(14,6,'Compras PM'!$A$4:$A$10014/('Compras PM'!$C$4:$C$10014=$A96),1),"")</f>
        <v/>
      </c>
      <c r="O96" s="31" t="str">
        <f>IFERROR(VLOOKUP($A96,Maestro_Equipos!$A$4:$AG$247,27,FALSE()),"")</f>
        <v/>
      </c>
      <c r="P96" s="32" t="str">
        <f t="shared" ca="1" si="9"/>
        <v/>
      </c>
      <c r="Q96" s="32" t="str">
        <f t="shared" ca="1" si="10"/>
        <v/>
      </c>
      <c r="R96" s="30" t="str">
        <f t="shared" si="11"/>
        <v>SIN SALIDA</v>
      </c>
      <c r="S96" s="33" t="str">
        <f>IFERROR(VLOOKUP($A96,Maestro_Equipos!$A$4:$AG$247,33,FALSE()),"")</f>
        <v>Monitorear próximo vencimiento</v>
      </c>
    </row>
    <row r="97" spans="1:19" ht="15" customHeight="1">
      <c r="A97" t="str" cm="1">
        <f t="array" ref="A97">IFERROR(INDEX(_xlfn._xlws.FILTER(Maestro_Equipos!$A$4:$A$247,Maestro_Equipos!$A$4:$A$247&lt;&gt;""),ROWS($A$4:A97)),"")</f>
        <v>WED-06</v>
      </c>
      <c r="B97" t="str">
        <f>IFERROR(_xlfn.XLOOKUP($A97,Maestro_Equipos!$A$4:$A$247,Maestro_Equipos!$B$4:$B$247,""),"")</f>
        <v>Semiremolque</v>
      </c>
      <c r="C97" t="str">
        <f>IFERROR(_xlfn.XLOOKUP($A97,Maestro_Equipos!$A$4:$A$247,Maestro_Equipos!$C$4:$C$247,""),"")</f>
        <v>Maquinaria Pesada</v>
      </c>
      <c r="D97" t="str">
        <f>IFERROR(_xlfn.XLOOKUP($A97,Maestro_Equipos!$A:$A,Maestro_Equipos!$I:$I,""),"")</f>
        <v>HORAS</v>
      </c>
      <c r="E97">
        <f>IFERROR(IF($D97="KM",_xlfn.XLOOKUP($A97,Maestro_Equipos!$A:$A,Maestro_Equipos!$N:$N,""),_xlfn.XLOOKUP($A97,Maestro_Equipos!$A:$A,Maestro_Equipos!$M:$M,"")),"")</f>
        <v>0</v>
      </c>
      <c r="F97" t="str">
        <f>IFERROR(_xlfn.XLOOKUP($A97,Maestro_Equipos!$A:$A,Maestro_Equipos!$R:$R,"")+_xlfn.XLOOKUP($A97,Maestro_Equipos!$A:$A,Maestro_Equipos!$J:$J,""),"")</f>
        <v/>
      </c>
      <c r="G97">
        <f>IFERROR(_xlfn.XLOOKUP($A97,Maestro_Equipos!$A:$A,Maestro_Equipos!$K:$K,""),"")</f>
        <v>0</v>
      </c>
      <c r="H97" t="str">
        <f t="shared" si="6"/>
        <v/>
      </c>
      <c r="I97" s="41" t="str">
        <f t="shared" ca="1" si="7"/>
        <v/>
      </c>
      <c r="J97" s="5" t="str">
        <f>IFERROR(INDEX(Maestro_Equipos!$V$4:$V$247,MATCH($A97,Maestro_Equipos!$A$4:$A$247,0)),"")</f>
        <v>Operativo</v>
      </c>
      <c r="K97" s="37">
        <f>IFERROR(
   SUMIFS(Mantenciones!$I:$I,Mantenciones!$B:$B,$A97)
 + SUMIFS('Compras PM'!$F:$F,'Compras PM'!$C:$C,$A97),0)</f>
        <v>0</v>
      </c>
      <c r="L97" s="30" t="str">
        <f t="shared" si="8"/>
        <v>SIN DATOS</v>
      </c>
      <c r="M97" s="58" t="str" cm="1">
        <f t="array" ref="M97">IFERROR(_xlfn.AGGREGATE(14,6,Mantenciones!$A$2:$A$9997/(Mantenciones!$B$2:$B$9997=$A97),1),"")</f>
        <v/>
      </c>
      <c r="N97" s="31" t="str" cm="1">
        <f t="array" ref="N97">IFERROR(_xlfn.AGGREGATE(14,6,'Compras PM'!$A$4:$A$10014/('Compras PM'!$C$4:$C$10014=$A97),1),"")</f>
        <v/>
      </c>
      <c r="O97" s="31" t="str">
        <f>IFERROR(VLOOKUP($A97,Maestro_Equipos!$A$4:$AG$247,27,FALSE()),"")</f>
        <v/>
      </c>
      <c r="P97" s="32" t="str">
        <f t="shared" ca="1" si="9"/>
        <v/>
      </c>
      <c r="Q97" s="32" t="str">
        <f t="shared" ca="1" si="10"/>
        <v/>
      </c>
      <c r="R97" s="30" t="str">
        <f t="shared" si="11"/>
        <v>SIN SALIDA</v>
      </c>
      <c r="S97" s="33" t="str">
        <f>IFERROR(VLOOKUP($A97,Maestro_Equipos!$A$4:$AG$247,33,FALSE()),"")</f>
        <v>Monitorear próximo vencimiento</v>
      </c>
    </row>
    <row r="98" spans="1:19" ht="15" customHeight="1">
      <c r="A98" t="str" cm="1">
        <f t="array" ref="A98">IFERROR(INDEX(_xlfn._xlws.FILTER(Maestro_Equipos!$A$4:$A$247,Maestro_Equipos!$A$4:$A$247&lt;&gt;""),ROWS($A$4:A98)),"")</f>
        <v>WED-07</v>
      </c>
      <c r="B98" t="str">
        <f>IFERROR(_xlfn.XLOOKUP($A98,Maestro_Equipos!$A$4:$A$247,Maestro_Equipos!$B$4:$B$247,""),"")</f>
        <v>Semiremolque</v>
      </c>
      <c r="C98" t="str">
        <f>IFERROR(_xlfn.XLOOKUP($A98,Maestro_Equipos!$A$4:$A$247,Maestro_Equipos!$C$4:$C$247,""),"")</f>
        <v>Maquinaria Pesada</v>
      </c>
      <c r="D98" t="str">
        <f>IFERROR(_xlfn.XLOOKUP($A98,Maestro_Equipos!$A:$A,Maestro_Equipos!$I:$I,""),"")</f>
        <v>HORAS</v>
      </c>
      <c r="E98">
        <f>IFERROR(IF($D98="KM",_xlfn.XLOOKUP($A98,Maestro_Equipos!$A:$A,Maestro_Equipos!$N:$N,""),_xlfn.XLOOKUP($A98,Maestro_Equipos!$A:$A,Maestro_Equipos!$M:$M,"")),"")</f>
        <v>0</v>
      </c>
      <c r="F98" t="str">
        <f>IFERROR(_xlfn.XLOOKUP($A98,Maestro_Equipos!$A:$A,Maestro_Equipos!$R:$R,"")+_xlfn.XLOOKUP($A98,Maestro_Equipos!$A:$A,Maestro_Equipos!$J:$J,""),"")</f>
        <v/>
      </c>
      <c r="G98">
        <f>IFERROR(_xlfn.XLOOKUP($A98,Maestro_Equipos!$A:$A,Maestro_Equipos!$K:$K,""),"")</f>
        <v>0</v>
      </c>
      <c r="H98" t="str">
        <f t="shared" si="6"/>
        <v/>
      </c>
      <c r="I98" s="41" t="str">
        <f t="shared" ca="1" si="7"/>
        <v/>
      </c>
      <c r="J98" s="5" t="str">
        <f>IFERROR(INDEX(Maestro_Equipos!$V$4:$V$247,MATCH($A98,Maestro_Equipos!$A$4:$A$247,0)),"")</f>
        <v>Operativo</v>
      </c>
      <c r="K98" s="37">
        <f>IFERROR(
   SUMIFS(Mantenciones!$I:$I,Mantenciones!$B:$B,$A98)
 + SUMIFS('Compras PM'!$F:$F,'Compras PM'!$C:$C,$A98),0)</f>
        <v>0</v>
      </c>
      <c r="L98" s="30" t="str">
        <f t="shared" si="8"/>
        <v>SIN DATOS</v>
      </c>
      <c r="M98" s="58" t="str" cm="1">
        <f t="array" ref="M98">IFERROR(_xlfn.AGGREGATE(14,6,Mantenciones!$A$2:$A$9997/(Mantenciones!$B$2:$B$9997=$A98),1),"")</f>
        <v/>
      </c>
      <c r="N98" s="31" t="str" cm="1">
        <f t="array" ref="N98">IFERROR(_xlfn.AGGREGATE(14,6,'Compras PM'!$A$4:$A$10014/('Compras PM'!$C$4:$C$10014=$A98),1),"")</f>
        <v/>
      </c>
      <c r="O98" s="31" t="str">
        <f>IFERROR(VLOOKUP($A98,Maestro_Equipos!$A$4:$AG$247,27,FALSE()),"")</f>
        <v/>
      </c>
      <c r="P98" s="32" t="str">
        <f t="shared" ca="1" si="9"/>
        <v/>
      </c>
      <c r="Q98" s="32" t="str">
        <f t="shared" ca="1" si="10"/>
        <v/>
      </c>
      <c r="R98" s="30" t="str">
        <f t="shared" si="11"/>
        <v>SIN SALIDA</v>
      </c>
      <c r="S98" s="33" t="str">
        <f>IFERROR(VLOOKUP($A98,Maestro_Equipos!$A$4:$AG$247,33,FALSE()),"")</f>
        <v>Monitorear próximo vencimiento</v>
      </c>
    </row>
    <row r="99" spans="1:19" ht="15" customHeight="1">
      <c r="A99" t="str" cm="1">
        <f t="array" ref="A99">IFERROR(INDEX(_xlfn._xlws.FILTER(Maestro_Equipos!$A$4:$A$247,Maestro_Equipos!$A$4:$A$247&lt;&gt;""),ROWS($A$4:A99)),"")</f>
        <v>WED-08</v>
      </c>
      <c r="B99" t="str">
        <f>IFERROR(_xlfn.XLOOKUP($A99,Maestro_Equipos!$A$4:$A$247,Maestro_Equipos!$B$4:$B$247,""),"")</f>
        <v>Semiremolque</v>
      </c>
      <c r="C99" t="str">
        <f>IFERROR(_xlfn.XLOOKUP($A99,Maestro_Equipos!$A$4:$A$247,Maestro_Equipos!$C$4:$C$247,""),"")</f>
        <v>Maquinaria Pesada</v>
      </c>
      <c r="D99" t="str">
        <f>IFERROR(_xlfn.XLOOKUP($A99,Maestro_Equipos!$A:$A,Maestro_Equipos!$I:$I,""),"")</f>
        <v>HORAS</v>
      </c>
      <c r="E99">
        <f>IFERROR(IF($D99="KM",_xlfn.XLOOKUP($A99,Maestro_Equipos!$A:$A,Maestro_Equipos!$N:$N,""),_xlfn.XLOOKUP($A99,Maestro_Equipos!$A:$A,Maestro_Equipos!$M:$M,"")),"")</f>
        <v>0</v>
      </c>
      <c r="F99" t="str">
        <f>IFERROR(_xlfn.XLOOKUP($A99,Maestro_Equipos!$A:$A,Maestro_Equipos!$R:$R,"")+_xlfn.XLOOKUP($A99,Maestro_Equipos!$A:$A,Maestro_Equipos!$J:$J,""),"")</f>
        <v/>
      </c>
      <c r="G99">
        <f>IFERROR(_xlfn.XLOOKUP($A99,Maestro_Equipos!$A:$A,Maestro_Equipos!$K:$K,""),"")</f>
        <v>0</v>
      </c>
      <c r="H99" t="str">
        <f t="shared" si="6"/>
        <v/>
      </c>
      <c r="I99" s="41" t="str">
        <f t="shared" ca="1" si="7"/>
        <v/>
      </c>
      <c r="J99" s="5" t="str">
        <f>IFERROR(INDEX(Maestro_Equipos!$V$4:$V$247,MATCH($A99,Maestro_Equipos!$A$4:$A$247,0)),"")</f>
        <v>Operativo</v>
      </c>
      <c r="K99" s="37">
        <f>IFERROR(
   SUMIFS(Mantenciones!$I:$I,Mantenciones!$B:$B,$A99)
 + SUMIFS('Compras PM'!$F:$F,'Compras PM'!$C:$C,$A99),0)</f>
        <v>0</v>
      </c>
      <c r="L99" s="30" t="str">
        <f t="shared" si="8"/>
        <v>SIN DATOS</v>
      </c>
      <c r="M99" s="58" t="str" cm="1">
        <f t="array" ref="M99">IFERROR(_xlfn.AGGREGATE(14,6,Mantenciones!$A$2:$A$9997/(Mantenciones!$B$2:$B$9997=$A99),1),"")</f>
        <v/>
      </c>
      <c r="N99" s="31" t="str" cm="1">
        <f t="array" ref="N99">IFERROR(_xlfn.AGGREGATE(14,6,'Compras PM'!$A$4:$A$10014/('Compras PM'!$C$4:$C$10014=$A99),1),"")</f>
        <v/>
      </c>
      <c r="O99" s="31" t="str">
        <f>IFERROR(VLOOKUP($A99,Maestro_Equipos!$A$4:$AG$247,27,FALSE()),"")</f>
        <v/>
      </c>
      <c r="P99" s="32" t="str">
        <f t="shared" ca="1" si="9"/>
        <v/>
      </c>
      <c r="Q99" s="32" t="str">
        <f t="shared" ca="1" si="10"/>
        <v/>
      </c>
      <c r="R99" s="30" t="str">
        <f t="shared" si="11"/>
        <v>SIN SALIDA</v>
      </c>
      <c r="S99" s="33" t="str">
        <f>IFERROR(VLOOKUP($A99,Maestro_Equipos!$A$4:$AG$247,33,FALSE()),"")</f>
        <v>Monitorear próximo vencimiento</v>
      </c>
    </row>
    <row r="100" spans="1:19" ht="15" customHeight="1">
      <c r="A100" t="str" cm="1">
        <f t="array" ref="A100">IFERROR(INDEX(_xlfn._xlws.FILTER(Maestro_Equipos!$A$4:$A$247,Maestro_Equipos!$A$4:$A$247&lt;&gt;""),ROWS($A$4:A100)),"")</f>
        <v>VD-142</v>
      </c>
      <c r="B100" t="str">
        <f>IFERROR(_xlfn.XLOOKUP($A100,Maestro_Equipos!$A$4:$A$247,Maestro_Equipos!$B$4:$B$247,""),"")</f>
        <v>Camioneta</v>
      </c>
      <c r="C100" t="str">
        <f>IFERROR(_xlfn.XLOOKUP($A100,Maestro_Equipos!$A$4:$A$247,Maestro_Equipos!$C$4:$C$247,""),"")</f>
        <v>Vehículos Livianos</v>
      </c>
      <c r="D100" t="str">
        <f>IFERROR(_xlfn.XLOOKUP($A100,Maestro_Equipos!$A:$A,Maestro_Equipos!$I:$I,""),"")</f>
        <v>KM</v>
      </c>
      <c r="E100">
        <f>IFERROR(IF($D100="KM",_xlfn.XLOOKUP($A100,Maestro_Equipos!$A:$A,Maestro_Equipos!$N:$N,""),_xlfn.XLOOKUP($A100,Maestro_Equipos!$A:$A,Maestro_Equipos!$M:$M,"")),"")</f>
        <v>0</v>
      </c>
      <c r="F100" t="str">
        <f>IFERROR(_xlfn.XLOOKUP($A100,Maestro_Equipos!$A:$A,Maestro_Equipos!$R:$R,"")+_xlfn.XLOOKUP($A100,Maestro_Equipos!$A:$A,Maestro_Equipos!$J:$J,""),"")</f>
        <v/>
      </c>
      <c r="G100">
        <f>IFERROR(_xlfn.XLOOKUP($A100,Maestro_Equipos!$A:$A,Maestro_Equipos!$K:$K,""),"")</f>
        <v>0</v>
      </c>
      <c r="H100" t="str">
        <f t="shared" si="6"/>
        <v/>
      </c>
      <c r="I100" s="41" t="str">
        <f t="shared" ca="1" si="7"/>
        <v/>
      </c>
      <c r="J100" s="5" t="str">
        <f>IFERROR(INDEX(Maestro_Equipos!$V$4:$V$247,MATCH($A100,Maestro_Equipos!$A$4:$A$247,0)),"")</f>
        <v>Operativo</v>
      </c>
      <c r="K100" s="37">
        <f>IFERROR(
   SUMIFS(Mantenciones!$I:$I,Mantenciones!$B:$B,$A100)
 + SUMIFS('Compras PM'!$F:$F,'Compras PM'!$C:$C,$A100),0)</f>
        <v>0</v>
      </c>
      <c r="L100" s="30" t="str">
        <f t="shared" si="8"/>
        <v>SIN DATOS</v>
      </c>
      <c r="M100" s="58" t="str" cm="1">
        <f t="array" ref="M100">IFERROR(_xlfn.AGGREGATE(14,6,Mantenciones!$A$2:$A$9997/(Mantenciones!$B$2:$B$9997=$A100),1),"")</f>
        <v/>
      </c>
      <c r="N100" s="31" t="str" cm="1">
        <f t="array" ref="N100">IFERROR(_xlfn.AGGREGATE(14,6,'Compras PM'!$A$4:$A$10014/('Compras PM'!$C$4:$C$10014=$A100),1),"")</f>
        <v/>
      </c>
      <c r="O100" s="31" t="str">
        <f>IFERROR(VLOOKUP($A100,Maestro_Equipos!$A$4:$AG$247,27,FALSE()),"")</f>
        <v/>
      </c>
      <c r="P100" s="32" t="str">
        <f t="shared" ca="1" si="9"/>
        <v/>
      </c>
      <c r="Q100" s="32" t="str">
        <f t="shared" ca="1" si="10"/>
        <v/>
      </c>
      <c r="R100" s="30" t="str">
        <f t="shared" si="11"/>
        <v>SIN SALIDA</v>
      </c>
      <c r="S100" s="33" t="str">
        <f>IFERROR(VLOOKUP($A100,Maestro_Equipos!$A$4:$AG$247,33,FALSE()),"")</f>
        <v>Monitorear próximo vencimiento</v>
      </c>
    </row>
    <row r="101" spans="1:19" ht="15" customHeight="1">
      <c r="A101" t="str" cm="1">
        <f t="array" ref="A101">IFERROR(INDEX(_xlfn._xlws.FILTER(Maestro_Equipos!$A$4:$A$247,Maestro_Equipos!$A$4:$A$247&lt;&gt;""),ROWS($A$4:A101)),"")</f>
        <v>MD-80</v>
      </c>
      <c r="B101" t="str">
        <f>IFERROR(_xlfn.XLOOKUP($A101,Maestro_Equipos!$A$4:$A$247,Maestro_Equipos!$B$4:$B$247,""),"")</f>
        <v>Retroexcavadora</v>
      </c>
      <c r="C101" t="str">
        <f>IFERROR(_xlfn.XLOOKUP($A101,Maestro_Equipos!$A$4:$A$247,Maestro_Equipos!$C$4:$C$247,""),"")</f>
        <v>Maquinaria Pesada</v>
      </c>
      <c r="D101" t="str">
        <f>IFERROR(_xlfn.XLOOKUP($A101,Maestro_Equipos!$A:$A,Maestro_Equipos!$I:$I,""),"")</f>
        <v>HORAS</v>
      </c>
      <c r="E101">
        <f>IFERROR(IF($D101="KM",_xlfn.XLOOKUP($A101,Maestro_Equipos!$A:$A,Maestro_Equipos!$N:$N,""),_xlfn.XLOOKUP($A101,Maestro_Equipos!$A:$A,Maestro_Equipos!$M:$M,"")),"")</f>
        <v>4470</v>
      </c>
      <c r="F101">
        <f>IFERROR(_xlfn.XLOOKUP($A101,Maestro_Equipos!$A:$A,Maestro_Equipos!$R:$R,"")+_xlfn.XLOOKUP($A101,Maestro_Equipos!$A:$A,Maestro_Equipos!$J:$J,""),"")</f>
        <v>4366</v>
      </c>
      <c r="G101">
        <f>IFERROR(_xlfn.XLOOKUP($A101,Maestro_Equipos!$A:$A,Maestro_Equipos!$K:$K,""),"")</f>
        <v>2.5</v>
      </c>
      <c r="H101">
        <f t="shared" si="6"/>
        <v>-42</v>
      </c>
      <c r="I101" s="41">
        <f t="shared" ca="1" si="7"/>
        <v>46103</v>
      </c>
      <c r="J101" s="5" t="str">
        <f>IFERROR(INDEX(Maestro_Equipos!$V$4:$V$247,MATCH($A101,Maestro_Equipos!$A$4:$A$247,0)),"")</f>
        <v>Operativo</v>
      </c>
      <c r="K101" s="37">
        <f>IFERROR(
   SUMIFS(Mantenciones!$I:$I,Mantenciones!$B:$B,$A101)
 + SUMIFS('Compras PM'!$F:$F,'Compras PM'!$C:$C,$A101),0)</f>
        <v>0</v>
      </c>
      <c r="L101" s="30" t="str">
        <f t="shared" si="8"/>
        <v>VENCIDA</v>
      </c>
      <c r="M101" s="58" cm="1">
        <f t="array" ref="M101">IFERROR(_xlfn.AGGREGATE(14,6,Mantenciones!$A$2:$A$9997/(Mantenciones!$B$2:$B$9997=$A101),1),"")</f>
        <v>46106</v>
      </c>
      <c r="N101" s="31" cm="1">
        <f t="array" ref="N101">IFERROR(_xlfn.AGGREGATE(14,6,'Compras PM'!$A$4:$A$10014/('Compras PM'!$C$4:$C$10014=$A101),1),"")</f>
        <v>46113</v>
      </c>
      <c r="O101" s="31">
        <f>IFERROR(VLOOKUP($A101,Maestro_Equipos!$A$4:$AG$247,27,FALSE()),"")</f>
        <v>46101</v>
      </c>
      <c r="P101" s="32">
        <f t="shared" ca="1" si="9"/>
        <v>32</v>
      </c>
      <c r="Q101" s="32">
        <f t="shared" ca="1" si="10"/>
        <v>5</v>
      </c>
      <c r="R101" s="30" t="str">
        <f t="shared" si="11"/>
        <v>REALIZADA</v>
      </c>
      <c r="S101" s="33" t="str">
        <f>IFERROR(VLOOKUP($A101,Maestro_Equipos!$A$4:$AG$247,33,FALSE()),"")</f>
        <v>Monitorear próximo vencimiento</v>
      </c>
    </row>
    <row r="102" spans="1:19" ht="15" customHeight="1">
      <c r="A102" t="str" cm="1">
        <f t="array" ref="A102">IFERROR(INDEX(_xlfn._xlws.FILTER(Maestro_Equipos!$A$4:$A$247,Maestro_Equipos!$A$4:$A$247&lt;&gt;""),ROWS($A$4:A102)),"")</f>
        <v>CD-132</v>
      </c>
      <c r="B102" t="str">
        <f>IFERROR(_xlfn.XLOOKUP($A102,Maestro_Equipos!$A$4:$A$247,Maestro_Equipos!$B$4:$B$247,""),"")</f>
        <v>Camión Tolva</v>
      </c>
      <c r="C102" t="str">
        <f>IFERROR(_xlfn.XLOOKUP($A102,Maestro_Equipos!$A$4:$A$247,Maestro_Equipos!$C$4:$C$247,""),"")</f>
        <v>Camiones de Ruta</v>
      </c>
      <c r="D102" t="str">
        <f>IFERROR(_xlfn.XLOOKUP($A102,Maestro_Equipos!$A:$A,Maestro_Equipos!$I:$I,""),"")</f>
        <v>HORAS</v>
      </c>
      <c r="E102">
        <f>IFERROR(IF($D102="KM",_xlfn.XLOOKUP($A102,Maestro_Equipos!$A:$A,Maestro_Equipos!$N:$N,""),_xlfn.XLOOKUP($A102,Maestro_Equipos!$A:$A,Maestro_Equipos!$M:$M,"")),"")</f>
        <v>9497</v>
      </c>
      <c r="F102">
        <f>IFERROR(_xlfn.XLOOKUP($A102,Maestro_Equipos!$A:$A,Maestro_Equipos!$R:$R,"")+_xlfn.XLOOKUP($A102,Maestro_Equipos!$A:$A,Maestro_Equipos!$J:$J,""),"")</f>
        <v>189292</v>
      </c>
      <c r="G102">
        <f>IFERROR(_xlfn.XLOOKUP($A102,Maestro_Equipos!$A:$A,Maestro_Equipos!$K:$K,""),"")</f>
        <v>66.8</v>
      </c>
      <c r="H102">
        <f t="shared" si="6"/>
        <v>2692</v>
      </c>
      <c r="I102" s="41">
        <f t="shared" ca="1" si="7"/>
        <v>48837</v>
      </c>
      <c r="J102" s="5" t="str">
        <f>IFERROR(INDEX(Maestro_Equipos!$V$4:$V$247,MATCH($A102,Maestro_Equipos!$A$4:$A$247,0)),"")</f>
        <v>Operativo</v>
      </c>
      <c r="K102" s="37">
        <f>IFERROR(
   SUMIFS(Mantenciones!$I:$I,Mantenciones!$B:$B,$A102)
 + SUMIFS('Compras PM'!$F:$F,'Compras PM'!$C:$C,$A102),0)</f>
        <v>0</v>
      </c>
      <c r="L102" s="30" t="str">
        <f t="shared" si="8"/>
        <v>BAJA</v>
      </c>
      <c r="M102" s="58" cm="1">
        <f t="array" ref="M102">IFERROR(_xlfn.AGGREGATE(14,6,Mantenciones!$A$2:$A$9997/(Mantenciones!$B$2:$B$9997=$A102),1),"")</f>
        <v>46105</v>
      </c>
      <c r="N102" s="31" t="str" cm="1">
        <f t="array" ref="N102">IFERROR(_xlfn.AGGREGATE(14,6,'Compras PM'!$A$4:$A$10014/('Compras PM'!$C$4:$C$10014=$A102),1),"")</f>
        <v/>
      </c>
      <c r="O102" s="31">
        <f>IFERROR(VLOOKUP($A102,Maestro_Equipos!$A$4:$AG$247,27,FALSE()),"")</f>
        <v>46087</v>
      </c>
      <c r="P102" s="32" t="str">
        <f t="shared" ca="1" si="9"/>
        <v/>
      </c>
      <c r="Q102" s="32">
        <f t="shared" ca="1" si="10"/>
        <v>18</v>
      </c>
      <c r="R102" s="30" t="str">
        <f t="shared" si="11"/>
        <v>REALIZADA</v>
      </c>
      <c r="S102" s="33" t="str">
        <f>IFERROR(VLOOKUP($A102,Maestro_Equipos!$A$4:$AG$247,33,FALSE()),"")</f>
        <v>Monitorear próximo vencimiento</v>
      </c>
    </row>
    <row r="103" spans="1:19" ht="15" customHeight="1">
      <c r="A103" t="str" cm="1">
        <f t="array" ref="A103">IFERROR(INDEX(_xlfn._xlws.FILTER(Maestro_Equipos!$A$4:$A$247,Maestro_Equipos!$A$4:$A$247&lt;&gt;""),ROWS($A$4:A103)),"")</f>
        <v>VD-137</v>
      </c>
      <c r="B103" t="str">
        <f>IFERROR(_xlfn.XLOOKUP($A103,Maestro_Equipos!$A$4:$A$247,Maestro_Equipos!$B$4:$B$247,""),"")</f>
        <v>Camioneta</v>
      </c>
      <c r="C103" t="str">
        <f>IFERROR(_xlfn.XLOOKUP($A103,Maestro_Equipos!$A$4:$A$247,Maestro_Equipos!$C$4:$C$247,""),"")</f>
        <v>Vehículos Livianos</v>
      </c>
      <c r="D103" t="str">
        <f>IFERROR(_xlfn.XLOOKUP($A103,Maestro_Equipos!$A:$A,Maestro_Equipos!$I:$I,""),"")</f>
        <v>KM</v>
      </c>
      <c r="E103">
        <f>IFERROR(IF($D103="KM",_xlfn.XLOOKUP($A103,Maestro_Equipos!$A:$A,Maestro_Equipos!$N:$N,""),_xlfn.XLOOKUP($A103,Maestro_Equipos!$A:$A,Maestro_Equipos!$M:$M,"")),"")</f>
        <v>23789</v>
      </c>
      <c r="F103">
        <f>IFERROR(_xlfn.XLOOKUP($A103,Maestro_Equipos!$A:$A,Maestro_Equipos!$R:$R,"")+_xlfn.XLOOKUP($A103,Maestro_Equipos!$A:$A,Maestro_Equipos!$J:$J,""),"")</f>
        <v>27362</v>
      </c>
      <c r="G103">
        <f>IFERROR(_xlfn.XLOOKUP($A103,Maestro_Equipos!$A:$A,Maestro_Equipos!$K:$K,""),"")</f>
        <v>2.7</v>
      </c>
      <c r="H103">
        <f t="shared" si="6"/>
        <v>1323</v>
      </c>
      <c r="I103" s="41">
        <f t="shared" ca="1" si="7"/>
        <v>47468</v>
      </c>
      <c r="J103" s="5" t="str">
        <f>IFERROR(INDEX(Maestro_Equipos!$V$4:$V$247,MATCH($A103,Maestro_Equipos!$A$4:$A$247,0)),"")</f>
        <v>Operativo</v>
      </c>
      <c r="K103" s="37">
        <f>IFERROR(
   SUMIFS(Mantenciones!$I:$I,Mantenciones!$B:$B,$A103)
 + SUMIFS('Compras PM'!$F:$F,'Compras PM'!$C:$C,$A103),0)</f>
        <v>263017</v>
      </c>
      <c r="L103" s="30" t="str">
        <f t="shared" si="8"/>
        <v>BAJA</v>
      </c>
      <c r="M103" s="58" cm="1">
        <f t="array" ref="M103">IFERROR(_xlfn.AGGREGATE(14,6,Mantenciones!$A$2:$A$9997/(Mantenciones!$B$2:$B$9997=$A103),1),"")</f>
        <v>46050</v>
      </c>
      <c r="N103" s="31" t="str" cm="1">
        <f t="array" ref="N103">IFERROR(_xlfn.AGGREGATE(14,6,'Compras PM'!$A$4:$A$10014/('Compras PM'!$C$4:$C$10014=$A103),1),"")</f>
        <v/>
      </c>
      <c r="O103" s="31" t="str">
        <f>IFERROR(VLOOKUP($A103,Maestro_Equipos!$A$4:$AG$247,27,FALSE()),"")</f>
        <v/>
      </c>
      <c r="P103" s="32" t="str">
        <f t="shared" ca="1" si="9"/>
        <v/>
      </c>
      <c r="Q103" s="32" t="str">
        <f t="shared" ca="1" si="10"/>
        <v/>
      </c>
      <c r="R103" s="30" t="str">
        <f t="shared" si="11"/>
        <v>SIN SALIDA</v>
      </c>
      <c r="S103" s="33" t="str">
        <f>IFERROR(VLOOKUP($A103,Maestro_Equipos!$A$4:$AG$247,33,FALSE()),"")</f>
        <v>Monitorear próximo vencimiento</v>
      </c>
    </row>
    <row r="104" spans="1:19" ht="15" customHeight="1">
      <c r="A104" t="str" cm="1">
        <f t="array" ref="A104">IFERROR(INDEX(_xlfn._xlws.FILTER(Maestro_Equipos!$A$4:$A$247,Maestro_Equipos!$A$4:$A$247&lt;&gt;""),ROWS($A$4:A104)),"")</f>
        <v>MD-109</v>
      </c>
      <c r="B104" t="str">
        <f>IFERROR(_xlfn.XLOOKUP($A104,Maestro_Equipos!$A$4:$A$247,Maestro_Equipos!$B$4:$B$247,""),"")</f>
        <v>Motoniveladora</v>
      </c>
      <c r="C104" t="str">
        <f>IFERROR(_xlfn.XLOOKUP($A104,Maestro_Equipos!$A$4:$A$247,Maestro_Equipos!$C$4:$C$247,""),"")</f>
        <v>Maquinaria Pesada</v>
      </c>
      <c r="D104" t="str">
        <f>IFERROR(_xlfn.XLOOKUP($A104,Maestro_Equipos!$A:$A,Maestro_Equipos!$I:$I,""),"")</f>
        <v>HORAS</v>
      </c>
      <c r="E104">
        <f>IFERROR(IF($D104="KM",_xlfn.XLOOKUP($A104,Maestro_Equipos!$A:$A,Maestro_Equipos!$N:$N,""),_xlfn.XLOOKUP($A104,Maestro_Equipos!$A:$A,Maestro_Equipos!$M:$M,"")),"")</f>
        <v>13383</v>
      </c>
      <c r="F104">
        <f>IFERROR(_xlfn.XLOOKUP($A104,Maestro_Equipos!$A:$A,Maestro_Equipos!$R:$R,"")+_xlfn.XLOOKUP($A104,Maestro_Equipos!$A:$A,Maestro_Equipos!$J:$J,""),"")</f>
        <v>87911</v>
      </c>
      <c r="G104">
        <f>IFERROR(_xlfn.XLOOKUP($A104,Maestro_Equipos!$A:$A,Maestro_Equipos!$K:$K,""),"")</f>
        <v>65</v>
      </c>
      <c r="H104">
        <f t="shared" si="6"/>
        <v>1147</v>
      </c>
      <c r="I104" s="41">
        <f t="shared" ca="1" si="7"/>
        <v>47292</v>
      </c>
      <c r="J104" s="5" t="str">
        <f>IFERROR(INDEX(Maestro_Equipos!$V$4:$V$247,MATCH($A104,Maestro_Equipos!$A$4:$A$247,0)),"")</f>
        <v>Operativo</v>
      </c>
      <c r="K104" s="37">
        <f>IFERROR(
   SUMIFS(Mantenciones!$I:$I,Mantenciones!$B:$B,$A104)
 + SUMIFS('Compras PM'!$F:$F,'Compras PM'!$C:$C,$A104),0)</f>
        <v>0</v>
      </c>
      <c r="L104" s="30" t="str">
        <f t="shared" si="8"/>
        <v>BAJA</v>
      </c>
      <c r="M104" s="58" cm="1">
        <f t="array" ref="M104">IFERROR(_xlfn.AGGREGATE(14,6,Mantenciones!$A$2:$A$9997/(Mantenciones!$B$2:$B$9997=$A104),1),"")</f>
        <v>46066</v>
      </c>
      <c r="N104" s="31" t="str" cm="1">
        <f t="array" ref="N104">IFERROR(_xlfn.AGGREGATE(14,6,'Compras PM'!$A$4:$A$10014/('Compras PM'!$C$4:$C$10014=$A104),1),"")</f>
        <v/>
      </c>
      <c r="O104" s="31">
        <f>IFERROR(VLOOKUP($A104,Maestro_Equipos!$A$4:$AG$247,27,FALSE()),"")</f>
        <v>46087</v>
      </c>
      <c r="P104" s="32" t="str">
        <f t="shared" ca="1" si="9"/>
        <v/>
      </c>
      <c r="Q104" s="32">
        <f t="shared" ca="1" si="10"/>
        <v>58</v>
      </c>
      <c r="R104" s="30" t="str">
        <f t="shared" si="11"/>
        <v>PENDIENTE</v>
      </c>
      <c r="S104" s="33" t="str">
        <f>IFERROR(VLOOKUP($A104,Maestro_Equipos!$A$4:$AG$247,33,FALSE()),"")</f>
        <v>Monitorear próximo vencimiento</v>
      </c>
    </row>
    <row r="105" spans="1:19" ht="15" customHeight="1">
      <c r="A105" t="str" cm="1">
        <f t="array" ref="A105">IFERROR(INDEX(_xlfn._xlws.FILTER(Maestro_Equipos!$A$4:$A$247,Maestro_Equipos!$A$4:$A$247&lt;&gt;""),ROWS($A$4:A105)),"")</f>
        <v>MD-49</v>
      </c>
      <c r="B105" t="str">
        <f>IFERROR(_xlfn.XLOOKUP($A105,Maestro_Equipos!$A$4:$A$247,Maestro_Equipos!$B$4:$B$247,""),"")</f>
        <v>Retroexcavadora</v>
      </c>
      <c r="C105" t="str">
        <f>IFERROR(_xlfn.XLOOKUP($A105,Maestro_Equipos!$A$4:$A$247,Maestro_Equipos!$C$4:$C$247,""),"")</f>
        <v>Maquinaria Pesada</v>
      </c>
      <c r="D105" t="str">
        <f>IFERROR(_xlfn.XLOOKUP($A105,Maestro_Equipos!$A:$A,Maestro_Equipos!$I:$I,""),"")</f>
        <v>HORAS</v>
      </c>
      <c r="E105">
        <f>IFERROR(IF($D105="KM",_xlfn.XLOOKUP($A105,Maestro_Equipos!$A:$A,Maestro_Equipos!$N:$N,""),_xlfn.XLOOKUP($A105,Maestro_Equipos!$A:$A,Maestro_Equipos!$M:$M,"")),"")</f>
        <v>14728</v>
      </c>
      <c r="F105">
        <f>IFERROR(_xlfn.XLOOKUP($A105,Maestro_Equipos!$A:$A,Maestro_Equipos!$R:$R,"")+_xlfn.XLOOKUP($A105,Maestro_Equipos!$A:$A,Maestro_Equipos!$J:$J,""),"")</f>
        <v>2224</v>
      </c>
      <c r="G105">
        <f>IFERROR(_xlfn.XLOOKUP($A105,Maestro_Equipos!$A:$A,Maestro_Equipos!$K:$K,""),"")</f>
        <v>5.8</v>
      </c>
      <c r="H105">
        <f t="shared" si="6"/>
        <v>-2156</v>
      </c>
      <c r="I105" s="41">
        <f t="shared" ca="1" si="7"/>
        <v>43989</v>
      </c>
      <c r="J105" s="5" t="str">
        <f>IFERROR(INDEX(Maestro_Equipos!$V$4:$V$247,MATCH($A105,Maestro_Equipos!$A$4:$A$247,0)),"")</f>
        <v>Operativo</v>
      </c>
      <c r="K105" s="37">
        <f>IFERROR(
   SUMIFS(Mantenciones!$I:$I,Mantenciones!$B:$B,$A105)
 + SUMIFS('Compras PM'!$F:$F,'Compras PM'!$C:$C,$A105),0)</f>
        <v>369785.86</v>
      </c>
      <c r="L105" s="30" t="str">
        <f t="shared" si="8"/>
        <v>VENCIDA</v>
      </c>
      <c r="M105" s="58" cm="1">
        <f t="array" ref="M105">IFERROR(_xlfn.AGGREGATE(14,6,Mantenciones!$A$2:$A$9997/(Mantenciones!$B$2:$B$9997=$A105),1),"")</f>
        <v>46108</v>
      </c>
      <c r="N105" s="31" cm="1">
        <f t="array" ref="N105">IFERROR(_xlfn.AGGREGATE(14,6,'Compras PM'!$A$4:$A$10014/('Compras PM'!$C$4:$C$10014=$A105),1),"")</f>
        <v>46101</v>
      </c>
      <c r="O105" s="31">
        <f>IFERROR(VLOOKUP($A105,Maestro_Equipos!$A$4:$AG$247,27,FALSE()),"")</f>
        <v>46105</v>
      </c>
      <c r="P105" s="32">
        <f t="shared" ca="1" si="9"/>
        <v>7</v>
      </c>
      <c r="Q105" s="32">
        <f t="shared" ca="1" si="10"/>
        <v>3</v>
      </c>
      <c r="R105" s="30" t="str">
        <f t="shared" si="11"/>
        <v>REALIZADA</v>
      </c>
      <c r="S105" s="33" t="str">
        <f>IFERROR(VLOOKUP($A105,Maestro_Equipos!$A$4:$AG$247,33,FALSE()),"")</f>
        <v>Monitorear próximo vencimiento</v>
      </c>
    </row>
    <row r="106" spans="1:19" ht="15" customHeight="1">
      <c r="A106" t="str" cm="1">
        <f t="array" ref="A106">IFERROR(INDEX(_xlfn._xlws.FILTER(Maestro_Equipos!$A$4:$A$247,Maestro_Equipos!$A$4:$A$247&lt;&gt;""),ROWS($A$4:A106)),"")</f>
        <v>VD-85</v>
      </c>
      <c r="B106" t="str">
        <f>IFERROR(_xlfn.XLOOKUP($A106,Maestro_Equipos!$A$4:$A$247,Maestro_Equipos!$B$4:$B$247,""),"")</f>
        <v>Furgon</v>
      </c>
      <c r="C106" t="str">
        <f>IFERROR(_xlfn.XLOOKUP($A106,Maestro_Equipos!$A$4:$A$247,Maestro_Equipos!$C$4:$C$247,""),"")</f>
        <v>Vehículos Livianos</v>
      </c>
      <c r="D106" t="str">
        <f>IFERROR(_xlfn.XLOOKUP($A106,Maestro_Equipos!$A:$A,Maestro_Equipos!$I:$I,""),"")</f>
        <v>KM</v>
      </c>
      <c r="E106">
        <f>IFERROR(IF($D106="KM",_xlfn.XLOOKUP($A106,Maestro_Equipos!$A:$A,Maestro_Equipos!$N:$N,""),_xlfn.XLOOKUP($A106,Maestro_Equipos!$A:$A,Maestro_Equipos!$M:$M,"")),"")</f>
        <v>266420</v>
      </c>
      <c r="F106">
        <f>IFERROR(_xlfn.XLOOKUP($A106,Maestro_Equipos!$A:$A,Maestro_Equipos!$R:$R,"")+_xlfn.XLOOKUP($A106,Maestro_Equipos!$A:$A,Maestro_Equipos!$J:$J,""),"")</f>
        <v>321311</v>
      </c>
      <c r="G106">
        <f>IFERROR(_xlfn.XLOOKUP($A106,Maestro_Equipos!$A:$A,Maestro_Equipos!$K:$K,""),"")</f>
        <v>128</v>
      </c>
      <c r="H106">
        <f t="shared" si="6"/>
        <v>429</v>
      </c>
      <c r="I106" s="41">
        <f t="shared" ca="1" si="7"/>
        <v>46574</v>
      </c>
      <c r="J106" s="5" t="str">
        <f>IFERROR(INDEX(Maestro_Equipos!$V$4:$V$247,MATCH($A106,Maestro_Equipos!$A$4:$A$247,0)),"")</f>
        <v>Operativo</v>
      </c>
      <c r="K106" s="37">
        <f>IFERROR(
   SUMIFS(Mantenciones!$I:$I,Mantenciones!$B:$B,$A106)
 + SUMIFS('Compras PM'!$F:$F,'Compras PM'!$C:$C,$A106),0)</f>
        <v>38549.9</v>
      </c>
      <c r="L106" s="30" t="str">
        <f t="shared" si="8"/>
        <v>BAJA</v>
      </c>
      <c r="M106" s="58" cm="1">
        <f t="array" ref="M106">IFERROR(_xlfn.AGGREGATE(14,6,Mantenciones!$A$2:$A$9997/(Mantenciones!$B$2:$B$9997=$A106),1),"")</f>
        <v>46124</v>
      </c>
      <c r="N106" s="31" cm="1">
        <f t="array" ref="N106">IFERROR(_xlfn.AGGREGATE(14,6,'Compras PM'!$A$4:$A$10014/('Compras PM'!$C$4:$C$10014=$A106),1),"")</f>
        <v>46098</v>
      </c>
      <c r="O106" s="31">
        <f>IFERROR(VLOOKUP($A106,Maestro_Equipos!$A$4:$AG$247,27,FALSE()),"")</f>
        <v>46119</v>
      </c>
      <c r="P106" s="32">
        <f t="shared" ca="1" si="9"/>
        <v>26</v>
      </c>
      <c r="Q106" s="32">
        <f t="shared" ca="1" si="10"/>
        <v>5</v>
      </c>
      <c r="R106" s="30" t="str">
        <f t="shared" si="11"/>
        <v>REALIZADA</v>
      </c>
      <c r="S106" s="33" t="str">
        <f>IFERROR(VLOOKUP($A106,Maestro_Equipos!$A$4:$AG$247,33,FALSE()),"")</f>
        <v>Monitorear próximo vencimiento</v>
      </c>
    </row>
    <row r="107" spans="1:19" ht="15" customHeight="1">
      <c r="A107" t="str" cm="1">
        <f t="array" ref="A107">IFERROR(INDEX(_xlfn._xlws.FILTER(Maestro_Equipos!$A$4:$A$247,Maestro_Equipos!$A$4:$A$247&lt;&gt;""),ROWS($A$4:A107)),"")</f>
        <v>CD-109</v>
      </c>
      <c r="B107" t="str">
        <f>IFERROR(_xlfn.XLOOKUP($A107,Maestro_Equipos!$A$4:$A$247,Maestro_Equipos!$B$4:$B$247,""),"")</f>
        <v>Camión Plano</v>
      </c>
      <c r="C107" t="str">
        <f>IFERROR(_xlfn.XLOOKUP($A107,Maestro_Equipos!$A$4:$A$247,Maestro_Equipos!$C$4:$C$247,""),"")</f>
        <v>Camiones de Ruta</v>
      </c>
      <c r="D107" t="str">
        <f>IFERROR(_xlfn.XLOOKUP($A107,Maestro_Equipos!$A:$A,Maestro_Equipos!$I:$I,""),"")</f>
        <v>KM</v>
      </c>
      <c r="E107">
        <f>IFERROR(IF($D107="KM",_xlfn.XLOOKUP($A107,Maestro_Equipos!$A:$A,Maestro_Equipos!$N:$N,""),_xlfn.XLOOKUP($A107,Maestro_Equipos!$A:$A,Maestro_Equipos!$M:$M,"")),"")</f>
        <v>190409</v>
      </c>
      <c r="F107">
        <f>IFERROR(_xlfn.XLOOKUP($A107,Maestro_Equipos!$A:$A,Maestro_Equipos!$R:$R,"")+_xlfn.XLOOKUP($A107,Maestro_Equipos!$A:$A,Maestro_Equipos!$J:$J,""),"")</f>
        <v>199849</v>
      </c>
      <c r="G107">
        <f>IFERROR(_xlfn.XLOOKUP($A107,Maestro_Equipos!$A:$A,Maestro_Equipos!$K:$K,""),"")</f>
        <v>44</v>
      </c>
      <c r="H107">
        <f t="shared" si="6"/>
        <v>215</v>
      </c>
      <c r="I107" s="41">
        <f t="shared" ca="1" si="7"/>
        <v>46360</v>
      </c>
      <c r="J107" s="5" t="str">
        <f>IFERROR(INDEX(Maestro_Equipos!$V$4:$V$247,MATCH($A107,Maestro_Equipos!$A$4:$A$247,0)),"")</f>
        <v>Operativo</v>
      </c>
      <c r="K107" s="37">
        <f>IFERROR(
   SUMIFS(Mantenciones!$I:$I,Mantenciones!$B:$B,$A107)
 + SUMIFS('Compras PM'!$F:$F,'Compras PM'!$C:$C,$A107),0)</f>
        <v>170432.99</v>
      </c>
      <c r="L107" s="30" t="str">
        <f t="shared" si="8"/>
        <v>BAJA</v>
      </c>
      <c r="M107" s="58" cm="1">
        <f t="array" ref="M107">IFERROR(_xlfn.AGGREGATE(14,6,Mantenciones!$A$2:$A$9997/(Mantenciones!$B$2:$B$9997=$A107),1),"")</f>
        <v>46093</v>
      </c>
      <c r="N107" s="31" cm="1">
        <f t="array" ref="N107">IFERROR(_xlfn.AGGREGATE(14,6,'Compras PM'!$A$4:$A$10014/('Compras PM'!$C$4:$C$10014=$A107),1),"")</f>
        <v>46093.485688888897</v>
      </c>
      <c r="O107" s="31">
        <f>IFERROR(VLOOKUP($A107,Maestro_Equipos!$A$4:$AG$247,27,FALSE()),"")</f>
        <v>46091</v>
      </c>
      <c r="P107" s="32">
        <f t="shared" ca="1" si="9"/>
        <v>51.51431111110287</v>
      </c>
      <c r="Q107" s="32">
        <f t="shared" ca="1" si="10"/>
        <v>2</v>
      </c>
      <c r="R107" s="30" t="str">
        <f t="shared" si="11"/>
        <v>REALIZADA</v>
      </c>
      <c r="S107" s="33" t="str">
        <f>IFERROR(VLOOKUP($A107,Maestro_Equipos!$A$4:$AG$247,33,FALSE()),"")</f>
        <v>Monitorear próximo vencimiento</v>
      </c>
    </row>
    <row r="108" spans="1:19" ht="15" customHeight="1">
      <c r="A108" t="str" cm="1">
        <f t="array" ref="A108">IFERROR(INDEX(_xlfn._xlws.FILTER(Maestro_Equipos!$A$4:$A$247,Maestro_Equipos!$A$4:$A$247&lt;&gt;""),ROWS($A$4:A108)),"")</f>
        <v>MD-70</v>
      </c>
      <c r="B108" t="str">
        <f>IFERROR(_xlfn.XLOOKUP($A108,Maestro_Equipos!$A$4:$A$247,Maestro_Equipos!$B$4:$B$247,""),"")</f>
        <v>Excavadora con Ruedas</v>
      </c>
      <c r="C108" t="str">
        <f>IFERROR(_xlfn.XLOOKUP($A108,Maestro_Equipos!$A$4:$A$247,Maestro_Equipos!$C$4:$C$247,""),"")</f>
        <v>Maquinaria Pesada</v>
      </c>
      <c r="D108" t="str">
        <f>IFERROR(_xlfn.XLOOKUP($A108,Maestro_Equipos!$A:$A,Maestro_Equipos!$I:$I,""),"")</f>
        <v>HORAS</v>
      </c>
      <c r="E108">
        <f>IFERROR(IF($D108="KM",_xlfn.XLOOKUP($A108,Maestro_Equipos!$A:$A,Maestro_Equipos!$N:$N,""),_xlfn.XLOOKUP($A108,Maestro_Equipos!$A:$A,Maestro_Equipos!$M:$M,"")),"")</f>
        <v>13040</v>
      </c>
      <c r="F108">
        <f>IFERROR(_xlfn.XLOOKUP($A108,Maestro_Equipos!$A:$A,Maestro_Equipos!$R:$R,"")+_xlfn.XLOOKUP($A108,Maestro_Equipos!$A:$A,Maestro_Equipos!$J:$J,""),"")</f>
        <v>13290</v>
      </c>
      <c r="G108">
        <f>IFERROR(_xlfn.XLOOKUP($A108,Maestro_Equipos!$A:$A,Maestro_Equipos!$K:$K,""),"")</f>
        <v>1.2</v>
      </c>
      <c r="H108">
        <f t="shared" si="6"/>
        <v>208</v>
      </c>
      <c r="I108" s="41">
        <f t="shared" ca="1" si="7"/>
        <v>46353</v>
      </c>
      <c r="J108" s="5" t="str">
        <f>IFERROR(INDEX(Maestro_Equipos!$V$4:$V$247,MATCH($A108,Maestro_Equipos!$A$4:$A$247,0)),"")</f>
        <v>Operativo</v>
      </c>
      <c r="K108" s="37">
        <f>IFERROR(
   SUMIFS(Mantenciones!$I:$I,Mantenciones!$B:$B,$A108)
 + SUMIFS('Compras PM'!$F:$F,'Compras PM'!$C:$C,$A108),0)</f>
        <v>178199.95669999998</v>
      </c>
      <c r="L108" s="30" t="str">
        <f t="shared" si="8"/>
        <v>BAJA</v>
      </c>
      <c r="M108" s="58" cm="1">
        <f t="array" ref="M108">IFERROR(_xlfn.AGGREGATE(14,6,Mantenciones!$A$2:$A$9997/(Mantenciones!$B$2:$B$9997=$A108),1),"")</f>
        <v>46094</v>
      </c>
      <c r="N108" s="31" cm="1">
        <f t="array" ref="N108">IFERROR(_xlfn.AGGREGATE(14,6,'Compras PM'!$A$4:$A$10014/('Compras PM'!$C$4:$C$10014=$A108),1),"")</f>
        <v>46094.669263854201</v>
      </c>
      <c r="O108" s="31">
        <f>IFERROR(VLOOKUP($A108,Maestro_Equipos!$A$4:$AG$247,27,FALSE()),"")</f>
        <v>46094</v>
      </c>
      <c r="P108" s="32">
        <f t="shared" ca="1" si="9"/>
        <v>50.330736145799165</v>
      </c>
      <c r="Q108" s="32">
        <f t="shared" ca="1" si="10"/>
        <v>0</v>
      </c>
      <c r="R108" s="30" t="str">
        <f t="shared" si="11"/>
        <v>REALIZADA</v>
      </c>
      <c r="S108" s="33" t="str">
        <f>IFERROR(VLOOKUP($A108,Maestro_Equipos!$A$4:$AG$247,33,FALSE()),"")</f>
        <v>Monitorear próximo vencimiento</v>
      </c>
    </row>
    <row r="109" spans="1:19" ht="15" customHeight="1">
      <c r="A109" t="str" cm="1">
        <f t="array" ref="A109">IFERROR(INDEX(_xlfn._xlws.FILTER(Maestro_Equipos!$A$4:$A$247,Maestro_Equipos!$A$4:$A$247&lt;&gt;""),ROWS($A$4:A109)),"")</f>
        <v>MD-28</v>
      </c>
      <c r="B109" t="str">
        <f>IFERROR(_xlfn.XLOOKUP($A109,Maestro_Equipos!$A$4:$A$247,Maestro_Equipos!$B$4:$B$247,""),"")</f>
        <v>Excavadora</v>
      </c>
      <c r="C109" t="str">
        <f>IFERROR(_xlfn.XLOOKUP($A109,Maestro_Equipos!$A$4:$A$247,Maestro_Equipos!$C$4:$C$247,""),"")</f>
        <v>Maquinaria Pesada</v>
      </c>
      <c r="D109" t="str">
        <f>IFERROR(_xlfn.XLOOKUP($A109,Maestro_Equipos!$A:$A,Maestro_Equipos!$I:$I,""),"")</f>
        <v>HORAS</v>
      </c>
      <c r="E109">
        <f>IFERROR(IF($D109="KM",_xlfn.XLOOKUP($A109,Maestro_Equipos!$A:$A,Maestro_Equipos!$N:$N,""),_xlfn.XLOOKUP($A109,Maestro_Equipos!$A:$A,Maestro_Equipos!$M:$M,"")),"")</f>
        <v>21474</v>
      </c>
      <c r="F109">
        <f>IFERROR(_xlfn.XLOOKUP($A109,Maestro_Equipos!$A:$A,Maestro_Equipos!$R:$R,"")+_xlfn.XLOOKUP($A109,Maestro_Equipos!$A:$A,Maestro_Equipos!$J:$J,""),"")</f>
        <v>21695</v>
      </c>
      <c r="G109">
        <f>IFERROR(_xlfn.XLOOKUP($A109,Maestro_Equipos!$A:$A,Maestro_Equipos!$K:$K,""),"")</f>
        <v>1.6</v>
      </c>
      <c r="H109">
        <f t="shared" si="6"/>
        <v>138</v>
      </c>
      <c r="I109" s="41">
        <f t="shared" ca="1" si="7"/>
        <v>46283</v>
      </c>
      <c r="J109" s="5" t="str">
        <f>IFERROR(INDEX(Maestro_Equipos!$V$4:$V$247,MATCH($A109,Maestro_Equipos!$A$4:$A$247,0)),"")</f>
        <v>Operativo</v>
      </c>
      <c r="K109" s="37">
        <f>IFERROR(
   SUMIFS(Mantenciones!$I:$I,Mantenciones!$B:$B,$A109)
 + SUMIFS('Compras PM'!$F:$F,'Compras PM'!$C:$C,$A109),0)</f>
        <v>115923.85</v>
      </c>
      <c r="L109" s="30" t="str">
        <f t="shared" si="8"/>
        <v>BAJA</v>
      </c>
      <c r="M109" s="58" cm="1">
        <f t="array" ref="M109">IFERROR(_xlfn.AGGREGATE(14,6,Mantenciones!$A$2:$A$9997/(Mantenciones!$B$2:$B$9997=$A109),1),"")</f>
        <v>46121</v>
      </c>
      <c r="N109" s="31" cm="1">
        <f t="array" ref="N109">IFERROR(_xlfn.AGGREGATE(14,6,'Compras PM'!$A$4:$A$10014/('Compras PM'!$C$4:$C$10014=$A109),1),"")</f>
        <v>46084.6612838773</v>
      </c>
      <c r="O109" s="31">
        <f>IFERROR(VLOOKUP($A109,Maestro_Equipos!$A$4:$AG$247,27,FALSE()),"")</f>
        <v>46105</v>
      </c>
      <c r="P109" s="32">
        <f t="shared" ca="1" si="9"/>
        <v>36.338716122700134</v>
      </c>
      <c r="Q109" s="32">
        <f t="shared" ca="1" si="10"/>
        <v>16</v>
      </c>
      <c r="R109" s="30" t="str">
        <f t="shared" si="11"/>
        <v>REALIZADA</v>
      </c>
      <c r="S109" s="33" t="str">
        <f>IFERROR(VLOOKUP($A109,Maestro_Equipos!$A$4:$AG$247,33,FALSE()),"")</f>
        <v>Monitorear próximo vencimiento</v>
      </c>
    </row>
    <row r="110" spans="1:19" ht="15" hidden="1" customHeight="1">
      <c r="A110" t="str" cm="1">
        <f t="array" ref="A110">IFERROR(INDEX(_xlfn._xlws.FILTER(Maestro_Equipos!$A$4:$A$247,Maestro_Equipos!$A$4:$A$247&lt;&gt;""),ROWS($A$4:A110)),"")</f>
        <v>VD-64</v>
      </c>
      <c r="B110" t="str">
        <f>IFERROR(_xlfn.XLOOKUP($A110,Maestro_Equipos!$A$4:$A$247,Maestro_Equipos!$B$4:$B$247,""),"")</f>
        <v>Camioneta</v>
      </c>
      <c r="C110" t="str">
        <f>IFERROR(_xlfn.XLOOKUP($A110,Maestro_Equipos!$A$4:$A$247,Maestro_Equipos!$C$4:$C$247,""),"")</f>
        <v>Vehículos Livianos</v>
      </c>
      <c r="D110" t="str">
        <f>IFERROR(VLOOKUP($A107,Maestro_Equipos!$A$4:$Z$247,9,FALSE),"")</f>
        <v>KM</v>
      </c>
      <c r="E110">
        <f>IFERROR(IF($D110="KM",_xlfn.XLOOKUP($A110,Maestro_Equipos!$A:$A,Maestro_Equipos!$N:$N,""),_xlfn.XLOOKUP($A110,Maestro_Equipos!$A:$A,Maestro_Equipos!$M:$M,"")),"")</f>
        <v>242494</v>
      </c>
      <c r="F110">
        <f>IFERROR(_xlfn.XLOOKUP($A110,Maestro_Equipos!$A:$A,Maestro_Equipos!$R:$R,"")+_xlfn.XLOOKUP($A110,Maestro_Equipos!$A:$A,Maestro_Equipos!$J:$J,""),"")</f>
        <v>256448</v>
      </c>
      <c r="G110">
        <f>IFERROR(_xlfn.XLOOKUP($A110,Maestro_Equipos!$A:$A,Maestro_Equipos!$K:$K,""),"")</f>
        <v>114.1</v>
      </c>
      <c r="H110">
        <f t="shared" si="6"/>
        <v>122</v>
      </c>
      <c r="I110" s="41">
        <f t="shared" ca="1" si="7"/>
        <v>46267</v>
      </c>
      <c r="J110" s="5" t="str">
        <f>IFERROR(INDEX(Maestro_Equipos!$V$4:$V$247,MATCH($A110,Maestro_Equipos!$A$4:$A$247,0)),"")</f>
        <v>Fuera de Servicio</v>
      </c>
      <c r="K110" s="37">
        <f>IFERROR(
   SUMIFS(Mantenciones!$I:$I,Mantenciones!$B:$B,$A110)
 + SUMIFS('Compras PM'!$F:$F,'Compras PM'!$C:$C,$A110),0)</f>
        <v>0</v>
      </c>
      <c r="L110" s="30" t="str">
        <f t="shared" si="8"/>
        <v>NO PROGRAMAR</v>
      </c>
      <c r="M110" s="58" cm="1">
        <f t="array" ref="M110">IFERROR(_xlfn.AGGREGATE(14,6,Mantenciones!$A$2:$A$9997/(Mantenciones!$B$2:$B$9997=$A110),1),"")</f>
        <v>46099</v>
      </c>
      <c r="N110" s="31" t="str" cm="1">
        <f t="array" ref="N110">IFERROR(_xlfn.AGGREGATE(14,6,'Compras PM'!$A$4:$A$10014/('Compras PM'!$C$4:$C$10014=$A110),1),"")</f>
        <v/>
      </c>
      <c r="O110" s="31" t="str">
        <f>IFERROR(VLOOKUP($A110,Maestro_Equipos!$A$4:$AG$247,27,FALSE()),"")</f>
        <v/>
      </c>
      <c r="P110" s="32" t="str">
        <f t="shared" ca="1" si="9"/>
        <v/>
      </c>
      <c r="Q110" s="32" t="str">
        <f t="shared" ca="1" si="10"/>
        <v/>
      </c>
      <c r="R110" s="30" t="str">
        <f t="shared" si="11"/>
        <v>SIN SALIDA</v>
      </c>
      <c r="S110" s="33" t="str">
        <f>IFERROR(VLOOKUP($A110,Maestro_Equipos!$A$4:$AG$247,33,FALSE()),"")</f>
        <v>No programar compra</v>
      </c>
    </row>
    <row r="111" spans="1:19" ht="15" customHeight="1">
      <c r="A111" t="str" cm="1">
        <f t="array" ref="A111">IFERROR(INDEX(_xlfn._xlws.FILTER(Maestro_Equipos!$A$4:$A$247,Maestro_Equipos!$A$4:$A$247&lt;&gt;""),ROWS($A$4:A111)),"")</f>
        <v>VD-135</v>
      </c>
      <c r="B111" t="str">
        <f>IFERROR(_xlfn.XLOOKUP($A111,Maestro_Equipos!$A$4:$A$247,Maestro_Equipos!$B$4:$B$247,""),"")</f>
        <v>Camioneta</v>
      </c>
      <c r="C111" t="str">
        <f>IFERROR(_xlfn.XLOOKUP($A111,Maestro_Equipos!$A$4:$A$247,Maestro_Equipos!$C$4:$C$247,""),"")</f>
        <v>Vehículos Livianos</v>
      </c>
      <c r="D111" t="str">
        <f>IFERROR(_xlfn.XLOOKUP($A111,Maestro_Equipos!$A:$A,Maestro_Equipos!$I:$I,""),"")</f>
        <v>KM</v>
      </c>
      <c r="E111">
        <f>IFERROR(IF($D111="KM",_xlfn.XLOOKUP($A111,Maestro_Equipos!$A:$A,Maestro_Equipos!$N:$N,""),_xlfn.XLOOKUP($A111,Maestro_Equipos!$A:$A,Maestro_Equipos!$M:$M,"")),"")</f>
        <v>34811</v>
      </c>
      <c r="F111">
        <f>IFERROR(_xlfn.XLOOKUP($A111,Maestro_Equipos!$A:$A,Maestro_Equipos!$R:$R,"")+_xlfn.XLOOKUP($A111,Maestro_Equipos!$A:$A,Maestro_Equipos!$J:$J,""),"")</f>
        <v>45000</v>
      </c>
      <c r="G111">
        <f>IFERROR(_xlfn.XLOOKUP($A111,Maestro_Equipos!$A:$A,Maestro_Equipos!$K:$K,""),"")</f>
        <v>70.400000000000006</v>
      </c>
      <c r="H111">
        <f t="shared" si="6"/>
        <v>145</v>
      </c>
      <c r="I111" s="41">
        <f t="shared" ca="1" si="7"/>
        <v>46290</v>
      </c>
      <c r="J111" s="5" t="str">
        <f>IFERROR(INDEX(Maestro_Equipos!$V$4:$V$247,MATCH($A111,Maestro_Equipos!$A$4:$A$247,0)),"")</f>
        <v>Operativo</v>
      </c>
      <c r="K111" s="37">
        <f>IFERROR(
   SUMIFS(Mantenciones!$I:$I,Mantenciones!$B:$B,$A111)
 + SUMIFS('Compras PM'!$F:$F,'Compras PM'!$C:$C,$A111),0)</f>
        <v>0</v>
      </c>
      <c r="L111" s="30" t="str">
        <f t="shared" si="8"/>
        <v>BAJA</v>
      </c>
      <c r="M111" s="58" cm="1">
        <f t="array" ref="M111">IFERROR(_xlfn.AGGREGATE(14,6,Mantenciones!$A$2:$A$9997/(Mantenciones!$B$2:$B$9997=$A111),1),"")</f>
        <v>46054</v>
      </c>
      <c r="N111" s="31" t="str" cm="1">
        <f t="array" ref="N111">IFERROR(_xlfn.AGGREGATE(14,6,'Compras PM'!$A$4:$A$10014/('Compras PM'!$C$4:$C$10014=$A111),1),"")</f>
        <v/>
      </c>
      <c r="O111" s="31" t="str">
        <f>IFERROR(VLOOKUP($A111,Maestro_Equipos!$A$4:$AG$247,27,FALSE()),"")</f>
        <v/>
      </c>
      <c r="P111" s="32" t="str">
        <f t="shared" ca="1" si="9"/>
        <v/>
      </c>
      <c r="Q111" s="32" t="str">
        <f t="shared" ca="1" si="10"/>
        <v/>
      </c>
      <c r="R111" s="30" t="str">
        <f t="shared" si="11"/>
        <v>SIN SALIDA</v>
      </c>
      <c r="S111" s="33" t="str">
        <f>IFERROR(VLOOKUP($A111,Maestro_Equipos!$A$4:$AG$247,33,FALSE()),"")</f>
        <v>Monitorear próximo vencimiento</v>
      </c>
    </row>
    <row r="112" spans="1:19" ht="15" customHeight="1">
      <c r="A112" t="str" cm="1">
        <f t="array" ref="A112">IFERROR(INDEX(_xlfn._xlws.FILTER(Maestro_Equipos!$A$4:$A$247,Maestro_Equipos!$A$4:$A$247&lt;&gt;""),ROWS($A$4:A112)),"")</f>
        <v>MD-84</v>
      </c>
      <c r="B112" t="str">
        <f>IFERROR(_xlfn.XLOOKUP($A112,Maestro_Equipos!$A$4:$A$247,Maestro_Equipos!$B$4:$B$247,""),"")</f>
        <v>Excavadora</v>
      </c>
      <c r="C112" t="str">
        <f>IFERROR(_xlfn.XLOOKUP($A112,Maestro_Equipos!$A$4:$A$247,Maestro_Equipos!$C$4:$C$247,""),"")</f>
        <v>Maquinaria Pesada</v>
      </c>
      <c r="D112" t="str">
        <f>IFERROR(_xlfn.XLOOKUP($A112,Maestro_Equipos!$A:$A,Maestro_Equipos!$I:$I,""),"")</f>
        <v>HORAS</v>
      </c>
      <c r="E112">
        <f>IFERROR(IF($D112="KM",_xlfn.XLOOKUP($A112,Maestro_Equipos!$A:$A,Maestro_Equipos!$N:$N,""),_xlfn.XLOOKUP($A112,Maestro_Equipos!$A:$A,Maestro_Equipos!$M:$M,"")),"")</f>
        <v>5765</v>
      </c>
      <c r="F112">
        <f>IFERROR(_xlfn.XLOOKUP($A112,Maestro_Equipos!$A:$A,Maestro_Equipos!$R:$R,"")+_xlfn.XLOOKUP($A112,Maestro_Equipos!$A:$A,Maestro_Equipos!$J:$J,""),"")</f>
        <v>6020</v>
      </c>
      <c r="G112">
        <f>IFERROR(_xlfn.XLOOKUP($A112,Maestro_Equipos!$A:$A,Maestro_Equipos!$K:$K,""),"")</f>
        <v>3.3</v>
      </c>
      <c r="H112">
        <f t="shared" si="6"/>
        <v>77</v>
      </c>
      <c r="I112" s="41">
        <f t="shared" ca="1" si="7"/>
        <v>46222</v>
      </c>
      <c r="J112" s="5" t="str">
        <f>IFERROR(INDEX(Maestro_Equipos!$V$4:$V$247,MATCH($A112,Maestro_Equipos!$A$4:$A$247,0)),"")</f>
        <v>Operativo</v>
      </c>
      <c r="K112" s="37">
        <f>IFERROR(
   SUMIFS(Mantenciones!$I:$I,Mantenciones!$B:$B,$A112)
 + SUMIFS('Compras PM'!$F:$F,'Compras PM'!$C:$C,$A112),0)</f>
        <v>456581.58</v>
      </c>
      <c r="L112" s="30" t="str">
        <f t="shared" si="8"/>
        <v>BAJA</v>
      </c>
      <c r="M112" s="58" cm="1">
        <f t="array" ref="M112">IFERROR(_xlfn.AGGREGATE(14,6,Mantenciones!$A$2:$A$9997/(Mantenciones!$B$2:$B$9997=$A112),1),"")</f>
        <v>46125</v>
      </c>
      <c r="N112" s="31" cm="1">
        <f t="array" ref="N112">IFERROR(_xlfn.AGGREGATE(14,6,'Compras PM'!$A$4:$A$10014/('Compras PM'!$C$4:$C$10014=$A112),1),"")</f>
        <v>46106</v>
      </c>
      <c r="O112" s="31">
        <f>IFERROR(VLOOKUP($A112,Maestro_Equipos!$A$4:$AG$247,27,FALSE()),"")</f>
        <v>46077</v>
      </c>
      <c r="P112" s="32">
        <f t="shared" ca="1" si="9"/>
        <v>19</v>
      </c>
      <c r="Q112" s="32">
        <f t="shared" ca="1" si="10"/>
        <v>48</v>
      </c>
      <c r="R112" s="30" t="str">
        <f t="shared" si="11"/>
        <v>REALIZADA</v>
      </c>
      <c r="S112" s="33" t="str">
        <f>IFERROR(VLOOKUP($A112,Maestro_Equipos!$A$4:$AG$247,33,FALSE()),"")</f>
        <v>Monitorear próximo vencimiento</v>
      </c>
    </row>
    <row r="113" spans="1:19" ht="15" customHeight="1">
      <c r="A113" t="str" cm="1">
        <f t="array" ref="A113">IFERROR(INDEX(_xlfn._xlws.FILTER(Maestro_Equipos!$A$4:$A$247,Maestro_Equipos!$A$4:$A$247&lt;&gt;""),ROWS($A$4:A113)),"")</f>
        <v>EQP-11</v>
      </c>
      <c r="B113" t="str">
        <f>IFERROR(_xlfn.XLOOKUP($A113,Maestro_Equipos!$A$4:$A$247,Maestro_Equipos!$B$4:$B$247,""),"")</f>
        <v>Planta Aridos seleccionadora</v>
      </c>
      <c r="C113" t="str">
        <f>IFERROR(_xlfn.XLOOKUP($A113,Maestro_Equipos!$A$4:$A$247,Maestro_Equipos!$C$4:$C$247,""),"")</f>
        <v>Maquinaria Pesada</v>
      </c>
      <c r="D113" t="str">
        <f>IFERROR(_xlfn.XLOOKUP($A113,Maestro_Equipos!$A:$A,Maestro_Equipos!$I:$I,""),"")</f>
        <v>HORAS</v>
      </c>
      <c r="E113">
        <f>IFERROR(IF($D113="KM",_xlfn.XLOOKUP($A113,Maestro_Equipos!$A:$A,Maestro_Equipos!$N:$N,""),_xlfn.XLOOKUP($A113,Maestro_Equipos!$A:$A,Maestro_Equipos!$M:$M,"")),"")</f>
        <v>2050</v>
      </c>
      <c r="F113">
        <f>IFERROR(_xlfn.XLOOKUP($A113,Maestro_Equipos!$A:$A,Maestro_Equipos!$R:$R,"")+_xlfn.XLOOKUP($A113,Maestro_Equipos!$A:$A,Maestro_Equipos!$J:$J,""),"")</f>
        <v>2300</v>
      </c>
      <c r="G113">
        <f>IFERROR(_xlfn.XLOOKUP($A113,Maestro_Equipos!$A:$A,Maestro_Equipos!$K:$K,""),"")</f>
        <v>2</v>
      </c>
      <c r="H113">
        <f t="shared" si="6"/>
        <v>125</v>
      </c>
      <c r="I113" s="41">
        <f t="shared" ca="1" si="7"/>
        <v>46270</v>
      </c>
      <c r="J113" s="5" t="str">
        <f>IFERROR(INDEX(Maestro_Equipos!$V$4:$V$247,MATCH($A113,Maestro_Equipos!$A$4:$A$247,0)),"")</f>
        <v>Operativo</v>
      </c>
      <c r="K113" s="37">
        <f>IFERROR(
   SUMIFS(Mantenciones!$I:$I,Mantenciones!$B:$B,$A113)
 + SUMIFS('Compras PM'!$F:$F,'Compras PM'!$C:$C,$A113),0)</f>
        <v>0</v>
      </c>
      <c r="L113" s="30" t="str">
        <f t="shared" si="8"/>
        <v>BAJA</v>
      </c>
      <c r="M113" s="58" cm="1">
        <f t="array" ref="M113">IFERROR(_xlfn.AGGREGATE(14,6,Mantenciones!$A$2:$A$9997/(Mantenciones!$B$2:$B$9997=$A113),1),"")</f>
        <v>46107</v>
      </c>
      <c r="N113" s="31" cm="1">
        <f t="array" ref="N113">IFERROR(_xlfn.AGGREGATE(14,6,'Compras PM'!$A$4:$A$10014/('Compras PM'!$C$4:$C$10014=$A113),1),"")</f>
        <v>46113</v>
      </c>
      <c r="O113" s="31">
        <f>IFERROR(VLOOKUP($A113,Maestro_Equipos!$A$4:$AG$247,27,FALSE()),"")</f>
        <v>46105</v>
      </c>
      <c r="P113" s="32">
        <f t="shared" ca="1" si="9"/>
        <v>32</v>
      </c>
      <c r="Q113" s="32">
        <f t="shared" ca="1" si="10"/>
        <v>2</v>
      </c>
      <c r="R113" s="30" t="str">
        <f t="shared" si="11"/>
        <v>REALIZADA</v>
      </c>
      <c r="S113" s="33" t="str">
        <f>IFERROR(VLOOKUP($A113,Maestro_Equipos!$A$4:$AG$247,33,FALSE()),"")</f>
        <v>Monitorear próximo vencimiento</v>
      </c>
    </row>
    <row r="114" spans="1:19" ht="15" customHeight="1">
      <c r="A114" t="str" cm="1">
        <f t="array" ref="A114">IFERROR(INDEX(_xlfn._xlws.FILTER(Maestro_Equipos!$A$4:$A$247,Maestro_Equipos!$A$4:$A$247&lt;&gt;""),ROWS($A$4:A114)),"")</f>
        <v>VD-94</v>
      </c>
      <c r="B114" t="str">
        <f>IFERROR(_xlfn.XLOOKUP($A114,Maestro_Equipos!$A$4:$A$247,Maestro_Equipos!$B$4:$B$247,""),"")</f>
        <v>Camioneta</v>
      </c>
      <c r="C114" t="str">
        <f>IFERROR(_xlfn.XLOOKUP($A114,Maestro_Equipos!$A$4:$A$247,Maestro_Equipos!$C$4:$C$247,""),"")</f>
        <v>Vehículos Livianos</v>
      </c>
      <c r="D114" t="str">
        <f>IFERROR(_xlfn.XLOOKUP($A114,Maestro_Equipos!$A:$A,Maestro_Equipos!$I:$I,""),"")</f>
        <v>KM</v>
      </c>
      <c r="E114">
        <f>IFERROR(IF($D114="KM",_xlfn.XLOOKUP($A114,Maestro_Equipos!$A:$A,Maestro_Equipos!$N:$N,""),_xlfn.XLOOKUP($A114,Maestro_Equipos!$A:$A,Maestro_Equipos!$M:$M,"")),"")</f>
        <v>93964</v>
      </c>
      <c r="F114">
        <f>IFERROR(_xlfn.XLOOKUP($A114,Maestro_Equipos!$A:$A,Maestro_Equipos!$R:$R,"")+_xlfn.XLOOKUP($A114,Maestro_Equipos!$A:$A,Maestro_Equipos!$J:$J,""),"")</f>
        <v>107994</v>
      </c>
      <c r="G114">
        <f>IFERROR(_xlfn.XLOOKUP($A114,Maestro_Equipos!$A:$A,Maestro_Equipos!$K:$K,""),"")</f>
        <v>114.8</v>
      </c>
      <c r="H114">
        <f t="shared" si="6"/>
        <v>122</v>
      </c>
      <c r="I114" s="41">
        <f t="shared" ca="1" si="7"/>
        <v>46267</v>
      </c>
      <c r="J114" s="5" t="str">
        <f>IFERROR(INDEX(Maestro_Equipos!$V$4:$V$247,MATCH($A114,Maestro_Equipos!$A$4:$A$247,0)),"")</f>
        <v>Operativo</v>
      </c>
      <c r="K114" s="37">
        <f>IFERROR(
   SUMIFS(Mantenciones!$I:$I,Mantenciones!$B:$B,$A114)
 + SUMIFS('Compras PM'!$F:$F,'Compras PM'!$C:$C,$A114),0)</f>
        <v>24499.97</v>
      </c>
      <c r="L114" s="30" t="str">
        <f t="shared" si="8"/>
        <v>BAJA</v>
      </c>
      <c r="M114" s="58" cm="1">
        <f t="array" ref="M114">IFERROR(_xlfn.AGGREGATE(14,6,Mantenciones!$A$2:$A$9997/(Mantenciones!$B$2:$B$9997=$A114),1),"")</f>
        <v>46101</v>
      </c>
      <c r="N114" s="31" cm="1">
        <f t="array" ref="N114">IFERROR(_xlfn.AGGREGATE(14,6,'Compras PM'!$A$4:$A$10014/('Compras PM'!$C$4:$C$10014=$A114),1),"")</f>
        <v>46127</v>
      </c>
      <c r="O114" s="31">
        <f>IFERROR(VLOOKUP($A114,Maestro_Equipos!$A$4:$AG$247,27,FALSE()),"")</f>
        <v>46101</v>
      </c>
      <c r="P114" s="32">
        <f t="shared" ca="1" si="9"/>
        <v>18</v>
      </c>
      <c r="Q114" s="32">
        <f t="shared" ca="1" si="10"/>
        <v>0</v>
      </c>
      <c r="R114" s="30" t="str">
        <f t="shared" si="11"/>
        <v>REALIZADA</v>
      </c>
      <c r="S114" s="33" t="str">
        <f>IFERROR(VLOOKUP($A114,Maestro_Equipos!$A$4:$AG$247,33,FALSE()),"")</f>
        <v>Monitorear próximo vencimiento</v>
      </c>
    </row>
    <row r="115" spans="1:19" ht="15" customHeight="1">
      <c r="A115" t="str" cm="1">
        <f t="array" ref="A115">IFERROR(INDEX(_xlfn._xlws.FILTER(Maestro_Equipos!$A$4:$A$247,Maestro_Equipos!$A$4:$A$247&lt;&gt;""),ROWS($A$4:A115)),"")</f>
        <v>VD-107</v>
      </c>
      <c r="B115" t="str">
        <f>IFERROR(_xlfn.XLOOKUP($A115,Maestro_Equipos!$A$4:$A$247,Maestro_Equipos!$B$4:$B$247,""),"")</f>
        <v>Camioneta</v>
      </c>
      <c r="C115" t="str">
        <f>IFERROR(_xlfn.XLOOKUP($A115,Maestro_Equipos!$A$4:$A$247,Maestro_Equipos!$C$4:$C$247,""),"")</f>
        <v>Vehículos Livianos</v>
      </c>
      <c r="D115" t="str">
        <f>IFERROR(_xlfn.XLOOKUP($A115,Maestro_Equipos!$A:$A,Maestro_Equipos!$I:$I,""),"")</f>
        <v>KM</v>
      </c>
      <c r="E115">
        <f>IFERROR(IF($D115="KM",_xlfn.XLOOKUP($A115,Maestro_Equipos!$A:$A,Maestro_Equipos!$N:$N,""),_xlfn.XLOOKUP($A115,Maestro_Equipos!$A:$A,Maestro_Equipos!$M:$M,"")),"")</f>
        <v>82711</v>
      </c>
      <c r="F115">
        <f>IFERROR(_xlfn.XLOOKUP($A115,Maestro_Equipos!$A:$A,Maestro_Equipos!$R:$R,"")+_xlfn.XLOOKUP($A115,Maestro_Equipos!$A:$A,Maestro_Equipos!$J:$J,""),"")</f>
        <v>90400</v>
      </c>
      <c r="G115">
        <f>IFERROR(_xlfn.XLOOKUP($A115,Maestro_Equipos!$A:$A,Maestro_Equipos!$K:$K,""),"")</f>
        <v>107.2</v>
      </c>
      <c r="H115">
        <f t="shared" si="6"/>
        <v>72</v>
      </c>
      <c r="I115" s="41">
        <f t="shared" ca="1" si="7"/>
        <v>46217</v>
      </c>
      <c r="J115" s="5" t="str">
        <f>IFERROR(INDEX(Maestro_Equipos!$V$4:$V$247,MATCH($A115,Maestro_Equipos!$A$4:$A$247,0)),"")</f>
        <v>Operativo</v>
      </c>
      <c r="K115" s="37">
        <f>IFERROR(
   SUMIFS(Mantenciones!$I:$I,Mantenciones!$B:$B,$A115)
 + SUMIFS('Compras PM'!$F:$F,'Compras PM'!$C:$C,$A115),0)</f>
        <v>425505</v>
      </c>
      <c r="L115" s="30" t="str">
        <f t="shared" si="8"/>
        <v>BAJA</v>
      </c>
      <c r="M115" s="58" cm="1">
        <f t="array" ref="M115">IFERROR(_xlfn.AGGREGATE(14,6,Mantenciones!$A$2:$A$9997/(Mantenciones!$B$2:$B$9997=$A115),1),"")</f>
        <v>46086</v>
      </c>
      <c r="N115" s="31" t="str" cm="1">
        <f t="array" ref="N115">IFERROR(_xlfn.AGGREGATE(14,6,'Compras PM'!$A$4:$A$10014/('Compras PM'!$C$4:$C$10014=$A115),1),"")</f>
        <v/>
      </c>
      <c r="O115" s="31" t="str">
        <f>IFERROR(VLOOKUP($A115,Maestro_Equipos!$A$4:$AG$247,27,FALSE()),"")</f>
        <v/>
      </c>
      <c r="P115" s="32" t="str">
        <f t="shared" ca="1" si="9"/>
        <v/>
      </c>
      <c r="Q115" s="32" t="str">
        <f t="shared" ca="1" si="10"/>
        <v/>
      </c>
      <c r="R115" s="30" t="str">
        <f t="shared" si="11"/>
        <v>SIN SALIDA</v>
      </c>
      <c r="S115" s="33" t="str">
        <f>IFERROR(VLOOKUP($A115,Maestro_Equipos!$A$4:$AG$247,33,FALSE()),"")</f>
        <v>Monitorear próximo vencimiento</v>
      </c>
    </row>
    <row r="116" spans="1:19" ht="15" customHeight="1">
      <c r="A116" t="str" cm="1">
        <f t="array" ref="A116">IFERROR(INDEX(_xlfn._xlws.FILTER(Maestro_Equipos!$A$4:$A$247,Maestro_Equipos!$A$4:$A$247&lt;&gt;""),ROWS($A$4:A116)),"")</f>
        <v>VD-127</v>
      </c>
      <c r="B116" t="str">
        <f>IFERROR(_xlfn.XLOOKUP($A116,Maestro_Equipos!$A$4:$A$247,Maestro_Equipos!$B$4:$B$247,""),"")</f>
        <v>Camioneta</v>
      </c>
      <c r="C116" t="str">
        <f>IFERROR(_xlfn.XLOOKUP($A116,Maestro_Equipos!$A$4:$A$247,Maestro_Equipos!$C$4:$C$247,""),"")</f>
        <v>Vehículos Livianos</v>
      </c>
      <c r="D116" t="str">
        <f>IFERROR(_xlfn.XLOOKUP($A116,Maestro_Equipos!$A:$A,Maestro_Equipos!$I:$I,""),"")</f>
        <v>KM</v>
      </c>
      <c r="E116">
        <f>IFERROR(IF($D116="KM",_xlfn.XLOOKUP($A116,Maestro_Equipos!$A:$A,Maestro_Equipos!$N:$N,""),_xlfn.XLOOKUP($A116,Maestro_Equipos!$A:$A,Maestro_Equipos!$M:$M,"")),"")</f>
        <v>74968</v>
      </c>
      <c r="F116">
        <f>IFERROR(_xlfn.XLOOKUP($A116,Maestro_Equipos!$A:$A,Maestro_Equipos!$R:$R,"")+_xlfn.XLOOKUP($A116,Maestro_Equipos!$A:$A,Maestro_Equipos!$J:$J,""),"")</f>
        <v>87423</v>
      </c>
      <c r="G116">
        <f>IFERROR(_xlfn.XLOOKUP($A116,Maestro_Equipos!$A:$A,Maestro_Equipos!$K:$K,""),"")</f>
        <v>142.80000000000001</v>
      </c>
      <c r="H116">
        <f t="shared" si="6"/>
        <v>87</v>
      </c>
      <c r="I116" s="41">
        <f t="shared" ca="1" si="7"/>
        <v>46232</v>
      </c>
      <c r="J116" s="5" t="str">
        <f>IFERROR(INDEX(Maestro_Equipos!$V$4:$V$247,MATCH($A116,Maestro_Equipos!$A$4:$A$247,0)),"")</f>
        <v>Operativo</v>
      </c>
      <c r="K116" s="37">
        <f>IFERROR(
   SUMIFS(Mantenciones!$I:$I,Mantenciones!$B:$B,$A116)
 + SUMIFS('Compras PM'!$F:$F,'Compras PM'!$C:$C,$A116),0)</f>
        <v>607478</v>
      </c>
      <c r="L116" s="30" t="str">
        <f t="shared" si="8"/>
        <v>BAJA</v>
      </c>
      <c r="M116" s="58" cm="1">
        <f t="array" ref="M116">IFERROR(_xlfn.AGGREGATE(14,6,Mantenciones!$A$2:$A$9997/(Mantenciones!$B$2:$B$9997=$A116),1),"")</f>
        <v>46121</v>
      </c>
      <c r="N116" s="31" t="str" cm="1">
        <f t="array" ref="N116">IFERROR(_xlfn.AGGREGATE(14,6,'Compras PM'!$A$4:$A$10014/('Compras PM'!$C$4:$C$10014=$A116),1),"")</f>
        <v/>
      </c>
      <c r="O116" s="31" t="str">
        <f>IFERROR(VLOOKUP($A116,Maestro_Equipos!$A$4:$AG$247,27,FALSE()),"")</f>
        <v/>
      </c>
      <c r="P116" s="32" t="str">
        <f t="shared" ca="1" si="9"/>
        <v/>
      </c>
      <c r="Q116" s="32" t="str">
        <f t="shared" ca="1" si="10"/>
        <v/>
      </c>
      <c r="R116" s="30" t="str">
        <f t="shared" si="11"/>
        <v>SIN SALIDA</v>
      </c>
      <c r="S116" s="33" t="str">
        <f>IFERROR(VLOOKUP($A116,Maestro_Equipos!$A$4:$AG$247,33,FALSE()),"")</f>
        <v>Monitorear próximo vencimiento</v>
      </c>
    </row>
    <row r="117" spans="1:19" ht="15" customHeight="1">
      <c r="A117" t="str" cm="1">
        <f t="array" ref="A117">IFERROR(INDEX(_xlfn._xlws.FILTER(Maestro_Equipos!$A$4:$A$247,Maestro_Equipos!$A$4:$A$247&lt;&gt;""),ROWS($A$4:A117)),"")</f>
        <v>VD-136</v>
      </c>
      <c r="B117" t="str">
        <f>IFERROR(_xlfn.XLOOKUP($A117,Maestro_Equipos!$A$4:$A$247,Maestro_Equipos!$B$4:$B$247,""),"")</f>
        <v>Camioneta</v>
      </c>
      <c r="C117" t="str">
        <f>IFERROR(_xlfn.XLOOKUP($A117,Maestro_Equipos!$A$4:$A$247,Maestro_Equipos!$C$4:$C$247,""),"")</f>
        <v>Vehículos Livianos</v>
      </c>
      <c r="D117" t="str">
        <f>IFERROR(_xlfn.XLOOKUP($A117,Maestro_Equipos!$A:$A,Maestro_Equipos!$I:$I,""),"")</f>
        <v>KM</v>
      </c>
      <c r="E117">
        <f>IFERROR(IF($D117="KM",_xlfn.XLOOKUP($A117,Maestro_Equipos!$A:$A,Maestro_Equipos!$N:$N,""),_xlfn.XLOOKUP($A117,Maestro_Equipos!$A:$A,Maestro_Equipos!$M:$M,"")),"")</f>
        <v>22731</v>
      </c>
      <c r="F117">
        <f>IFERROR(_xlfn.XLOOKUP($A117,Maestro_Equipos!$A:$A,Maestro_Equipos!$R:$R,"")+_xlfn.XLOOKUP($A117,Maestro_Equipos!$A:$A,Maestro_Equipos!$J:$J,""),"")</f>
        <v>36224</v>
      </c>
      <c r="G117">
        <f>IFERROR(_xlfn.XLOOKUP($A117,Maestro_Equipos!$A:$A,Maestro_Equipos!$K:$K,""),"")</f>
        <v>143.6</v>
      </c>
      <c r="H117">
        <f t="shared" si="6"/>
        <v>94</v>
      </c>
      <c r="I117" s="41">
        <f t="shared" ca="1" si="7"/>
        <v>46239</v>
      </c>
      <c r="J117" s="5" t="str">
        <f>IFERROR(INDEX(Maestro_Equipos!$V$4:$V$247,MATCH($A117,Maestro_Equipos!$A$4:$A$247,0)),"")</f>
        <v>Operativo</v>
      </c>
      <c r="K117" s="37">
        <f>IFERROR(
   SUMIFS(Mantenciones!$I:$I,Mantenciones!$B:$B,$A117)
 + SUMIFS('Compras PM'!$F:$F,'Compras PM'!$C:$C,$A117),0)</f>
        <v>499644</v>
      </c>
      <c r="L117" s="30" t="str">
        <f t="shared" si="8"/>
        <v>BAJA</v>
      </c>
      <c r="M117" s="58" cm="1">
        <f t="array" ref="M117">IFERROR(_xlfn.AGGREGATE(14,6,Mantenciones!$A$2:$A$9997/(Mantenciones!$B$2:$B$9997=$A117),1),"")</f>
        <v>46121</v>
      </c>
      <c r="N117" s="31" t="str" cm="1">
        <f t="array" ref="N117">IFERROR(_xlfn.AGGREGATE(14,6,'Compras PM'!$A$4:$A$10014/('Compras PM'!$C$4:$C$10014=$A117),1),"")</f>
        <v/>
      </c>
      <c r="O117" s="31" t="str">
        <f>IFERROR(VLOOKUP($A117,Maestro_Equipos!$A$4:$AG$247,27,FALSE()),"")</f>
        <v/>
      </c>
      <c r="P117" s="32" t="str">
        <f t="shared" ca="1" si="9"/>
        <v/>
      </c>
      <c r="Q117" s="32" t="str">
        <f t="shared" ca="1" si="10"/>
        <v/>
      </c>
      <c r="R117" s="30" t="str">
        <f t="shared" si="11"/>
        <v>SIN SALIDA</v>
      </c>
      <c r="S117" s="33" t="str">
        <f>IFERROR(VLOOKUP($A117,Maestro_Equipos!$A$4:$AG$247,33,FALSE()),"")</f>
        <v>Monitorear próximo vencimiento</v>
      </c>
    </row>
    <row r="118" spans="1:19">
      <c r="A118" t="str" cm="1">
        <f t="array" ref="A118">IFERROR(INDEX(_xlfn._xlws.FILTER(Maestro_Equipos!$A$4:$A$247,Maestro_Equipos!$A$4:$A$247&lt;&gt;""),ROWS($A$4:A118)),"")</f>
        <v>VD-90</v>
      </c>
      <c r="B118" t="str">
        <f>IFERROR(_xlfn.XLOOKUP($A118,Maestro_Equipos!$A$4:$A$247,Maestro_Equipos!$B$4:$B$247,""),"")</f>
        <v>Camioneta</v>
      </c>
      <c r="C118" t="str">
        <f>IFERROR(_xlfn.XLOOKUP($A118,Maestro_Equipos!$A$4:$A$247,Maestro_Equipos!$C$4:$C$247,""),"")</f>
        <v>Vehículos Livianos</v>
      </c>
      <c r="D118" t="str">
        <f>IFERROR(_xlfn.XLOOKUP($A118,Maestro_Equipos!$A:$A,Maestro_Equipos!$I:$I,""),"")</f>
        <v>KM</v>
      </c>
      <c r="E118">
        <f>IFERROR(IF($D118="KM",_xlfn.XLOOKUP($A118,Maestro_Equipos!$A:$A,Maestro_Equipos!$N:$N,""),_xlfn.XLOOKUP($A118,Maestro_Equipos!$A:$A,Maestro_Equipos!$M:$M,"")),"")</f>
        <v>134800</v>
      </c>
      <c r="F118">
        <f>IFERROR(_xlfn.XLOOKUP($A118,Maestro_Equipos!$A:$A,Maestro_Equipos!$R:$R,"")+_xlfn.XLOOKUP($A118,Maestro_Equipos!$A:$A,Maestro_Equipos!$J:$J,""),"")</f>
        <v>148477</v>
      </c>
      <c r="G118">
        <f>IFERROR(_xlfn.XLOOKUP($A118,Maestro_Equipos!$A:$A,Maestro_Equipos!$K:$K,""),"")</f>
        <v>151</v>
      </c>
      <c r="H118">
        <f t="shared" si="6"/>
        <v>91</v>
      </c>
      <c r="I118" s="41">
        <f t="shared" ca="1" si="7"/>
        <v>46236</v>
      </c>
      <c r="J118" s="5" t="str">
        <f>IFERROR(INDEX(Maestro_Equipos!$V$4:$V$247,MATCH($A118,Maestro_Equipos!$A$4:$A$247,0)),"")</f>
        <v>Operativo</v>
      </c>
      <c r="K118" s="37">
        <f>IFERROR(
   SUMIFS(Mantenciones!$I:$I,Mantenciones!$B:$B,$A118)
 + SUMIFS('Compras PM'!$F:$F,'Compras PM'!$C:$C,$A118),0)</f>
        <v>24499.97</v>
      </c>
      <c r="L118" s="30" t="str">
        <f t="shared" si="8"/>
        <v>BAJA</v>
      </c>
      <c r="M118" s="58" cm="1">
        <f t="array" ref="M118">IFERROR(_xlfn.AGGREGATE(14,6,Mantenciones!$A$2:$A$9997/(Mantenciones!$B$2:$B$9997=$A118),1),"")</f>
        <v>46125</v>
      </c>
      <c r="N118" s="31" cm="1">
        <f t="array" ref="N118">IFERROR(_xlfn.AGGREGATE(14,6,'Compras PM'!$A$4:$A$10014/('Compras PM'!$C$4:$C$10014=$A118),1),"")</f>
        <v>46127</v>
      </c>
      <c r="O118" s="31">
        <f>IFERROR(VLOOKUP($A118,Maestro_Equipos!$A$4:$AG$247,27,FALSE()),"")</f>
        <v>46125</v>
      </c>
      <c r="P118" s="32">
        <f t="shared" ca="1" si="9"/>
        <v>18</v>
      </c>
      <c r="Q118" s="32">
        <f t="shared" ca="1" si="10"/>
        <v>0</v>
      </c>
      <c r="R118" s="30" t="str">
        <f t="shared" si="11"/>
        <v>REALIZADA</v>
      </c>
      <c r="S118" s="33" t="str">
        <f>IFERROR(VLOOKUP($A118,Maestro_Equipos!$A$4:$AG$247,33,FALSE()),"")</f>
        <v>Monitorear próximo vencimiento</v>
      </c>
    </row>
    <row r="119" spans="1:19">
      <c r="A119" t="str" cm="1">
        <f t="array" ref="A119">IFERROR(INDEX(_xlfn._xlws.FILTER(Maestro_Equipos!$A$4:$A$247,Maestro_Equipos!$A$4:$A$247&lt;&gt;""),ROWS($A$4:A119)),"")</f>
        <v>VD-95</v>
      </c>
      <c r="B119" t="str">
        <f>IFERROR(_xlfn.XLOOKUP($A119,Maestro_Equipos!$A$4:$A$247,Maestro_Equipos!$B$4:$B$247,""),"")</f>
        <v>Camioneta</v>
      </c>
      <c r="C119" t="str">
        <f>IFERROR(_xlfn.XLOOKUP($A119,Maestro_Equipos!$A$4:$A$247,Maestro_Equipos!$C$4:$C$247,""),"")</f>
        <v>Vehículos Livianos</v>
      </c>
      <c r="D119" t="str">
        <f>IFERROR(_xlfn.XLOOKUP($A119,Maestro_Equipos!$A:$A,Maestro_Equipos!$I:$I,""),"")</f>
        <v>KM</v>
      </c>
      <c r="E119">
        <f>IFERROR(IF($D119="KM",_xlfn.XLOOKUP($A119,Maestro_Equipos!$A:$A,Maestro_Equipos!$N:$N,""),_xlfn.XLOOKUP($A119,Maestro_Equipos!$A:$A,Maestro_Equipos!$M:$M,"")),"")</f>
        <v>151721</v>
      </c>
      <c r="F119">
        <f>IFERROR(_xlfn.XLOOKUP($A119,Maestro_Equipos!$A:$A,Maestro_Equipos!$R:$R,"")+_xlfn.XLOOKUP($A119,Maestro_Equipos!$A:$A,Maestro_Equipos!$J:$J,""),"")</f>
        <v>163168</v>
      </c>
      <c r="G119">
        <f>IFERROR(_xlfn.XLOOKUP($A119,Maestro_Equipos!$A:$A,Maestro_Equipos!$K:$K,""),"")</f>
        <v>155.80000000000001</v>
      </c>
      <c r="H119">
        <f t="shared" si="6"/>
        <v>73</v>
      </c>
      <c r="I119" s="41">
        <f t="shared" ca="1" si="7"/>
        <v>46218</v>
      </c>
      <c r="J119" s="5" t="str">
        <f>IFERROR(INDEX(Maestro_Equipos!$V$4:$V$247,MATCH($A119,Maestro_Equipos!$A$4:$A$247,0)),"")</f>
        <v>Operativo</v>
      </c>
      <c r="K119" s="37">
        <f>IFERROR(
   SUMIFS(Mantenciones!$I:$I,Mantenciones!$B:$B,$A119)
 + SUMIFS('Compras PM'!$F:$F,'Compras PM'!$C:$C,$A119),0)</f>
        <v>24499.97</v>
      </c>
      <c r="L119" s="30" t="str">
        <f t="shared" si="8"/>
        <v>BAJA</v>
      </c>
      <c r="M119" s="58" cm="1">
        <f t="array" ref="M119">IFERROR(_xlfn.AGGREGATE(14,6,Mantenciones!$A$2:$A$9997/(Mantenciones!$B$2:$B$9997=$A119),1),"")</f>
        <v>46118</v>
      </c>
      <c r="N119" s="31" cm="1">
        <f t="array" ref="N119">IFERROR(_xlfn.AGGREGATE(14,6,'Compras PM'!$A$4:$A$10014/('Compras PM'!$C$4:$C$10014=$A119),1),"")</f>
        <v>46127</v>
      </c>
      <c r="O119" s="31">
        <f>IFERROR(VLOOKUP($A119,Maestro_Equipos!$A$4:$AG$247,27,FALSE()),"")</f>
        <v>46118</v>
      </c>
      <c r="P119" s="32">
        <f t="shared" ca="1" si="9"/>
        <v>18</v>
      </c>
      <c r="Q119" s="32">
        <f t="shared" ca="1" si="10"/>
        <v>0</v>
      </c>
      <c r="R119" s="30" t="str">
        <f t="shared" si="11"/>
        <v>REALIZADA</v>
      </c>
      <c r="S119" s="33" t="str">
        <f>IFERROR(VLOOKUP($A119,Maestro_Equipos!$A$4:$AG$247,33,FALSE()),"")</f>
        <v>Monitorear próximo vencimiento</v>
      </c>
    </row>
    <row r="120" spans="1:19" ht="15" customHeight="1">
      <c r="A120" t="str" cm="1">
        <f t="array" ref="A120">IFERROR(INDEX(_xlfn._xlws.FILTER(Maestro_Equipos!$A$4:$A$247,Maestro_Equipos!$A$4:$A$247&lt;&gt;""),ROWS($A$4:A120)),"")</f>
        <v>VD-112</v>
      </c>
      <c r="B120" t="str">
        <f>IFERROR(_xlfn.XLOOKUP($A120,Maestro_Equipos!$A$4:$A$247,Maestro_Equipos!$B$4:$B$247,""),"")</f>
        <v>Camioneta</v>
      </c>
      <c r="C120" t="str">
        <f>IFERROR(_xlfn.XLOOKUP($A120,Maestro_Equipos!$A$4:$A$247,Maestro_Equipos!$C$4:$C$247,""),"")</f>
        <v>Vehículos Livianos</v>
      </c>
      <c r="D120" t="str">
        <f>IFERROR(_xlfn.XLOOKUP($A120,Maestro_Equipos!$A:$A,Maestro_Equipos!$I:$I,""),"")</f>
        <v>KM</v>
      </c>
      <c r="E120">
        <f>IFERROR(IF($D120="KM",_xlfn.XLOOKUP($A120,Maestro_Equipos!$A:$A,Maestro_Equipos!$N:$N,""),_xlfn.XLOOKUP($A120,Maestro_Equipos!$A:$A,Maestro_Equipos!$M:$M,"")),"")</f>
        <v>107331</v>
      </c>
      <c r="F120">
        <f>IFERROR(_xlfn.XLOOKUP($A120,Maestro_Equipos!$A:$A,Maestro_Equipos!$R:$R,"")+_xlfn.XLOOKUP($A120,Maestro_Equipos!$A:$A,Maestro_Equipos!$J:$J,""),"")</f>
        <v>132843</v>
      </c>
      <c r="G120">
        <f>IFERROR(_xlfn.XLOOKUP($A120,Maestro_Equipos!$A:$A,Maestro_Equipos!$K:$K,""),"")</f>
        <v>230.8</v>
      </c>
      <c r="H120">
        <f t="shared" si="6"/>
        <v>111</v>
      </c>
      <c r="I120" s="41">
        <f t="shared" ca="1" si="7"/>
        <v>46256</v>
      </c>
      <c r="J120" s="5" t="str">
        <f>IFERROR(INDEX(Maestro_Equipos!$V$4:$V$247,MATCH($A120,Maestro_Equipos!$A$4:$A$247,0)),"")</f>
        <v>Operativo</v>
      </c>
      <c r="K120" s="37">
        <f>IFERROR(
   SUMIFS(Mantenciones!$I:$I,Mantenciones!$B:$B,$A120)
 + SUMIFS('Compras PM'!$F:$F,'Compras PM'!$C:$C,$A120),0)</f>
        <v>0</v>
      </c>
      <c r="L120" s="30" t="str">
        <f t="shared" si="8"/>
        <v>BAJA</v>
      </c>
      <c r="M120" s="58" cm="1">
        <f t="array" ref="M120">IFERROR(_xlfn.AGGREGATE(14,6,Mantenciones!$A$2:$A$9997/(Mantenciones!$B$2:$B$9997=$A120),1),"")</f>
        <v>46126</v>
      </c>
      <c r="N120" s="31" t="str" cm="1">
        <f t="array" ref="N120">IFERROR(_xlfn.AGGREGATE(14,6,'Compras PM'!$A$4:$A$10014/('Compras PM'!$C$4:$C$10014=$A120),1),"")</f>
        <v/>
      </c>
      <c r="O120" s="31">
        <f>IFERROR(VLOOKUP($A120,Maestro_Equipos!$A$4:$AG$247,27,FALSE()),"")</f>
        <v>46126</v>
      </c>
      <c r="P120" s="32" t="str">
        <f t="shared" ca="1" si="9"/>
        <v/>
      </c>
      <c r="Q120" s="32">
        <f t="shared" ca="1" si="10"/>
        <v>0</v>
      </c>
      <c r="R120" s="30" t="str">
        <f t="shared" si="11"/>
        <v>REALIZADA</v>
      </c>
      <c r="S120" s="33" t="str">
        <f>IFERROR(VLOOKUP($A120,Maestro_Equipos!$A$4:$AG$247,33,FALSE()),"")</f>
        <v>Monitorear próximo vencimiento</v>
      </c>
    </row>
    <row r="121" spans="1:19">
      <c r="A121" t="str" cm="1">
        <f t="array" ref="A121">IFERROR(INDEX(_xlfn._xlws.FILTER(Maestro_Equipos!$A$4:$A$247,Maestro_Equipos!$A$4:$A$247&lt;&gt;""),ROWS($A$4:A121)),"")</f>
        <v>ED-61</v>
      </c>
      <c r="B121" t="str">
        <f>IFERROR(_xlfn.XLOOKUP($A121,Maestro_Equipos!$A$4:$A$247,Maestro_Equipos!$B$4:$B$247,""),"")</f>
        <v>Gravilladora</v>
      </c>
      <c r="C121" t="str">
        <f>IFERROR(_xlfn.XLOOKUP($A121,Maestro_Equipos!$A$4:$A$247,Maestro_Equipos!$C$4:$C$247,""),"")</f>
        <v>Maquinaria Pesada</v>
      </c>
      <c r="D121" t="str">
        <f>IFERROR(_xlfn.XLOOKUP($A121,Maestro_Equipos!$A:$A,Maestro_Equipos!$I:$I,""),"")</f>
        <v>HORAS</v>
      </c>
      <c r="E121">
        <f>IFERROR(IF($D121="KM",_xlfn.XLOOKUP($A121,Maestro_Equipos!$A:$A,Maestro_Equipos!$N:$N,""),_xlfn.XLOOKUP($A121,Maestro_Equipos!$A:$A,Maestro_Equipos!$M:$M,"")),"")</f>
        <v>1537</v>
      </c>
      <c r="F121">
        <f>IFERROR(_xlfn.XLOOKUP($A121,Maestro_Equipos!$A:$A,Maestro_Equipos!$R:$R,"")+_xlfn.XLOOKUP($A121,Maestro_Equipos!$A:$A,Maestro_Equipos!$J:$J,""),"")</f>
        <v>1791</v>
      </c>
      <c r="G121">
        <f>IFERROR(_xlfn.XLOOKUP($A121,Maestro_Equipos!$A:$A,Maestro_Equipos!$K:$K,""),"")</f>
        <v>2.2999999999999998</v>
      </c>
      <c r="H121">
        <f t="shared" si="6"/>
        <v>110</v>
      </c>
      <c r="I121" s="41">
        <f t="shared" ca="1" si="7"/>
        <v>46255</v>
      </c>
      <c r="J121" s="5" t="str">
        <f>IFERROR(INDEX(Maestro_Equipos!$V$4:$V$247,MATCH($A121,Maestro_Equipos!$A$4:$A$247,0)),"")</f>
        <v>Operativo</v>
      </c>
      <c r="K121" s="37">
        <f>IFERROR(
   SUMIFS(Mantenciones!$I:$I,Mantenciones!$B:$B,$A121)
 + SUMIFS('Compras PM'!$F:$F,'Compras PM'!$C:$C,$A121),0)</f>
        <v>31799.977299999999</v>
      </c>
      <c r="L121" s="30" t="str">
        <f t="shared" si="8"/>
        <v>BAJA</v>
      </c>
      <c r="M121" s="58" cm="1">
        <f t="array" ref="M121">IFERROR(_xlfn.AGGREGATE(14,6,Mantenciones!$A$2:$A$9997/(Mantenciones!$B$2:$B$9997=$A121),1),"")</f>
        <v>46108</v>
      </c>
      <c r="N121" s="31" cm="1">
        <f t="array" ref="N121">IFERROR(_xlfn.AGGREGATE(14,6,'Compras PM'!$A$4:$A$10014/('Compras PM'!$C$4:$C$10014=$A121),1),"")</f>
        <v>46091.475044826402</v>
      </c>
      <c r="O121" s="31">
        <f>IFERROR(VLOOKUP($A121,Maestro_Equipos!$A$4:$AG$247,27,FALSE()),"")</f>
        <v>46104</v>
      </c>
      <c r="P121" s="32">
        <f t="shared" ca="1" si="9"/>
        <v>16.524955173597846</v>
      </c>
      <c r="Q121" s="32">
        <f t="shared" ca="1" si="10"/>
        <v>4</v>
      </c>
      <c r="R121" s="30" t="str">
        <f t="shared" si="11"/>
        <v>REALIZADA</v>
      </c>
      <c r="S121" s="33" t="str">
        <f>IFERROR(VLOOKUP($A121,Maestro_Equipos!$A$4:$AG$247,33,FALSE()),"")</f>
        <v>Monitorear próximo vencimiento</v>
      </c>
    </row>
    <row r="122" spans="1:19">
      <c r="A122" t="str" cm="1">
        <f t="array" ref="A122">IFERROR(INDEX(_xlfn._xlws.FILTER(Maestro_Equipos!$A$4:$A$247,Maestro_Equipos!$A$4:$A$247&lt;&gt;""),ROWS($A$4:A122)),"")</f>
        <v>VD-114</v>
      </c>
      <c r="B122" t="str">
        <f>IFERROR(_xlfn.XLOOKUP($A122,Maestro_Equipos!$A$4:$A$247,Maestro_Equipos!$B$4:$B$247,""),"")</f>
        <v>Camioneta</v>
      </c>
      <c r="C122" t="str">
        <f>IFERROR(_xlfn.XLOOKUP($A122,Maestro_Equipos!$A$4:$A$247,Maestro_Equipos!$C$4:$C$247,""),"")</f>
        <v>Vehículos Livianos</v>
      </c>
      <c r="D122" t="str">
        <f>IFERROR(_xlfn.XLOOKUP($A122,Maestro_Equipos!$A:$A,Maestro_Equipos!$I:$I,""),"")</f>
        <v>KM</v>
      </c>
      <c r="E122">
        <f>IFERROR(IF($D122="KM",_xlfn.XLOOKUP($A122,Maestro_Equipos!$A:$A,Maestro_Equipos!$N:$N,""),_xlfn.XLOOKUP($A122,Maestro_Equipos!$A:$A,Maestro_Equipos!$M:$M,"")),"")</f>
        <v>67095</v>
      </c>
      <c r="F122">
        <f>IFERROR(_xlfn.XLOOKUP($A122,Maestro_Equipos!$A:$A,Maestro_Equipos!$R:$R,"")+_xlfn.XLOOKUP($A122,Maestro_Equipos!$A:$A,Maestro_Equipos!$J:$J,""),"")</f>
        <v>83137</v>
      </c>
      <c r="G122">
        <f>IFERROR(_xlfn.XLOOKUP($A122,Maestro_Equipos!$A:$A,Maestro_Equipos!$K:$K,""),"")</f>
        <v>156.5</v>
      </c>
      <c r="H122">
        <f t="shared" si="6"/>
        <v>103</v>
      </c>
      <c r="I122" s="41">
        <f t="shared" ca="1" si="7"/>
        <v>46248</v>
      </c>
      <c r="J122" s="5" t="str">
        <f>IFERROR(INDEX(Maestro_Equipos!$V$4:$V$247,MATCH($A122,Maestro_Equipos!$A$4:$A$247,0)),"")</f>
        <v>Operativo</v>
      </c>
      <c r="K122" s="37">
        <f>IFERROR(
   SUMIFS(Mantenciones!$I:$I,Mantenciones!$B:$B,$A122)
 + SUMIFS('Compras PM'!$F:$F,'Compras PM'!$C:$C,$A122),0)</f>
        <v>0</v>
      </c>
      <c r="L122" s="30" t="str">
        <f t="shared" si="8"/>
        <v>BAJA</v>
      </c>
      <c r="M122" s="58" cm="1">
        <f t="array" ref="M122">IFERROR(_xlfn.AGGREGATE(14,6,Mantenciones!$A$2:$A$9997/(Mantenciones!$B$2:$B$9997=$A122),1),"")</f>
        <v>46113</v>
      </c>
      <c r="N122" s="31" t="str" cm="1">
        <f t="array" ref="N122">IFERROR(_xlfn.AGGREGATE(14,6,'Compras PM'!$A$4:$A$10014/('Compras PM'!$C$4:$C$10014=$A122),1),"")</f>
        <v/>
      </c>
      <c r="O122" s="31">
        <f>IFERROR(VLOOKUP($A122,Maestro_Equipos!$A$4:$AG$247,27,FALSE()),"")</f>
        <v>46087</v>
      </c>
      <c r="P122" s="32" t="str">
        <f t="shared" ca="1" si="9"/>
        <v/>
      </c>
      <c r="Q122" s="32">
        <f t="shared" ca="1" si="10"/>
        <v>26</v>
      </c>
      <c r="R122" s="30" t="str">
        <f t="shared" si="11"/>
        <v>REALIZADA</v>
      </c>
      <c r="S122" s="33" t="str">
        <f>IFERROR(VLOOKUP($A122,Maestro_Equipos!$A$4:$AG$247,33,FALSE()),"")</f>
        <v>Monitorear próximo vencimiento</v>
      </c>
    </row>
    <row r="123" spans="1:19">
      <c r="A123" t="str" cm="1">
        <f t="array" ref="A123">IFERROR(INDEX(_xlfn._xlws.FILTER(Maestro_Equipos!$A$4:$A$247,Maestro_Equipos!$A$4:$A$247&lt;&gt;""),ROWS($A$4:A123)),"")</f>
        <v>VD-128</v>
      </c>
      <c r="B123" t="str">
        <f>IFERROR(_xlfn.XLOOKUP($A123,Maestro_Equipos!$A$4:$A$247,Maestro_Equipos!$B$4:$B$247,""),"")</f>
        <v>Camioneta</v>
      </c>
      <c r="C123" t="str">
        <f>IFERROR(_xlfn.XLOOKUP($A123,Maestro_Equipos!$A$4:$A$247,Maestro_Equipos!$C$4:$C$247,""),"")</f>
        <v>Vehículos Livianos</v>
      </c>
      <c r="D123" t="str">
        <f>IFERROR(_xlfn.XLOOKUP($A123,Maestro_Equipos!$A:$A,Maestro_Equipos!$I:$I,""),"")</f>
        <v>KM</v>
      </c>
      <c r="E123">
        <f>IFERROR(IF($D123="KM",_xlfn.XLOOKUP($A123,Maestro_Equipos!$A:$A,Maestro_Equipos!$N:$N,""),_xlfn.XLOOKUP($A123,Maestro_Equipos!$A:$A,Maestro_Equipos!$M:$M,"")),"")</f>
        <v>86820</v>
      </c>
      <c r="F123">
        <f>IFERROR(_xlfn.XLOOKUP($A123,Maestro_Equipos!$A:$A,Maestro_Equipos!$R:$R,"")+_xlfn.XLOOKUP($A123,Maestro_Equipos!$A:$A,Maestro_Equipos!$J:$J,""),"")</f>
        <v>101820</v>
      </c>
      <c r="G123">
        <f>IFERROR(_xlfn.XLOOKUP($A123,Maestro_Equipos!$A:$A,Maestro_Equipos!$K:$K,""),"")</f>
        <v>145.80000000000001</v>
      </c>
      <c r="H123">
        <f t="shared" si="6"/>
        <v>103</v>
      </c>
      <c r="I123" s="41">
        <f t="shared" ca="1" si="7"/>
        <v>46248</v>
      </c>
      <c r="J123" s="5" t="str">
        <f>IFERROR(INDEX(Maestro_Equipos!$V$4:$V$247,MATCH($A123,Maestro_Equipos!$A$4:$A$247,0)),"")</f>
        <v>Operativo</v>
      </c>
      <c r="K123" s="37">
        <f>IFERROR(
   SUMIFS(Mantenciones!$I:$I,Mantenciones!$B:$B,$A123)
 + SUMIFS('Compras PM'!$F:$F,'Compras PM'!$C:$C,$A123),0)</f>
        <v>1529640.54</v>
      </c>
      <c r="L123" s="30" t="str">
        <f t="shared" si="8"/>
        <v>BAJA</v>
      </c>
      <c r="M123" s="58" cm="1">
        <f t="array" ref="M123">IFERROR(_xlfn.AGGREGATE(14,6,Mantenciones!$A$2:$A$9997/(Mantenciones!$B$2:$B$9997=$A123),1),"")</f>
        <v>46105</v>
      </c>
      <c r="N123" s="31" cm="1">
        <f t="array" ref="N123">IFERROR(_xlfn.AGGREGATE(14,6,'Compras PM'!$A$4:$A$10014/('Compras PM'!$C$4:$C$10014=$A123),1),"")</f>
        <v>46105.629484409699</v>
      </c>
      <c r="O123" s="31" t="str">
        <f>IFERROR(VLOOKUP($A123,Maestro_Equipos!$A$4:$AG$247,27,FALSE()),"")</f>
        <v/>
      </c>
      <c r="P123" s="32">
        <f t="shared" ca="1" si="9"/>
        <v>39.370515590300784</v>
      </c>
      <c r="Q123" s="32" t="str">
        <f t="shared" ca="1" si="10"/>
        <v/>
      </c>
      <c r="R123" s="30" t="str">
        <f t="shared" si="11"/>
        <v>SIN SALIDA</v>
      </c>
      <c r="S123" s="33" t="str">
        <f>IFERROR(VLOOKUP($A123,Maestro_Equipos!$A$4:$AG$247,33,FALSE()),"")</f>
        <v>Hacer seguimiento al taller y cerrar report</v>
      </c>
    </row>
    <row r="124" spans="1:19" ht="15" customHeight="1">
      <c r="A124" t="str" cm="1">
        <f t="array" ref="A124">IFERROR(INDEX(_xlfn._xlws.FILTER(Maestro_Equipos!$A$4:$A$247,Maestro_Equipos!$A$4:$A$247&lt;&gt;""),ROWS($A$4:A124)),"")</f>
        <v>VD-109</v>
      </c>
      <c r="B124" t="str">
        <f>IFERROR(_xlfn.XLOOKUP($A124,Maestro_Equipos!$A$4:$A$247,Maestro_Equipos!$B$4:$B$247,""),"")</f>
        <v>Camioneta</v>
      </c>
      <c r="C124" t="str">
        <f>IFERROR(_xlfn.XLOOKUP($A124,Maestro_Equipos!$A$4:$A$247,Maestro_Equipos!$C$4:$C$247,""),"")</f>
        <v>Vehículos Livianos</v>
      </c>
      <c r="D124" t="str">
        <f>IFERROR(_xlfn.XLOOKUP($A124,Maestro_Equipos!$A:$A,Maestro_Equipos!$I:$I,""),"")</f>
        <v>KM</v>
      </c>
      <c r="E124">
        <f>IFERROR(IF($D124="KM",_xlfn.XLOOKUP($A124,Maestro_Equipos!$A:$A,Maestro_Equipos!$N:$N,""),_xlfn.XLOOKUP($A124,Maestro_Equipos!$A:$A,Maestro_Equipos!$M:$M,"")),"")</f>
        <v>110641</v>
      </c>
      <c r="F124">
        <f>IFERROR(_xlfn.XLOOKUP($A124,Maestro_Equipos!$A:$A,Maestro_Equipos!$R:$R,"")+_xlfn.XLOOKUP($A124,Maestro_Equipos!$A:$A,Maestro_Equipos!$J:$J,""),"")</f>
        <v>122210</v>
      </c>
      <c r="G124">
        <f>IFERROR(_xlfn.XLOOKUP($A124,Maestro_Equipos!$A:$A,Maestro_Equipos!$K:$K,""),"")</f>
        <v>155.19999999999999</v>
      </c>
      <c r="H124">
        <f t="shared" si="6"/>
        <v>75</v>
      </c>
      <c r="I124" s="41">
        <f t="shared" ca="1" si="7"/>
        <v>46220</v>
      </c>
      <c r="J124" s="5" t="str">
        <f>IFERROR(INDEX(Maestro_Equipos!$V$4:$V$247,MATCH($A124,Maestro_Equipos!$A$4:$A$247,0)),"")</f>
        <v>Operativo</v>
      </c>
      <c r="K124" s="37">
        <f>IFERROR(
   SUMIFS(Mantenciones!$I:$I,Mantenciones!$B:$B,$A124)
 + SUMIFS('Compras PM'!$F:$F,'Compras PM'!$C:$C,$A124),0)</f>
        <v>405817</v>
      </c>
      <c r="L124" s="30" t="str">
        <f t="shared" si="8"/>
        <v>BAJA</v>
      </c>
      <c r="M124" s="58" cm="1">
        <f t="array" ref="M124">IFERROR(_xlfn.AGGREGATE(14,6,Mantenciones!$A$2:$A$9997/(Mantenciones!$B$2:$B$9997=$A124),1),"")</f>
        <v>46094</v>
      </c>
      <c r="N124" s="31" t="str" cm="1">
        <f t="array" ref="N124">IFERROR(_xlfn.AGGREGATE(14,6,'Compras PM'!$A$4:$A$10014/('Compras PM'!$C$4:$C$10014=$A124),1),"")</f>
        <v/>
      </c>
      <c r="O124" s="31" t="str">
        <f>IFERROR(VLOOKUP($A124,Maestro_Equipos!$A$4:$AG$247,27,FALSE()),"")</f>
        <v/>
      </c>
      <c r="P124" s="32" t="str">
        <f t="shared" ca="1" si="9"/>
        <v/>
      </c>
      <c r="Q124" s="32" t="str">
        <f t="shared" ca="1" si="10"/>
        <v/>
      </c>
      <c r="R124" s="30" t="str">
        <f t="shared" si="11"/>
        <v>SIN SALIDA</v>
      </c>
      <c r="S124" s="33" t="str">
        <f>IFERROR(VLOOKUP($A124,Maestro_Equipos!$A$4:$AG$247,33,FALSE()),"")</f>
        <v>Monitorear próximo vencimiento</v>
      </c>
    </row>
    <row r="125" spans="1:19" ht="15" customHeight="1">
      <c r="A125" t="str" cm="1">
        <f t="array" ref="A125">IFERROR(INDEX(_xlfn._xlws.FILTER(Maestro_Equipos!$A$4:$A$247,Maestro_Equipos!$A$4:$A$247&lt;&gt;""),ROWS($A$4:A125)),"")</f>
        <v>CD-106</v>
      </c>
      <c r="B125" t="str">
        <f>IFERROR(_xlfn.XLOOKUP($A125,Maestro_Equipos!$A$4:$A$247,Maestro_Equipos!$B$4:$B$247,""),"")</f>
        <v>Camión Tolva</v>
      </c>
      <c r="C125" t="str">
        <f>IFERROR(_xlfn.XLOOKUP($A125,Maestro_Equipos!$A$4:$A$247,Maestro_Equipos!$C$4:$C$247,""),"")</f>
        <v>Camiones de Ruta</v>
      </c>
      <c r="D125" t="str">
        <f>IFERROR(_xlfn.XLOOKUP($A125,Maestro_Equipos!$A:$A,Maestro_Equipos!$I:$I,""),"")</f>
        <v>HORAS</v>
      </c>
      <c r="E125">
        <f>IFERROR(IF($D125="KM",_xlfn.XLOOKUP($A125,Maestro_Equipos!$A:$A,Maestro_Equipos!$N:$N,""),_xlfn.XLOOKUP($A125,Maestro_Equipos!$A:$A,Maestro_Equipos!$M:$M,"")),"")</f>
        <v>8345</v>
      </c>
      <c r="F125">
        <f>IFERROR(_xlfn.XLOOKUP($A125,Maestro_Equipos!$A:$A,Maestro_Equipos!$R:$R,"")+_xlfn.XLOOKUP($A125,Maestro_Equipos!$A:$A,Maestro_Equipos!$J:$J,""),"")</f>
        <v>8569</v>
      </c>
      <c r="G125">
        <f>IFERROR(_xlfn.XLOOKUP($A125,Maestro_Equipos!$A:$A,Maestro_Equipos!$K:$K,""),"")</f>
        <v>0.2</v>
      </c>
      <c r="H125">
        <f t="shared" si="6"/>
        <v>1120</v>
      </c>
      <c r="I125" s="41">
        <f t="shared" ca="1" si="7"/>
        <v>47265</v>
      </c>
      <c r="J125" s="5" t="str">
        <f>IFERROR(INDEX(Maestro_Equipos!$V$4:$V$247,MATCH($A125,Maestro_Equipos!$A$4:$A$247,0)),"")</f>
        <v>Operativo</v>
      </c>
      <c r="K125" s="37">
        <f>IFERROR(
   SUMIFS(Mantenciones!$I:$I,Mantenciones!$B:$B,$A125)
 + SUMIFS('Compras PM'!$F:$F,'Compras PM'!$C:$C,$A125),0)</f>
        <v>0</v>
      </c>
      <c r="L125" s="30" t="str">
        <f t="shared" si="8"/>
        <v>BAJA</v>
      </c>
      <c r="M125" s="58" cm="1">
        <f t="array" ref="M125">IFERROR(_xlfn.AGGREGATE(14,6,Mantenciones!$A$2:$A$9997/(Mantenciones!$B$2:$B$9997=$A125),1),"")</f>
        <v>46044</v>
      </c>
      <c r="N125" s="31" t="str" cm="1">
        <f t="array" ref="N125">IFERROR(_xlfn.AGGREGATE(14,6,'Compras PM'!$A$4:$A$10014/('Compras PM'!$C$4:$C$10014=$A125),1),"")</f>
        <v/>
      </c>
      <c r="O125" s="31" t="str">
        <f>IFERROR(VLOOKUP($A125,Maestro_Equipos!$A$4:$AG$247,27,FALSE()),"")</f>
        <v/>
      </c>
      <c r="P125" s="32" t="str">
        <f t="shared" ca="1" si="9"/>
        <v/>
      </c>
      <c r="Q125" s="32" t="str">
        <f t="shared" ca="1" si="10"/>
        <v/>
      </c>
      <c r="R125" s="30" t="str">
        <f t="shared" si="11"/>
        <v>SIN SALIDA</v>
      </c>
      <c r="S125" s="33" t="str">
        <f>IFERROR(VLOOKUP($A125,Maestro_Equipos!$A$4:$AG$247,33,FALSE()),"")</f>
        <v>Monitorear próximo vencimiento</v>
      </c>
    </row>
    <row r="126" spans="1:19" ht="15" customHeight="1">
      <c r="A126" t="str" cm="1">
        <f t="array" ref="A126">IFERROR(INDEX(_xlfn._xlws.FILTER(Maestro_Equipos!$A$4:$A$247,Maestro_Equipos!$A$4:$A$247&lt;&gt;""),ROWS($A$4:A126)),"")</f>
        <v>VD-100</v>
      </c>
      <c r="B126" t="str">
        <f>IFERROR(_xlfn.XLOOKUP($A126,Maestro_Equipos!$A$4:$A$247,Maestro_Equipos!$B$4:$B$247,""),"")</f>
        <v>Camioneta</v>
      </c>
      <c r="C126" t="str">
        <f>IFERROR(_xlfn.XLOOKUP($A126,Maestro_Equipos!$A$4:$A$247,Maestro_Equipos!$C$4:$C$247,""),"")</f>
        <v>Vehículos Livianos</v>
      </c>
      <c r="D126" t="str">
        <f>IFERROR(_xlfn.XLOOKUP($A126,Maestro_Equipos!$A:$A,Maestro_Equipos!$I:$I,""),"")</f>
        <v>KM</v>
      </c>
      <c r="E126">
        <f>IFERROR(IF($D126="KM",_xlfn.XLOOKUP($A126,Maestro_Equipos!$A:$A,Maestro_Equipos!$N:$N,""),_xlfn.XLOOKUP($A126,Maestro_Equipos!$A:$A,Maestro_Equipos!$M:$M,"")),"")</f>
        <v>99450</v>
      </c>
      <c r="F126">
        <f>IFERROR(_xlfn.XLOOKUP($A126,Maestro_Equipos!$A:$A,Maestro_Equipos!$R:$R,"")+_xlfn.XLOOKUP($A126,Maestro_Equipos!$A:$A,Maestro_Equipos!$J:$J,""),"")</f>
        <v>104665</v>
      </c>
      <c r="G126">
        <f>IFERROR(_xlfn.XLOOKUP($A126,Maestro_Equipos!$A:$A,Maestro_Equipos!$K:$K,""),"")</f>
        <v>72.599999999999994</v>
      </c>
      <c r="H126">
        <f t="shared" si="6"/>
        <v>72</v>
      </c>
      <c r="I126" s="41">
        <f t="shared" ca="1" si="7"/>
        <v>46217</v>
      </c>
      <c r="J126" s="5" t="str">
        <f>IFERROR(INDEX(Maestro_Equipos!$V$4:$V$247,MATCH($A126,Maestro_Equipos!$A$4:$A$247,0)),"")</f>
        <v>Operativo</v>
      </c>
      <c r="K126" s="37">
        <f>IFERROR(
   SUMIFS(Mantenciones!$I:$I,Mantenciones!$B:$B,$A126)
 + SUMIFS('Compras PM'!$F:$F,'Compras PM'!$C:$C,$A126),0)</f>
        <v>0</v>
      </c>
      <c r="L126" s="30" t="str">
        <f t="shared" si="8"/>
        <v>BAJA</v>
      </c>
      <c r="M126" s="58" cm="1">
        <f t="array" ref="M126">IFERROR(_xlfn.AGGREGATE(14,6,Mantenciones!$A$2:$A$9997/(Mantenciones!$B$2:$B$9997=$A126),1),"")</f>
        <v>0</v>
      </c>
      <c r="N126" s="31" t="str" cm="1">
        <f t="array" ref="N126">IFERROR(_xlfn.AGGREGATE(14,6,'Compras PM'!$A$4:$A$10014/('Compras PM'!$C$4:$C$10014=$A126),1),"")</f>
        <v/>
      </c>
      <c r="O126" s="31" t="str">
        <f>IFERROR(VLOOKUP($A126,Maestro_Equipos!$A$4:$AG$247,27,FALSE()),"")</f>
        <v/>
      </c>
      <c r="P126" s="32" t="str">
        <f t="shared" ca="1" si="9"/>
        <v/>
      </c>
      <c r="Q126" s="32" t="str">
        <f t="shared" ca="1" si="10"/>
        <v/>
      </c>
      <c r="R126" s="30" t="str">
        <f t="shared" si="11"/>
        <v>SIN SALIDA</v>
      </c>
      <c r="S126" s="33" t="str">
        <f>IFERROR(VLOOKUP($A126,Maestro_Equipos!$A$4:$AG$247,33,FALSE()),"")</f>
        <v>Monitorear próximo vencimiento</v>
      </c>
    </row>
    <row r="127" spans="1:19" ht="15" customHeight="1">
      <c r="A127" t="str" cm="1">
        <f t="array" ref="A127">IFERROR(INDEX(_xlfn._xlws.FILTER(Maestro_Equipos!$A$4:$A$247,Maestro_Equipos!$A$4:$A$247&lt;&gt;""),ROWS($A$4:A127)),"")</f>
        <v>VD-118</v>
      </c>
      <c r="B127" t="str">
        <f>IFERROR(_xlfn.XLOOKUP($A127,Maestro_Equipos!$A$4:$A$247,Maestro_Equipos!$B$4:$B$247,""),"")</f>
        <v>Furgon</v>
      </c>
      <c r="C127" t="str">
        <f>IFERROR(_xlfn.XLOOKUP($A127,Maestro_Equipos!$A$4:$A$247,Maestro_Equipos!$C$4:$C$247,""),"")</f>
        <v>Vehículos Livianos</v>
      </c>
      <c r="D127" t="str">
        <f>IFERROR(_xlfn.XLOOKUP($A127,Maestro_Equipos!$A:$A,Maestro_Equipos!$I:$I,""),"")</f>
        <v>KM</v>
      </c>
      <c r="E127">
        <f>IFERROR(IF($D127="KM",_xlfn.XLOOKUP($A127,Maestro_Equipos!$A:$A,Maestro_Equipos!$N:$N,""),_xlfn.XLOOKUP($A127,Maestro_Equipos!$A:$A,Maestro_Equipos!$M:$M,"")),"")</f>
        <v>47499</v>
      </c>
      <c r="F127">
        <f>IFERROR(_xlfn.XLOOKUP($A127,Maestro_Equipos!$A:$A,Maestro_Equipos!$R:$R,"")+_xlfn.XLOOKUP($A127,Maestro_Equipos!$A:$A,Maestro_Equipos!$J:$J,""),"")</f>
        <v>56246</v>
      </c>
      <c r="G127">
        <f>IFERROR(_xlfn.XLOOKUP($A127,Maestro_Equipos!$A:$A,Maestro_Equipos!$K:$K,""),"")</f>
        <v>102.6</v>
      </c>
      <c r="H127">
        <f t="shared" si="6"/>
        <v>85</v>
      </c>
      <c r="I127" s="41">
        <f t="shared" ca="1" si="7"/>
        <v>46230</v>
      </c>
      <c r="J127" s="5" t="str">
        <f>IFERROR(INDEX(Maestro_Equipos!$V$4:$V$247,MATCH($A127,Maestro_Equipos!$A$4:$A$247,0)),"")</f>
        <v>Operativo</v>
      </c>
      <c r="K127" s="37">
        <f>IFERROR(
   SUMIFS(Mantenciones!$I:$I,Mantenciones!$B:$B,$A127)
 + SUMIFS('Compras PM'!$F:$F,'Compras PM'!$C:$C,$A127),0)</f>
        <v>24399.973999999998</v>
      </c>
      <c r="L127" s="30" t="str">
        <f t="shared" si="8"/>
        <v>BAJA</v>
      </c>
      <c r="M127" s="58" cm="1">
        <f t="array" ref="M127">IFERROR(_xlfn.AGGREGATE(14,6,Mantenciones!$A$2:$A$9997/(Mantenciones!$B$2:$B$9997=$A127),1),"")</f>
        <v>46105</v>
      </c>
      <c r="N127" s="31" cm="1">
        <f t="array" ref="N127">IFERROR(_xlfn.AGGREGATE(14,6,'Compras PM'!$A$4:$A$10014/('Compras PM'!$C$4:$C$10014=$A127),1),"")</f>
        <v>46118</v>
      </c>
      <c r="O127" s="31">
        <f>IFERROR(VLOOKUP($A127,Maestro_Equipos!$A$4:$AG$247,27,FALSE()),"")</f>
        <v>46078</v>
      </c>
      <c r="P127" s="32">
        <f t="shared" ca="1" si="9"/>
        <v>27</v>
      </c>
      <c r="Q127" s="32">
        <f t="shared" ca="1" si="10"/>
        <v>27</v>
      </c>
      <c r="R127" s="30" t="str">
        <f t="shared" si="11"/>
        <v>REALIZADA</v>
      </c>
      <c r="S127" s="33" t="str">
        <f>IFERROR(VLOOKUP($A127,Maestro_Equipos!$A$4:$AG$247,33,FALSE()),"")</f>
        <v>Monitorear próximo vencimiento</v>
      </c>
    </row>
    <row r="128" spans="1:19" ht="15" customHeight="1">
      <c r="A128" t="str" cm="1">
        <f t="array" ref="A128">IFERROR(INDEX(_xlfn._xlws.FILTER(Maestro_Equipos!$A$4:$A$247,Maestro_Equipos!$A$4:$A$247&lt;&gt;""),ROWS($A$4:A128)),"")</f>
        <v>MD-95</v>
      </c>
      <c r="B128" t="str">
        <f>IFERROR(_xlfn.XLOOKUP($A128,Maestro_Equipos!$A$4:$A$247,Maestro_Equipos!$B$4:$B$247,""),"")</f>
        <v>Retroexcavadora</v>
      </c>
      <c r="C128" t="str">
        <f>IFERROR(_xlfn.XLOOKUP($A128,Maestro_Equipos!$A$4:$A$247,Maestro_Equipos!$C$4:$C$247,""),"")</f>
        <v>Maquinaria Pesada</v>
      </c>
      <c r="D128" t="str">
        <f>IFERROR(_xlfn.XLOOKUP($A128,Maestro_Equipos!$A:$A,Maestro_Equipos!$I:$I,""),"")</f>
        <v>HORAS</v>
      </c>
      <c r="E128">
        <f>IFERROR(IF($D128="KM",_xlfn.XLOOKUP($A128,Maestro_Equipos!$A:$A,Maestro_Equipos!$N:$N,""),_xlfn.XLOOKUP($A128,Maestro_Equipos!$A:$A,Maestro_Equipos!$M:$M,"")),"")</f>
        <v>1872</v>
      </c>
      <c r="F128">
        <f>IFERROR(_xlfn.XLOOKUP($A128,Maestro_Equipos!$A:$A,Maestro_Equipos!$R:$R,"")+_xlfn.XLOOKUP($A128,Maestro_Equipos!$A:$A,Maestro_Equipos!$J:$J,""),"")</f>
        <v>1963</v>
      </c>
      <c r="G128">
        <f>IFERROR(_xlfn.XLOOKUP($A128,Maestro_Equipos!$A:$A,Maestro_Equipos!$K:$K,""),"")</f>
        <v>3.9</v>
      </c>
      <c r="H128">
        <f t="shared" si="6"/>
        <v>23</v>
      </c>
      <c r="I128" s="41">
        <f t="shared" ca="1" si="7"/>
        <v>46168</v>
      </c>
      <c r="J128" s="5" t="str">
        <f>IFERROR(INDEX(Maestro_Equipos!$V$4:$V$247,MATCH($A128,Maestro_Equipos!$A$4:$A$247,0)),"")</f>
        <v>Operativo</v>
      </c>
      <c r="K128" s="37">
        <f>IFERROR(
   SUMIFS(Mantenciones!$I:$I,Mantenciones!$B:$B,$A128)
 + SUMIFS('Compras PM'!$F:$F,'Compras PM'!$C:$C,$A128),0)</f>
        <v>267764.28000000003</v>
      </c>
      <c r="L128" s="30" t="str">
        <f t="shared" si="8"/>
        <v>MEDIA</v>
      </c>
      <c r="M128" s="58" cm="1">
        <f t="array" ref="M128">IFERROR(_xlfn.AGGREGATE(14,6,Mantenciones!$A$2:$A$9997/(Mantenciones!$B$2:$B$9997=$A128),1),"")</f>
        <v>46093</v>
      </c>
      <c r="N128" s="31" cm="1">
        <f t="array" ref="N128">IFERROR(_xlfn.AGGREGATE(14,6,'Compras PM'!$A$4:$A$10014/('Compras PM'!$C$4:$C$10014=$A128),1),"")</f>
        <v>46086.710126585698</v>
      </c>
      <c r="O128" s="31">
        <f>IFERROR(VLOOKUP($A128,Maestro_Equipos!$A$4:$AG$247,27,FALSE()),"")</f>
        <v>46080</v>
      </c>
      <c r="P128" s="32">
        <f t="shared" ca="1" si="9"/>
        <v>6.2898734143018373</v>
      </c>
      <c r="Q128" s="32">
        <f t="shared" ca="1" si="10"/>
        <v>13</v>
      </c>
      <c r="R128" s="30" t="str">
        <f t="shared" si="11"/>
        <v>REALIZADA</v>
      </c>
      <c r="S128" s="33" t="str">
        <f>IFERROR(VLOOKUP($A128,Maestro_Equipos!$A$4:$AG$247,33,FALSE()),"")</f>
        <v>Monitorear próximo vencimiento</v>
      </c>
    </row>
    <row r="129" spans="1:19">
      <c r="A129" t="str" cm="1">
        <f t="array" ref="A129">IFERROR(INDEX(_xlfn._xlws.FILTER(Maestro_Equipos!$A$4:$A$247,Maestro_Equipos!$A$4:$A$247&lt;&gt;""),ROWS($A$4:A129)),"")</f>
        <v>VD-138</v>
      </c>
      <c r="B129" t="str">
        <f>IFERROR(_xlfn.XLOOKUP($A129,Maestro_Equipos!$A$4:$A$247,Maestro_Equipos!$B$4:$B$247,""),"")</f>
        <v>Camioneta</v>
      </c>
      <c r="C129" t="str">
        <f>IFERROR(_xlfn.XLOOKUP($A129,Maestro_Equipos!$A$4:$A$247,Maestro_Equipos!$C$4:$C$247,""),"")</f>
        <v>Vehículos Livianos</v>
      </c>
      <c r="D129" t="str">
        <f>IFERROR(_xlfn.XLOOKUP($A129,Maestro_Equipos!$A:$A,Maestro_Equipos!$I:$I,""),"")</f>
        <v>KM</v>
      </c>
      <c r="E129">
        <f>IFERROR(IF($D129="KM",_xlfn.XLOOKUP($A129,Maestro_Equipos!$A:$A,Maestro_Equipos!$N:$N,""),_xlfn.XLOOKUP($A129,Maestro_Equipos!$A:$A,Maestro_Equipos!$M:$M,"")),"")</f>
        <v>18053</v>
      </c>
      <c r="F129">
        <f>IFERROR(_xlfn.XLOOKUP($A129,Maestro_Equipos!$A:$A,Maestro_Equipos!$R:$R,"")+_xlfn.XLOOKUP($A129,Maestro_Equipos!$A:$A,Maestro_Equipos!$J:$J,""),"")</f>
        <v>29872</v>
      </c>
      <c r="G129">
        <f>IFERROR(_xlfn.XLOOKUP($A129,Maestro_Equipos!$A:$A,Maestro_Equipos!$K:$K,""),"")</f>
        <v>145.19999999999999</v>
      </c>
      <c r="H129">
        <f t="shared" si="6"/>
        <v>81</v>
      </c>
      <c r="I129" s="41">
        <f t="shared" ca="1" si="7"/>
        <v>46226</v>
      </c>
      <c r="J129" s="5" t="str">
        <f>IFERROR(INDEX(Maestro_Equipos!$V$4:$V$247,MATCH($A129,Maestro_Equipos!$A$4:$A$247,0)),"")</f>
        <v>Operativo</v>
      </c>
      <c r="K129" s="37">
        <f>IFERROR(
   SUMIFS(Mantenciones!$I:$I,Mantenciones!$B:$B,$A129)
 + SUMIFS('Compras PM'!$F:$F,'Compras PM'!$C:$C,$A129),0)</f>
        <v>552718.77</v>
      </c>
      <c r="L129" s="30" t="str">
        <f t="shared" si="8"/>
        <v>BAJA</v>
      </c>
      <c r="M129" s="58" cm="1">
        <f t="array" ref="M129">IFERROR(_xlfn.AGGREGATE(14,6,Mantenciones!$A$2:$A$9997/(Mantenciones!$B$2:$B$9997=$A129),1),"")</f>
        <v>46086</v>
      </c>
      <c r="N129" s="31" cm="1">
        <f t="array" ref="N129">IFERROR(_xlfn.AGGREGATE(14,6,'Compras PM'!$A$4:$A$10014/('Compras PM'!$C$4:$C$10014=$A129),1),"")</f>
        <v>46086.516942939801</v>
      </c>
      <c r="O129" s="31" t="str">
        <f>IFERROR(VLOOKUP($A129,Maestro_Equipos!$A$4:$AG$247,27,FALSE()),"")</f>
        <v/>
      </c>
      <c r="P129" s="32">
        <f t="shared" ca="1" si="9"/>
        <v>58.483057060198917</v>
      </c>
      <c r="Q129" s="32" t="str">
        <f t="shared" ca="1" si="10"/>
        <v/>
      </c>
      <c r="R129" s="30" t="str">
        <f t="shared" si="11"/>
        <v>SIN SALIDA</v>
      </c>
      <c r="S129" s="33" t="str">
        <f>IFERROR(VLOOKUP($A129,Maestro_Equipos!$A$4:$AG$247,33,FALSE()),"")</f>
        <v>Hacer seguimiento al taller y cerrar report</v>
      </c>
    </row>
    <row r="130" spans="1:19">
      <c r="A130" t="str" cm="1">
        <f t="array" ref="A130">IFERROR(INDEX(_xlfn._xlws.FILTER(Maestro_Equipos!$A$4:$A$247,Maestro_Equipos!$A$4:$A$247&lt;&gt;""),ROWS($A$4:A130)),"")</f>
        <v>VD-88</v>
      </c>
      <c r="B130" t="str">
        <f>IFERROR(_xlfn.XLOOKUP($A130,Maestro_Equipos!$A$4:$A$247,Maestro_Equipos!$B$4:$B$247,""),"")</f>
        <v>Camioneta</v>
      </c>
      <c r="C130" t="str">
        <f>IFERROR(_xlfn.XLOOKUP($A130,Maestro_Equipos!$A$4:$A$247,Maestro_Equipos!$C$4:$C$247,""),"")</f>
        <v>Vehículos Livianos</v>
      </c>
      <c r="D130" t="str">
        <f>IFERROR(_xlfn.XLOOKUP($A130,Maestro_Equipos!$A:$A,Maestro_Equipos!$I:$I,""),"")</f>
        <v>KM</v>
      </c>
      <c r="E130">
        <f>IFERROR(IF($D130="KM",_xlfn.XLOOKUP($A130,Maestro_Equipos!$A:$A,Maestro_Equipos!$N:$N,""),_xlfn.XLOOKUP($A130,Maestro_Equipos!$A:$A,Maestro_Equipos!$M:$M,"")),"")</f>
        <v>125496</v>
      </c>
      <c r="F130">
        <f>IFERROR(_xlfn.XLOOKUP($A130,Maestro_Equipos!$A:$A,Maestro_Equipos!$R:$R,"")+_xlfn.XLOOKUP($A130,Maestro_Equipos!$A:$A,Maestro_Equipos!$J:$J,""),"")</f>
        <v>138772</v>
      </c>
      <c r="G130">
        <f>IFERROR(_xlfn.XLOOKUP($A130,Maestro_Equipos!$A:$A,Maestro_Equipos!$K:$K,""),"")</f>
        <v>171.2</v>
      </c>
      <c r="H130">
        <f t="shared" si="6"/>
        <v>78</v>
      </c>
      <c r="I130" s="41">
        <f t="shared" ca="1" si="7"/>
        <v>46223</v>
      </c>
      <c r="J130" s="5" t="str">
        <f>IFERROR(INDEX(Maestro_Equipos!$V$4:$V$247,MATCH($A130,Maestro_Equipos!$A$4:$A$247,0)),"")</f>
        <v>Operativo</v>
      </c>
      <c r="K130" s="37">
        <f>IFERROR(
   SUMIFS(Mantenciones!$I:$I,Mantenciones!$B:$B,$A130)
 + SUMIFS('Compras PM'!$F:$F,'Compras PM'!$C:$C,$A130),0)</f>
        <v>24499.97</v>
      </c>
      <c r="L130" s="30" t="str">
        <f t="shared" si="8"/>
        <v>BAJA</v>
      </c>
      <c r="M130" s="58" cm="1">
        <f t="array" ref="M130">IFERROR(_xlfn.AGGREGATE(14,6,Mantenciones!$A$2:$A$9997/(Mantenciones!$B$2:$B$9997=$A130),1),"")</f>
        <v>46093</v>
      </c>
      <c r="N130" s="31" cm="1">
        <f t="array" ref="N130">IFERROR(_xlfn.AGGREGATE(14,6,'Compras PM'!$A$4:$A$10014/('Compras PM'!$C$4:$C$10014=$A130),1),"")</f>
        <v>46127</v>
      </c>
      <c r="O130" s="31">
        <f>IFERROR(VLOOKUP($A130,Maestro_Equipos!$A$4:$AG$247,27,FALSE()),"")</f>
        <v>46083</v>
      </c>
      <c r="P130" s="32">
        <f t="shared" ca="1" si="9"/>
        <v>18</v>
      </c>
      <c r="Q130" s="32">
        <f t="shared" ca="1" si="10"/>
        <v>10</v>
      </c>
      <c r="R130" s="30" t="str">
        <f t="shared" si="11"/>
        <v>REALIZADA</v>
      </c>
      <c r="S130" s="33" t="str">
        <f>IFERROR(VLOOKUP($A130,Maestro_Equipos!$A$4:$AG$247,33,FALSE()),"")</f>
        <v>Monitorear próximo vencimiento</v>
      </c>
    </row>
    <row r="131" spans="1:19">
      <c r="A131" t="str" cm="1">
        <f t="array" ref="A131">IFERROR(INDEX(_xlfn._xlws.FILTER(Maestro_Equipos!$A$4:$A$247,Maestro_Equipos!$A$4:$A$247&lt;&gt;""),ROWS($A$4:A131)),"")</f>
        <v>CD-107</v>
      </c>
      <c r="B131" t="str">
        <f>IFERROR(_xlfn.XLOOKUP($A131,Maestro_Equipos!$A$4:$A$247,Maestro_Equipos!$B$4:$B$247,""),"")</f>
        <v>Camión Tolva</v>
      </c>
      <c r="C131" t="str">
        <f>IFERROR(_xlfn.XLOOKUP($A131,Maestro_Equipos!$A$4:$A$247,Maestro_Equipos!$C$4:$C$247,""),"")</f>
        <v>Camiones de Ruta</v>
      </c>
      <c r="D131" t="str">
        <f>IFERROR(_xlfn.XLOOKUP($A131,Maestro_Equipos!$A:$A,Maestro_Equipos!$I:$I,""),"")</f>
        <v>HORAS</v>
      </c>
      <c r="E131">
        <f>IFERROR(IF($D131="KM",_xlfn.XLOOKUP($A131,Maestro_Equipos!$A:$A,Maestro_Equipos!$N:$N,""),_xlfn.XLOOKUP($A131,Maestro_Equipos!$A:$A,Maestro_Equipos!$M:$M,"")),"")</f>
        <v>10923</v>
      </c>
      <c r="F131">
        <f>IFERROR(_xlfn.XLOOKUP($A131,Maestro_Equipos!$A:$A,Maestro_Equipos!$R:$R,"")+_xlfn.XLOOKUP($A131,Maestro_Equipos!$A:$A,Maestro_Equipos!$J:$J,""),"")</f>
        <v>11173</v>
      </c>
      <c r="G131">
        <f>IFERROR(_xlfn.XLOOKUP($A131,Maestro_Equipos!$A:$A,Maestro_Equipos!$K:$K,""),"")</f>
        <v>4</v>
      </c>
      <c r="H131">
        <f t="shared" si="6"/>
        <v>63</v>
      </c>
      <c r="I131" s="41">
        <f t="shared" ca="1" si="7"/>
        <v>46208</v>
      </c>
      <c r="J131" s="5" t="str">
        <f>IFERROR(INDEX(Maestro_Equipos!$V$4:$V$247,MATCH($A131,Maestro_Equipos!$A$4:$A$247,0)),"")</f>
        <v>Operativo</v>
      </c>
      <c r="K131" s="37">
        <f>IFERROR(
   SUMIFS(Mantenciones!$I:$I,Mantenciones!$B:$B,$A131)
 + SUMIFS('Compras PM'!$F:$F,'Compras PM'!$C:$C,$A131),0)</f>
        <v>2514830.8059</v>
      </c>
      <c r="L131" s="30" t="str">
        <f t="shared" si="8"/>
        <v>BAJA</v>
      </c>
      <c r="M131" s="58" cm="1">
        <f t="array" ref="M131">IFERROR(_xlfn.AGGREGATE(14,6,Mantenciones!$A$2:$A$9997/(Mantenciones!$B$2:$B$9997=$A131),1),"")</f>
        <v>46092</v>
      </c>
      <c r="N131" s="31" cm="1">
        <f t="array" ref="N131">IFERROR(_xlfn.AGGREGATE(14,6,'Compras PM'!$A$4:$A$10014/('Compras PM'!$C$4:$C$10014=$A131),1),"")</f>
        <v>46093.460116550901</v>
      </c>
      <c r="O131" s="31">
        <f>IFERROR(VLOOKUP($A131,Maestro_Equipos!$A$4:$AG$247,27,FALSE()),"")</f>
        <v>46084</v>
      </c>
      <c r="P131" s="32">
        <f t="shared" ca="1" si="9"/>
        <v>51.539883449098852</v>
      </c>
      <c r="Q131" s="32">
        <f t="shared" ca="1" si="10"/>
        <v>8</v>
      </c>
      <c r="R131" s="30" t="str">
        <f t="shared" si="11"/>
        <v>REALIZADA</v>
      </c>
      <c r="S131" s="33" t="str">
        <f>IFERROR(VLOOKUP($A131,Maestro_Equipos!$A$4:$AG$247,33,FALSE()),"")</f>
        <v>Monitorear próximo vencimiento</v>
      </c>
    </row>
    <row r="132" spans="1:19" ht="15" customHeight="1">
      <c r="A132" t="str" cm="1">
        <f t="array" ref="A132">IFERROR(INDEX(_xlfn._xlws.FILTER(Maestro_Equipos!$A$4:$A$247,Maestro_Equipos!$A$4:$A$247&lt;&gt;""),ROWS($A$4:A132)),"")</f>
        <v>VD-133</v>
      </c>
      <c r="B132" t="str">
        <f>IFERROR(_xlfn.XLOOKUP($A132,Maestro_Equipos!$A$4:$A$247,Maestro_Equipos!$B$4:$B$247,""),"")</f>
        <v>Camioneta</v>
      </c>
      <c r="C132" t="str">
        <f>IFERROR(_xlfn.XLOOKUP($A132,Maestro_Equipos!$A$4:$A$247,Maestro_Equipos!$C$4:$C$247,""),"")</f>
        <v>Vehículos Livianos</v>
      </c>
      <c r="D132" t="str">
        <f>IFERROR(_xlfn.XLOOKUP($A132,Maestro_Equipos!$A:$A,Maestro_Equipos!$I:$I,""),"")</f>
        <v>KM</v>
      </c>
      <c r="E132">
        <f>IFERROR(IF($D132="KM",_xlfn.XLOOKUP($A132,Maestro_Equipos!$A:$A,Maestro_Equipos!$N:$N,""),_xlfn.XLOOKUP($A132,Maestro_Equipos!$A:$A,Maestro_Equipos!$M:$M,"")),"")</f>
        <v>60050</v>
      </c>
      <c r="F132">
        <f>IFERROR(_xlfn.XLOOKUP($A132,Maestro_Equipos!$A:$A,Maestro_Equipos!$R:$R,"")+_xlfn.XLOOKUP($A132,Maestro_Equipos!$A:$A,Maestro_Equipos!$J:$J,""),"")</f>
        <v>67833</v>
      </c>
      <c r="G132">
        <f>IFERROR(_xlfn.XLOOKUP($A132,Maestro_Equipos!$A:$A,Maestro_Equipos!$K:$K,""),"")</f>
        <v>104.1</v>
      </c>
      <c r="H132">
        <f t="shared" ref="H132:H195" si="12">IFERROR(IF(OR($E132="",$F132="",$G132="",$G132&lt;=0),"",ROUND(($F132-$E132)/$G132,0)),"")</f>
        <v>75</v>
      </c>
      <c r="I132" s="41">
        <f t="shared" ref="I132:I195" ca="1" si="13">IFERROR(IF($H132="","",TODAY()+$H132),"")</f>
        <v>46220</v>
      </c>
      <c r="J132" s="5" t="str">
        <f>IFERROR(INDEX(Maestro_Equipos!$V$4:$V$247,MATCH($A132,Maestro_Equipos!$A$4:$A$247,0)),"")</f>
        <v>Operativo</v>
      </c>
      <c r="K132" s="37">
        <f>IFERROR(
   SUMIFS(Mantenciones!$I:$I,Mantenciones!$B:$B,$A132)
 + SUMIFS('Compras PM'!$F:$F,'Compras PM'!$C:$C,$A132),0)</f>
        <v>546131</v>
      </c>
      <c r="L132" s="30" t="str">
        <f t="shared" ref="L132:L195" si="14">IF($J132="Fuera de Servicio","NO PROGRAMAR",IF($H132="","SIN DATOS",IF($H132&lt;=0,"VENCIDA",IF($H132&lt;=7,"CRÍTICA",IF($H132&lt;=15,"ALTA",IF($H132&lt;=30,"MEDIA","BAJA"))))))</f>
        <v>BAJA</v>
      </c>
      <c r="M132" s="58" cm="1">
        <f t="array" ref="M132">IFERROR(_xlfn.AGGREGATE(14,6,Mantenciones!$A$2:$A$9997/(Mantenciones!$B$2:$B$9997=$A132),1),"")</f>
        <v>45986</v>
      </c>
      <c r="N132" s="31" t="str" cm="1">
        <f t="array" ref="N132">IFERROR(_xlfn.AGGREGATE(14,6,'Compras PM'!$A$4:$A$10014/('Compras PM'!$C$4:$C$10014=$A132),1),"")</f>
        <v/>
      </c>
      <c r="O132" s="31" t="str">
        <f>IFERROR(VLOOKUP($A132,Maestro_Equipos!$A$4:$AG$247,27,FALSE()),"")</f>
        <v/>
      </c>
      <c r="P132" s="32" t="str">
        <f t="shared" ref="P132:P195" ca="1" si="15">IFERROR(IF($N132="","",IF(OR($M132="",$M132&lt;$N132),TODAY()-$N132,$M132-$N132)),"")</f>
        <v/>
      </c>
      <c r="Q132" s="32" t="str">
        <f t="shared" ref="Q132:Q195" ca="1" si="16">IFERROR(IF($O132="","",IF(OR($M132="",$M132&lt;$O132),TODAY()-$O132,$M132-$O132)),"")</f>
        <v/>
      </c>
      <c r="R132" s="30" t="str">
        <f t="shared" ref="R132:R195" si="17">IF($O132="","SIN SALIDA",IF(OR($M132="",$M132&lt;$O132),"PENDIENTE","REALIZADA"))</f>
        <v>SIN SALIDA</v>
      </c>
      <c r="S132" s="33" t="str">
        <f>IFERROR(VLOOKUP($A132,Maestro_Equipos!$A$4:$AG$247,33,FALSE()),"")</f>
        <v>Monitorear próximo vencimiento</v>
      </c>
    </row>
    <row r="133" spans="1:19" ht="15" customHeight="1">
      <c r="A133" t="str" cm="1">
        <f t="array" ref="A133">IFERROR(INDEX(_xlfn._xlws.FILTER(Maestro_Equipos!$A$4:$A$247,Maestro_Equipos!$A$4:$A$247&lt;&gt;""),ROWS($A$4:A133)),"")</f>
        <v>MD-79</v>
      </c>
      <c r="B133" t="str">
        <f>IFERROR(_xlfn.XLOOKUP($A133,Maestro_Equipos!$A$4:$A$247,Maestro_Equipos!$B$4:$B$247,""),"")</f>
        <v>Motoniveladora</v>
      </c>
      <c r="C133" t="str">
        <f>IFERROR(_xlfn.XLOOKUP($A133,Maestro_Equipos!$A$4:$A$247,Maestro_Equipos!$C$4:$C$247,""),"")</f>
        <v>Maquinaria Pesada</v>
      </c>
      <c r="D133" t="str">
        <f>IFERROR(_xlfn.XLOOKUP($A133,Maestro_Equipos!$A:$A,Maestro_Equipos!$I:$I,""),"")</f>
        <v>HORAS</v>
      </c>
      <c r="E133">
        <f>IFERROR(IF($D133="KM",_xlfn.XLOOKUP($A133,Maestro_Equipos!$A:$A,Maestro_Equipos!$N:$N,""),_xlfn.XLOOKUP($A133,Maestro_Equipos!$A:$A,Maestro_Equipos!$M:$M,"")),"")</f>
        <v>12802</v>
      </c>
      <c r="F133">
        <f>IFERROR(_xlfn.XLOOKUP($A133,Maestro_Equipos!$A:$A,Maestro_Equipos!$R:$R,"")+_xlfn.XLOOKUP($A133,Maestro_Equipos!$A:$A,Maestro_Equipos!$J:$J,""),"")</f>
        <v>13025</v>
      </c>
      <c r="G133">
        <f>IFERROR(_xlfn.XLOOKUP($A133,Maestro_Equipos!$A:$A,Maestro_Equipos!$K:$K,""),"")</f>
        <v>3</v>
      </c>
      <c r="H133">
        <f t="shared" si="12"/>
        <v>74</v>
      </c>
      <c r="I133" s="41">
        <f t="shared" ca="1" si="13"/>
        <v>46219</v>
      </c>
      <c r="J133" s="5" t="str">
        <f>IFERROR(INDEX(Maestro_Equipos!$V$4:$V$247,MATCH($A133,Maestro_Equipos!$A$4:$A$247,0)),"")</f>
        <v>Operativo</v>
      </c>
      <c r="K133" s="37">
        <f>IFERROR(
   SUMIFS(Mantenciones!$I:$I,Mantenciones!$B:$B,$A133)
 + SUMIFS('Compras PM'!$F:$F,'Compras PM'!$C:$C,$A133),0)</f>
        <v>337399.95030000003</v>
      </c>
      <c r="L133" s="30" t="str">
        <f t="shared" si="14"/>
        <v>BAJA</v>
      </c>
      <c r="M133" s="58" cm="1">
        <f t="array" ref="M133">IFERROR(_xlfn.AGGREGATE(14,6,Mantenciones!$A$2:$A$9997/(Mantenciones!$B$2:$B$9997=$A133),1),"")</f>
        <v>46104</v>
      </c>
      <c r="N133" s="31" cm="1">
        <f t="array" ref="N133">IFERROR(_xlfn.AGGREGATE(14,6,'Compras PM'!$A$4:$A$10014/('Compras PM'!$C$4:$C$10014=$A133),1),"")</f>
        <v>46079.682637534701</v>
      </c>
      <c r="O133" s="31">
        <f>IFERROR(VLOOKUP($A133,Maestro_Equipos!$A$4:$AG$247,27,FALSE()),"")</f>
        <v>46100</v>
      </c>
      <c r="P133" s="32">
        <f t="shared" ca="1" si="15"/>
        <v>24.317362465299084</v>
      </c>
      <c r="Q133" s="32">
        <f t="shared" ca="1" si="16"/>
        <v>4</v>
      </c>
      <c r="R133" s="30" t="str">
        <f t="shared" si="17"/>
        <v>REALIZADA</v>
      </c>
      <c r="S133" s="33" t="str">
        <f>IFERROR(VLOOKUP($A133,Maestro_Equipos!$A$4:$AG$247,33,FALSE()),"")</f>
        <v>Monitorear próximo vencimiento</v>
      </c>
    </row>
    <row r="134" spans="1:19">
      <c r="A134" t="str" cm="1">
        <f t="array" ref="A134">IFERROR(INDEX(_xlfn._xlws.FILTER(Maestro_Equipos!$A$4:$A$247,Maestro_Equipos!$A$4:$A$247&lt;&gt;""),ROWS($A$4:A134)),"")</f>
        <v>VD-122</v>
      </c>
      <c r="B134" t="str">
        <f>IFERROR(_xlfn.XLOOKUP($A134,Maestro_Equipos!$A$4:$A$247,Maestro_Equipos!$B$4:$B$247,""),"")</f>
        <v>Furgon</v>
      </c>
      <c r="C134" t="str">
        <f>IFERROR(_xlfn.XLOOKUP($A134,Maestro_Equipos!$A$4:$A$247,Maestro_Equipos!$C$4:$C$247,""),"")</f>
        <v>Vehículos Livianos</v>
      </c>
      <c r="D134" t="str">
        <f>IFERROR(_xlfn.XLOOKUP($A134,Maestro_Equipos!$A:$A,Maestro_Equipos!$I:$I,""),"")</f>
        <v>KM</v>
      </c>
      <c r="E134">
        <f>IFERROR(IF($D134="KM",_xlfn.XLOOKUP($A134,Maestro_Equipos!$A:$A,Maestro_Equipos!$N:$N,""),_xlfn.XLOOKUP($A134,Maestro_Equipos!$A:$A,Maestro_Equipos!$M:$M,"")),"")</f>
        <v>46461</v>
      </c>
      <c r="F134">
        <f>IFERROR(_xlfn.XLOOKUP($A134,Maestro_Equipos!$A:$A,Maestro_Equipos!$R:$R,"")+_xlfn.XLOOKUP($A134,Maestro_Equipos!$A:$A,Maestro_Equipos!$J:$J,""),"")</f>
        <v>49996</v>
      </c>
      <c r="G134">
        <f>IFERROR(_xlfn.XLOOKUP($A134,Maestro_Equipos!$A:$A,Maestro_Equipos!$K:$K,""),"")</f>
        <v>98.9</v>
      </c>
      <c r="H134">
        <f t="shared" si="12"/>
        <v>36</v>
      </c>
      <c r="I134" s="41">
        <f t="shared" ca="1" si="13"/>
        <v>46181</v>
      </c>
      <c r="J134" s="5" t="str">
        <f>IFERROR(INDEX(Maestro_Equipos!$V$4:$V$247,MATCH($A134,Maestro_Equipos!$A$4:$A$247,0)),"")</f>
        <v>Operativo</v>
      </c>
      <c r="K134" s="37">
        <f>IFERROR(
   SUMIFS(Mantenciones!$I:$I,Mantenciones!$B:$B,$A134)
 + SUMIFS('Compras PM'!$F:$F,'Compras PM'!$C:$C,$A134),0)</f>
        <v>24399.973999999998</v>
      </c>
      <c r="L134" s="30" t="str">
        <f t="shared" si="14"/>
        <v>BAJA</v>
      </c>
      <c r="M134" s="58" cm="1">
        <f t="array" ref="M134">IFERROR(_xlfn.AGGREGATE(14,6,Mantenciones!$A$2:$A$9997/(Mantenciones!$B$2:$B$9997=$A134),1),"")</f>
        <v>46072</v>
      </c>
      <c r="N134" s="31" cm="1">
        <f t="array" ref="N134">IFERROR(_xlfn.AGGREGATE(14,6,'Compras PM'!$A$4:$A$10014/('Compras PM'!$C$4:$C$10014=$A134),1),"")</f>
        <v>46118</v>
      </c>
      <c r="O134" s="31">
        <f>IFERROR(VLOOKUP($A134,Maestro_Equipos!$A$4:$AG$247,27,FALSE()),"")</f>
        <v>46072</v>
      </c>
      <c r="P134" s="32">
        <f t="shared" ca="1" si="15"/>
        <v>27</v>
      </c>
      <c r="Q134" s="32">
        <f t="shared" ca="1" si="16"/>
        <v>0</v>
      </c>
      <c r="R134" s="30" t="str">
        <f t="shared" si="17"/>
        <v>REALIZADA</v>
      </c>
      <c r="S134" s="33" t="str">
        <f>IFERROR(VLOOKUP($A134,Maestro_Equipos!$A$4:$AG$247,33,FALSE()),"")</f>
        <v>Monitorear próximo vencimiento</v>
      </c>
    </row>
    <row r="135" spans="1:19">
      <c r="A135" t="str" cm="1">
        <f t="array" ref="A135">IFERROR(INDEX(_xlfn._xlws.FILTER(Maestro_Equipos!$A$4:$A$247,Maestro_Equipos!$A$4:$A$247&lt;&gt;""),ROWS($A$4:A135)),"")</f>
        <v>VD-78</v>
      </c>
      <c r="B135" t="str">
        <f>IFERROR(_xlfn.XLOOKUP($A135,Maestro_Equipos!$A$4:$A$247,Maestro_Equipos!$B$4:$B$247,""),"")</f>
        <v>Camioneta</v>
      </c>
      <c r="C135" t="str">
        <f>IFERROR(_xlfn.XLOOKUP($A135,Maestro_Equipos!$A$4:$A$247,Maestro_Equipos!$C$4:$C$247,""),"")</f>
        <v>Vehículos Livianos</v>
      </c>
      <c r="D135" t="str">
        <f>IFERROR(_xlfn.XLOOKUP($A135,Maestro_Equipos!$A:$A,Maestro_Equipos!$I:$I,""),"")</f>
        <v>KM</v>
      </c>
      <c r="E135">
        <f>IFERROR(IF($D135="KM",_xlfn.XLOOKUP($A135,Maestro_Equipos!$A:$A,Maestro_Equipos!$N:$N,""),_xlfn.XLOOKUP($A135,Maestro_Equipos!$A:$A,Maestro_Equipos!$M:$M,"")),"")</f>
        <v>150214</v>
      </c>
      <c r="F135">
        <f>IFERROR(_xlfn.XLOOKUP($A135,Maestro_Equipos!$A:$A,Maestro_Equipos!$R:$R,"")+_xlfn.XLOOKUP($A135,Maestro_Equipos!$A:$A,Maestro_Equipos!$J:$J,""),"")</f>
        <v>163444</v>
      </c>
      <c r="G135">
        <f>IFERROR(_xlfn.XLOOKUP($A135,Maestro_Equipos!$A:$A,Maestro_Equipos!$K:$K,""),"")</f>
        <v>187.2</v>
      </c>
      <c r="H135">
        <f t="shared" si="12"/>
        <v>71</v>
      </c>
      <c r="I135" s="41">
        <f t="shared" ca="1" si="13"/>
        <v>46216</v>
      </c>
      <c r="J135" s="5" t="str">
        <f>IFERROR(INDEX(Maestro_Equipos!$V$4:$V$247,MATCH($A135,Maestro_Equipos!$A$4:$A$247,0)),"")</f>
        <v>Operativo</v>
      </c>
      <c r="K135" s="37">
        <f>IFERROR(
   SUMIFS(Mantenciones!$I:$I,Mantenciones!$B:$B,$A135)
 + SUMIFS('Compras PM'!$F:$F,'Compras PM'!$C:$C,$A135),0)</f>
        <v>0</v>
      </c>
      <c r="L135" s="30" t="str">
        <f t="shared" si="14"/>
        <v>BAJA</v>
      </c>
      <c r="M135" s="58" cm="1">
        <f t="array" ref="M135">IFERROR(_xlfn.AGGREGATE(14,6,Mantenciones!$A$2:$A$9997/(Mantenciones!$B$2:$B$9997=$A135),1),"")</f>
        <v>46118</v>
      </c>
      <c r="N135" s="31" t="str" cm="1">
        <f t="array" ref="N135">IFERROR(_xlfn.AGGREGATE(14,6,'Compras PM'!$A$4:$A$10014/('Compras PM'!$C$4:$C$10014=$A135),1),"")</f>
        <v/>
      </c>
      <c r="O135" s="31" t="str">
        <f>IFERROR(VLOOKUP($A135,Maestro_Equipos!$A$4:$AG$247,27,FALSE()),"")</f>
        <v/>
      </c>
      <c r="P135" s="32" t="str">
        <f t="shared" ca="1" si="15"/>
        <v/>
      </c>
      <c r="Q135" s="32" t="str">
        <f t="shared" ca="1" si="16"/>
        <v/>
      </c>
      <c r="R135" s="30" t="str">
        <f t="shared" si="17"/>
        <v>SIN SALIDA</v>
      </c>
      <c r="S135" s="33" t="str">
        <f>IFERROR(VLOOKUP($A135,Maestro_Equipos!$A$4:$AG$247,33,FALSE()),"")</f>
        <v>Monitorear próximo vencimiento</v>
      </c>
    </row>
    <row r="136" spans="1:19">
      <c r="A136" t="str" cm="1">
        <f t="array" ref="A136">IFERROR(INDEX(_xlfn._xlws.FILTER(Maestro_Equipos!$A$4:$A$247,Maestro_Equipos!$A$4:$A$247&lt;&gt;""),ROWS($A$4:A136)),"")</f>
        <v>CD-136</v>
      </c>
      <c r="B136" t="str">
        <f>IFERROR(_xlfn.XLOOKUP($A136,Maestro_Equipos!$A$4:$A$247,Maestro_Equipos!$B$4:$B$247,""),"")</f>
        <v>Camión Combustible</v>
      </c>
      <c r="C136" t="str">
        <f>IFERROR(_xlfn.XLOOKUP($A136,Maestro_Equipos!$A$4:$A$247,Maestro_Equipos!$C$4:$C$247,""),"")</f>
        <v>Camiones de Ruta</v>
      </c>
      <c r="D136" t="str">
        <f>IFERROR(_xlfn.XLOOKUP($A136,Maestro_Equipos!$A:$A,Maestro_Equipos!$I:$I,""),"")</f>
        <v>KM</v>
      </c>
      <c r="E136">
        <f>IFERROR(IF($D136="KM",_xlfn.XLOOKUP($A136,Maestro_Equipos!$A:$A,Maestro_Equipos!$N:$N,""),_xlfn.XLOOKUP($A136,Maestro_Equipos!$A:$A,Maestro_Equipos!$M:$M,"")),"")</f>
        <v>62298</v>
      </c>
      <c r="F136">
        <f>IFERROR(_xlfn.XLOOKUP($A136,Maestro_Equipos!$A:$A,Maestro_Equipos!$R:$R,"")+_xlfn.XLOOKUP($A136,Maestro_Equipos!$A:$A,Maestro_Equipos!$J:$J,""),"")</f>
        <v>67800</v>
      </c>
      <c r="G136">
        <f>IFERROR(_xlfn.XLOOKUP($A136,Maestro_Equipos!$A:$A,Maestro_Equipos!$K:$K,""),"")</f>
        <v>81.7</v>
      </c>
      <c r="H136">
        <f t="shared" si="12"/>
        <v>67</v>
      </c>
      <c r="I136" s="41">
        <f t="shared" ca="1" si="13"/>
        <v>46212</v>
      </c>
      <c r="J136" s="5" t="str">
        <f>IFERROR(INDEX(Maestro_Equipos!$V$4:$V$247,MATCH($A136,Maestro_Equipos!$A$4:$A$247,0)),"")</f>
        <v>Operativo</v>
      </c>
      <c r="K136" s="37">
        <f>IFERROR(
   SUMIFS(Mantenciones!$I:$I,Mantenciones!$B:$B,$A136)
 + SUMIFS('Compras PM'!$F:$F,'Compras PM'!$C:$C,$A136),0)</f>
        <v>54299.973700000002</v>
      </c>
      <c r="L136" s="30" t="str">
        <f t="shared" si="14"/>
        <v>BAJA</v>
      </c>
      <c r="M136" s="58" cm="1">
        <f t="array" ref="M136">IFERROR(_xlfn.AGGREGATE(14,6,Mantenciones!$A$2:$A$9997/(Mantenciones!$B$2:$B$9997=$A136),1),"")</f>
        <v>46121</v>
      </c>
      <c r="N136" s="31" cm="1">
        <f t="array" ref="N136">IFERROR(_xlfn.AGGREGATE(14,6,'Compras PM'!$A$4:$A$10014/('Compras PM'!$C$4:$C$10014=$A136),1),"")</f>
        <v>46119.461431099502</v>
      </c>
      <c r="O136" s="31">
        <f>IFERROR(VLOOKUP($A136,Maestro_Equipos!$A$4:$AG$247,27,FALSE()),"")</f>
        <v>46121</v>
      </c>
      <c r="P136" s="32">
        <f t="shared" ca="1" si="15"/>
        <v>1.5385689004979213</v>
      </c>
      <c r="Q136" s="32">
        <f t="shared" ca="1" si="16"/>
        <v>0</v>
      </c>
      <c r="R136" s="30" t="str">
        <f t="shared" si="17"/>
        <v>REALIZADA</v>
      </c>
      <c r="S136" s="33" t="str">
        <f>IFERROR(VLOOKUP($A136,Maestro_Equipos!$A$4:$AG$247,33,FALSE()),"")</f>
        <v>Monitorear próximo vencimiento</v>
      </c>
    </row>
    <row r="137" spans="1:19" ht="15" customHeight="1">
      <c r="A137" t="str" cm="1">
        <f t="array" ref="A137">IFERROR(INDEX(_xlfn._xlws.FILTER(Maestro_Equipos!$A$4:$A$247,Maestro_Equipos!$A$4:$A$247&lt;&gt;""),ROWS($A$4:A137)),"")</f>
        <v>CD-120</v>
      </c>
      <c r="B137" t="str">
        <f>IFERROR(_xlfn.XLOOKUP($A137,Maestro_Equipos!$A$4:$A$247,Maestro_Equipos!$B$4:$B$247,""),"")</f>
        <v>Camión Tolva</v>
      </c>
      <c r="C137" t="str">
        <f>IFERROR(_xlfn.XLOOKUP($A137,Maestro_Equipos!$A$4:$A$247,Maestro_Equipos!$C$4:$C$247,""),"")</f>
        <v>Camiones de Ruta</v>
      </c>
      <c r="D137" t="str">
        <f>IFERROR(_xlfn.XLOOKUP($A137,Maestro_Equipos!$A:$A,Maestro_Equipos!$I:$I,""),"")</f>
        <v>HORAS</v>
      </c>
      <c r="E137">
        <f>IFERROR(IF($D137="KM",_xlfn.XLOOKUP($A137,Maestro_Equipos!$A:$A,Maestro_Equipos!$N:$N,""),_xlfn.XLOOKUP($A137,Maestro_Equipos!$A:$A,Maestro_Equipos!$M:$M,"")),"")</f>
        <v>3426</v>
      </c>
      <c r="F137">
        <f>IFERROR(_xlfn.XLOOKUP($A137,Maestro_Equipos!$A:$A,Maestro_Equipos!$R:$R,"")+_xlfn.XLOOKUP($A137,Maestro_Equipos!$A:$A,Maestro_Equipos!$J:$J,""),"")</f>
        <v>3656</v>
      </c>
      <c r="G137">
        <f>IFERROR(_xlfn.XLOOKUP($A137,Maestro_Equipos!$A:$A,Maestro_Equipos!$K:$K,""),"")</f>
        <v>3.5</v>
      </c>
      <c r="H137">
        <f t="shared" si="12"/>
        <v>66</v>
      </c>
      <c r="I137" s="41">
        <f t="shared" ca="1" si="13"/>
        <v>46211</v>
      </c>
      <c r="J137" s="5" t="str">
        <f>IFERROR(INDEX(Maestro_Equipos!$V$4:$V$247,MATCH($A137,Maestro_Equipos!$A$4:$A$247,0)),"")</f>
        <v>Operativo</v>
      </c>
      <c r="K137" s="37">
        <f>IFERROR(
   SUMIFS(Mantenciones!$I:$I,Mantenciones!$B:$B,$A137)
 + SUMIFS('Compras PM'!$F:$F,'Compras PM'!$C:$C,$A137),0)</f>
        <v>63430.805899999999</v>
      </c>
      <c r="L137" s="30" t="str">
        <f t="shared" si="14"/>
        <v>BAJA</v>
      </c>
      <c r="M137" s="58" cm="1">
        <f t="array" ref="M137">IFERROR(_xlfn.AGGREGATE(14,6,Mantenciones!$A$2:$A$9997/(Mantenciones!$B$2:$B$9997=$A137),1),"")</f>
        <v>46086</v>
      </c>
      <c r="N137" s="31" cm="1">
        <f t="array" ref="N137">IFERROR(_xlfn.AGGREGATE(14,6,'Compras PM'!$A$4:$A$10014/('Compras PM'!$C$4:$C$10014=$A137),1),"")</f>
        <v>46093.460116550901</v>
      </c>
      <c r="O137" s="31">
        <f>IFERROR(VLOOKUP($A137,Maestro_Equipos!$A$4:$AG$247,27,FALSE()),"")</f>
        <v>46080</v>
      </c>
      <c r="P137" s="32">
        <f t="shared" ca="1" si="15"/>
        <v>51.539883449098852</v>
      </c>
      <c r="Q137" s="32">
        <f t="shared" ca="1" si="16"/>
        <v>6</v>
      </c>
      <c r="R137" s="30" t="str">
        <f t="shared" si="17"/>
        <v>REALIZADA</v>
      </c>
      <c r="S137" s="33" t="str">
        <f>IFERROR(VLOOKUP($A137,Maestro_Equipos!$A$4:$AG$247,33,FALSE()),"")</f>
        <v>Monitorear próximo vencimiento</v>
      </c>
    </row>
    <row r="138" spans="1:19">
      <c r="A138" t="str" cm="1">
        <f t="array" ref="A138">IFERROR(INDEX(_xlfn._xlws.FILTER(Maestro_Equipos!$A$4:$A$247,Maestro_Equipos!$A$4:$A$247&lt;&gt;""),ROWS($A$4:A138)),"")</f>
        <v>MD-102</v>
      </c>
      <c r="B138" t="str">
        <f>IFERROR(_xlfn.XLOOKUP($A138,Maestro_Equipos!$A$4:$A$247,Maestro_Equipos!$B$4:$B$247,""),"")</f>
        <v>Rodillo</v>
      </c>
      <c r="C138" t="str">
        <f>IFERROR(_xlfn.XLOOKUP($A138,Maestro_Equipos!$A$4:$A$247,Maestro_Equipos!$C$4:$C$247,""),"")</f>
        <v>Maquinaria Pesada</v>
      </c>
      <c r="D138" t="str">
        <f>IFERROR(_xlfn.XLOOKUP($A138,Maestro_Equipos!$A:$A,Maestro_Equipos!$I:$I,""),"")</f>
        <v>HORAS</v>
      </c>
      <c r="E138">
        <f>IFERROR(IF($D138="KM",_xlfn.XLOOKUP($A138,Maestro_Equipos!$A:$A,Maestro_Equipos!$N:$N,""),_xlfn.XLOOKUP($A138,Maestro_Equipos!$A:$A,Maestro_Equipos!$M:$M,"")),"")</f>
        <v>5690</v>
      </c>
      <c r="F138">
        <f>IFERROR(_xlfn.XLOOKUP($A138,Maestro_Equipos!$A:$A,Maestro_Equipos!$R:$R,"")+_xlfn.XLOOKUP($A138,Maestro_Equipos!$A:$A,Maestro_Equipos!$J:$J,""),"")</f>
        <v>5898</v>
      </c>
      <c r="G138">
        <f>IFERROR(_xlfn.XLOOKUP($A138,Maestro_Equipos!$A:$A,Maestro_Equipos!$K:$K,""),"")</f>
        <v>3.2</v>
      </c>
      <c r="H138">
        <f t="shared" si="12"/>
        <v>65</v>
      </c>
      <c r="I138" s="41">
        <f t="shared" ca="1" si="13"/>
        <v>46210</v>
      </c>
      <c r="J138" s="5" t="str">
        <f>IFERROR(INDEX(Maestro_Equipos!$V$4:$V$247,MATCH($A138,Maestro_Equipos!$A$4:$A$247,0)),"")</f>
        <v>Operativo</v>
      </c>
      <c r="K138" s="37">
        <f>IFERROR(
   SUMIFS(Mantenciones!$I:$I,Mantenciones!$B:$B,$A138)
 + SUMIFS('Compras PM'!$F:$F,'Compras PM'!$C:$C,$A138),0)</f>
        <v>177476</v>
      </c>
      <c r="L138" s="30" t="str">
        <f t="shared" si="14"/>
        <v>BAJA</v>
      </c>
      <c r="M138" s="58" cm="1">
        <f t="array" ref="M138">IFERROR(_xlfn.AGGREGATE(14,6,Mantenciones!$A$2:$A$9997/(Mantenciones!$B$2:$B$9997=$A138),1),"")</f>
        <v>46098</v>
      </c>
      <c r="N138" s="31" t="str" cm="1">
        <f t="array" ref="N138">IFERROR(_xlfn.AGGREGATE(14,6,'Compras PM'!$A$4:$A$10014/('Compras PM'!$C$4:$C$10014=$A138),1),"")</f>
        <v/>
      </c>
      <c r="O138" s="31" t="str">
        <f>IFERROR(VLOOKUP($A138,Maestro_Equipos!$A$4:$AG$247,27,FALSE()),"")</f>
        <v/>
      </c>
      <c r="P138" s="32" t="str">
        <f t="shared" ca="1" si="15"/>
        <v/>
      </c>
      <c r="Q138" s="32" t="str">
        <f t="shared" ca="1" si="16"/>
        <v/>
      </c>
      <c r="R138" s="30" t="str">
        <f t="shared" si="17"/>
        <v>SIN SALIDA</v>
      </c>
      <c r="S138" s="33" t="str">
        <f>IFERROR(VLOOKUP($A138,Maestro_Equipos!$A$4:$AG$247,33,FALSE()),"")</f>
        <v>Monitorear próximo vencimiento</v>
      </c>
    </row>
    <row r="139" spans="1:19">
      <c r="A139" t="str" cm="1">
        <f t="array" ref="A139">IFERROR(INDEX(_xlfn._xlws.FILTER(Maestro_Equipos!$A$4:$A$247,Maestro_Equipos!$A$4:$A$247&lt;&gt;""),ROWS($A$4:A139)),"")</f>
        <v>VD-111</v>
      </c>
      <c r="B139" t="str">
        <f>IFERROR(_xlfn.XLOOKUP($A139,Maestro_Equipos!$A$4:$A$247,Maestro_Equipos!$B$4:$B$247,""),"")</f>
        <v>Camioneta</v>
      </c>
      <c r="C139" t="str">
        <f>IFERROR(_xlfn.XLOOKUP($A139,Maestro_Equipos!$A$4:$A$247,Maestro_Equipos!$C$4:$C$247,""),"")</f>
        <v>Vehículos Livianos</v>
      </c>
      <c r="D139" t="str">
        <f>IFERROR(_xlfn.XLOOKUP($A139,Maestro_Equipos!$A:$A,Maestro_Equipos!$I:$I,""),"")</f>
        <v>KM</v>
      </c>
      <c r="E139">
        <f>IFERROR(IF($D139="KM",_xlfn.XLOOKUP($A139,Maestro_Equipos!$A:$A,Maestro_Equipos!$N:$N,""),_xlfn.XLOOKUP($A139,Maestro_Equipos!$A:$A,Maestro_Equipos!$M:$M,"")),"")</f>
        <v>56286</v>
      </c>
      <c r="F139">
        <f>IFERROR(_xlfn.XLOOKUP($A139,Maestro_Equipos!$A:$A,Maestro_Equipos!$R:$R,"")+_xlfn.XLOOKUP($A139,Maestro_Equipos!$A:$A,Maestro_Equipos!$J:$J,""),"")</f>
        <v>69500</v>
      </c>
      <c r="G139">
        <f>IFERROR(_xlfn.XLOOKUP($A139,Maestro_Equipos!$A:$A,Maestro_Equipos!$K:$K,""),"")</f>
        <v>205.9</v>
      </c>
      <c r="H139">
        <f t="shared" si="12"/>
        <v>64</v>
      </c>
      <c r="I139" s="41">
        <f t="shared" ca="1" si="13"/>
        <v>46209</v>
      </c>
      <c r="J139" s="5" t="str">
        <f>IFERROR(INDEX(Maestro_Equipos!$V$4:$V$247,MATCH($A139,Maestro_Equipos!$A$4:$A$247,0)),"")</f>
        <v>Operativo</v>
      </c>
      <c r="K139" s="37">
        <f>IFERROR(
   SUMIFS(Mantenciones!$I:$I,Mantenciones!$B:$B,$A139)
 + SUMIFS('Compras PM'!$F:$F,'Compras PM'!$C:$C,$A139),0)</f>
        <v>0</v>
      </c>
      <c r="L139" s="30" t="str">
        <f t="shared" si="14"/>
        <v>BAJA</v>
      </c>
      <c r="M139" s="58" cm="1">
        <f t="array" ref="M139">IFERROR(_xlfn.AGGREGATE(14,6,Mantenciones!$A$2:$A$9997/(Mantenciones!$B$2:$B$9997=$A139),1),"")</f>
        <v>46050</v>
      </c>
      <c r="N139" s="31" t="str" cm="1">
        <f t="array" ref="N139">IFERROR(_xlfn.AGGREGATE(14,6,'Compras PM'!$A$4:$A$10014/('Compras PM'!$C$4:$C$10014=$A139),1),"")</f>
        <v/>
      </c>
      <c r="O139" s="31" t="str">
        <f>IFERROR(VLOOKUP($A139,Maestro_Equipos!$A$4:$AG$247,27,FALSE()),"")</f>
        <v/>
      </c>
      <c r="P139" s="32" t="str">
        <f t="shared" ca="1" si="15"/>
        <v/>
      </c>
      <c r="Q139" s="32" t="str">
        <f t="shared" ca="1" si="16"/>
        <v/>
      </c>
      <c r="R139" s="30" t="str">
        <f t="shared" si="17"/>
        <v>SIN SALIDA</v>
      </c>
      <c r="S139" s="33" t="str">
        <f>IFERROR(VLOOKUP($A139,Maestro_Equipos!$A$4:$AG$247,33,FALSE()),"")</f>
        <v>Monitorear próximo vencimiento</v>
      </c>
    </row>
    <row r="140" spans="1:19" ht="15" customHeight="1">
      <c r="A140" t="str" cm="1">
        <f t="array" ref="A140">IFERROR(INDEX(_xlfn._xlws.FILTER(Maestro_Equipos!$A$4:$A$247,Maestro_Equipos!$A$4:$A$247&lt;&gt;""),ROWS($A$4:A140)),"")</f>
        <v>MD-26</v>
      </c>
      <c r="B140" t="str">
        <f>IFERROR(_xlfn.XLOOKUP($A140,Maestro_Equipos!$A$4:$A$247,Maestro_Equipos!$B$4:$B$247,""),"")</f>
        <v>Motoniveladora</v>
      </c>
      <c r="C140" t="str">
        <f>IFERROR(_xlfn.XLOOKUP($A140,Maestro_Equipos!$A$4:$A$247,Maestro_Equipos!$C$4:$C$247,""),"")</f>
        <v>Maquinaria Pesada</v>
      </c>
      <c r="D140" t="str">
        <f>IFERROR(_xlfn.XLOOKUP($A140,Maestro_Equipos!$A:$A,Maestro_Equipos!$I:$I,""),"")</f>
        <v>HORAS</v>
      </c>
      <c r="E140">
        <f>IFERROR(IF($D140="KM",_xlfn.XLOOKUP($A140,Maestro_Equipos!$A:$A,Maestro_Equipos!$N:$N,""),_xlfn.XLOOKUP($A140,Maestro_Equipos!$A:$A,Maestro_Equipos!$M:$M,"")),"")</f>
        <v>17019</v>
      </c>
      <c r="F140">
        <f>IFERROR(_xlfn.XLOOKUP($A140,Maestro_Equipos!$A:$A,Maestro_Equipos!$R:$R,"")+_xlfn.XLOOKUP($A140,Maestro_Equipos!$A:$A,Maestro_Equipos!$J:$J,""),"")</f>
        <v>17203</v>
      </c>
      <c r="G140">
        <f>IFERROR(_xlfn.XLOOKUP($A140,Maestro_Equipos!$A:$A,Maestro_Equipos!$K:$K,""),"")</f>
        <v>2.9</v>
      </c>
      <c r="H140">
        <f t="shared" si="12"/>
        <v>63</v>
      </c>
      <c r="I140" s="41">
        <f t="shared" ca="1" si="13"/>
        <v>46208</v>
      </c>
      <c r="J140" s="5" t="str">
        <f>IFERROR(INDEX(Maestro_Equipos!$V$4:$V$247,MATCH($A140,Maestro_Equipos!$A$4:$A$247,0)),"")</f>
        <v>Operativo</v>
      </c>
      <c r="K140" s="37">
        <f>IFERROR(
   SUMIFS(Mantenciones!$I:$I,Mantenciones!$B:$B,$A140)
 + SUMIFS('Compras PM'!$F:$F,'Compras PM'!$C:$C,$A140),0)</f>
        <v>496871.41</v>
      </c>
      <c r="L140" s="30" t="str">
        <f t="shared" si="14"/>
        <v>BAJA</v>
      </c>
      <c r="M140" s="58" cm="1">
        <f t="array" ref="M140">IFERROR(_xlfn.AGGREGATE(14,6,Mantenciones!$A$2:$A$9997/(Mantenciones!$B$2:$B$9997=$A140),1),"")</f>
        <v>46086</v>
      </c>
      <c r="N140" s="31" cm="1">
        <f t="array" ref="N140">IFERROR(_xlfn.AGGREGATE(14,6,'Compras PM'!$A$4:$A$10014/('Compras PM'!$C$4:$C$10014=$A140),1),"")</f>
        <v>46085.547314004602</v>
      </c>
      <c r="O140" s="31">
        <f>IFERROR(VLOOKUP($A140,Maestro_Equipos!$A$4:$AG$247,27,FALSE()),"")</f>
        <v>46080</v>
      </c>
      <c r="P140" s="32">
        <f t="shared" ca="1" si="15"/>
        <v>0.45268599539849674</v>
      </c>
      <c r="Q140" s="32">
        <f t="shared" ca="1" si="16"/>
        <v>6</v>
      </c>
      <c r="R140" s="30" t="str">
        <f t="shared" si="17"/>
        <v>REALIZADA</v>
      </c>
      <c r="S140" s="33" t="str">
        <f>IFERROR(VLOOKUP($A140,Maestro_Equipos!$A$4:$AG$247,33,FALSE()),"")</f>
        <v>Monitorear próximo vencimiento</v>
      </c>
    </row>
    <row r="141" spans="1:19">
      <c r="A141" t="str" cm="1">
        <f t="array" ref="A141">IFERROR(INDEX(_xlfn._xlws.FILTER(Maestro_Equipos!$A$4:$A$247,Maestro_Equipos!$A$4:$A$247&lt;&gt;""),ROWS($A$4:A141)),"")</f>
        <v>VD-102</v>
      </c>
      <c r="B141" t="str">
        <f>IFERROR(_xlfn.XLOOKUP($A141,Maestro_Equipos!$A$4:$A$247,Maestro_Equipos!$B$4:$B$247,""),"")</f>
        <v>Camioneta</v>
      </c>
      <c r="C141" t="str">
        <f>IFERROR(_xlfn.XLOOKUP($A141,Maestro_Equipos!$A$4:$A$247,Maestro_Equipos!$C$4:$C$247,""),"")</f>
        <v>Vehículos Livianos</v>
      </c>
      <c r="D141" t="str">
        <f>IFERROR(_xlfn.XLOOKUP($A141,Maestro_Equipos!$A:$A,Maestro_Equipos!$I:$I,""),"")</f>
        <v>KM</v>
      </c>
      <c r="E141">
        <f>IFERROR(IF($D141="KM",_xlfn.XLOOKUP($A141,Maestro_Equipos!$A:$A,Maestro_Equipos!$N:$N,""),_xlfn.XLOOKUP($A141,Maestro_Equipos!$A:$A,Maestro_Equipos!$M:$M,"")),"")</f>
        <v>108622</v>
      </c>
      <c r="F141">
        <f>IFERROR(_xlfn.XLOOKUP($A141,Maestro_Equipos!$A:$A,Maestro_Equipos!$R:$R,"")+_xlfn.XLOOKUP($A141,Maestro_Equipos!$A:$A,Maestro_Equipos!$J:$J,""),"")</f>
        <v>120962</v>
      </c>
      <c r="G141">
        <f>IFERROR(_xlfn.XLOOKUP($A141,Maestro_Equipos!$A:$A,Maestro_Equipos!$K:$K,""),"")</f>
        <v>209.8</v>
      </c>
      <c r="H141">
        <f t="shared" si="12"/>
        <v>59</v>
      </c>
      <c r="I141" s="41">
        <f t="shared" ca="1" si="13"/>
        <v>46204</v>
      </c>
      <c r="J141" s="5" t="str">
        <f>IFERROR(INDEX(Maestro_Equipos!$V$4:$V$247,MATCH($A141,Maestro_Equipos!$A$4:$A$247,0)),"")</f>
        <v>Operativo</v>
      </c>
      <c r="K141" s="37">
        <f>IFERROR(
   SUMIFS(Mantenciones!$I:$I,Mantenciones!$B:$B,$A141)
 + SUMIFS('Compras PM'!$F:$F,'Compras PM'!$C:$C,$A141),0)</f>
        <v>0</v>
      </c>
      <c r="L141" s="30" t="str">
        <f t="shared" si="14"/>
        <v>BAJA</v>
      </c>
      <c r="M141" s="58" cm="1">
        <f t="array" ref="M141">IFERROR(_xlfn.AGGREGATE(14,6,Mantenciones!$A$2:$A$9997/(Mantenciones!$B$2:$B$9997=$A141),1),"")</f>
        <v>46087</v>
      </c>
      <c r="N141" s="31" t="str" cm="1">
        <f t="array" ref="N141">IFERROR(_xlfn.AGGREGATE(14,6,'Compras PM'!$A$4:$A$10014/('Compras PM'!$C$4:$C$10014=$A141),1),"")</f>
        <v/>
      </c>
      <c r="O141" s="31">
        <f>IFERROR(VLOOKUP($A141,Maestro_Equipos!$A$4:$AG$247,27,FALSE()),"")</f>
        <v>46087</v>
      </c>
      <c r="P141" s="32" t="str">
        <f t="shared" ca="1" si="15"/>
        <v/>
      </c>
      <c r="Q141" s="32">
        <f t="shared" ca="1" si="16"/>
        <v>0</v>
      </c>
      <c r="R141" s="30" t="str">
        <f t="shared" si="17"/>
        <v>REALIZADA</v>
      </c>
      <c r="S141" s="33" t="str">
        <f>IFERROR(VLOOKUP($A141,Maestro_Equipos!$A$4:$AG$247,33,FALSE()),"")</f>
        <v>Monitorear próximo vencimiento</v>
      </c>
    </row>
    <row r="142" spans="1:19">
      <c r="A142" t="str" cm="1">
        <f t="array" ref="A142">IFERROR(INDEX(_xlfn._xlws.FILTER(Maestro_Equipos!$A$4:$A$247,Maestro_Equipos!$A$4:$A$247&lt;&gt;""),ROWS($A$4:A142)),"")</f>
        <v>VD-140</v>
      </c>
      <c r="B142" t="str">
        <f>IFERROR(_xlfn.XLOOKUP($A142,Maestro_Equipos!$A$4:$A$247,Maestro_Equipos!$B$4:$B$247,""),"")</f>
        <v>Camioneta</v>
      </c>
      <c r="C142" t="str">
        <f>IFERROR(_xlfn.XLOOKUP($A142,Maestro_Equipos!$A$4:$A$247,Maestro_Equipos!$C$4:$C$247,""),"")</f>
        <v>Vehículos Livianos</v>
      </c>
      <c r="D142" t="str">
        <f>IFERROR(_xlfn.XLOOKUP($A142,Maestro_Equipos!$A:$A,Maestro_Equipos!$I:$I,""),"")</f>
        <v>KM</v>
      </c>
      <c r="E142">
        <f>IFERROR(IF($D142="KM",_xlfn.XLOOKUP($A142,Maestro_Equipos!$A:$A,Maestro_Equipos!$N:$N,""),_xlfn.XLOOKUP($A142,Maestro_Equipos!$A:$A,Maestro_Equipos!$M:$M,"")),"")</f>
        <v>28123</v>
      </c>
      <c r="F142">
        <f>IFERROR(_xlfn.XLOOKUP($A142,Maestro_Equipos!$A:$A,Maestro_Equipos!$R:$R,"")+_xlfn.XLOOKUP($A142,Maestro_Equipos!$A:$A,Maestro_Equipos!$J:$J,""),"")</f>
        <v>37254</v>
      </c>
      <c r="G142">
        <f>IFERROR(_xlfn.XLOOKUP($A142,Maestro_Equipos!$A:$A,Maestro_Equipos!$K:$K,""),"")</f>
        <v>204.7</v>
      </c>
      <c r="H142">
        <f t="shared" si="12"/>
        <v>45</v>
      </c>
      <c r="I142" s="41">
        <f t="shared" ca="1" si="13"/>
        <v>46190</v>
      </c>
      <c r="J142" s="5" t="str">
        <f>IFERROR(INDEX(Maestro_Equipos!$V$4:$V$247,MATCH($A142,Maestro_Equipos!$A$4:$A$247,0)),"")</f>
        <v>Operativo</v>
      </c>
      <c r="K142" s="37">
        <f>IFERROR(
   SUMIFS(Mantenciones!$I:$I,Mantenciones!$B:$B,$A142)
 + SUMIFS('Compras PM'!$F:$F,'Compras PM'!$C:$C,$A142),0)</f>
        <v>751378.44</v>
      </c>
      <c r="L142" s="30" t="str">
        <f t="shared" si="14"/>
        <v>BAJA</v>
      </c>
      <c r="M142" s="58" cm="1">
        <f t="array" ref="M142">IFERROR(_xlfn.AGGREGATE(14,6,Mantenciones!$A$2:$A$9997/(Mantenciones!$B$2:$B$9997=$A142),1),"")</f>
        <v>46099</v>
      </c>
      <c r="N142" s="31" cm="1">
        <f t="array" ref="N142">IFERROR(_xlfn.AGGREGATE(14,6,'Compras PM'!$A$4:$A$10014/('Compras PM'!$C$4:$C$10014=$A142),1),"")</f>
        <v>46100</v>
      </c>
      <c r="O142" s="31" t="str">
        <f>IFERROR(VLOOKUP($A142,Maestro_Equipos!$A$4:$AG$247,27,FALSE()),"")</f>
        <v/>
      </c>
      <c r="P142" s="32">
        <f t="shared" ca="1" si="15"/>
        <v>45</v>
      </c>
      <c r="Q142" s="32" t="str">
        <f t="shared" ca="1" si="16"/>
        <v/>
      </c>
      <c r="R142" s="30" t="str">
        <f t="shared" si="17"/>
        <v>SIN SALIDA</v>
      </c>
      <c r="S142" s="33" t="str">
        <f>IFERROR(VLOOKUP($A142,Maestro_Equipos!$A$4:$AG$247,33,FALSE()),"")</f>
        <v>Hacer seguimiento al taller y cerrar report</v>
      </c>
    </row>
    <row r="143" spans="1:19">
      <c r="A143" t="str" cm="1">
        <f t="array" ref="A143">IFERROR(INDEX(_xlfn._xlws.FILTER(Maestro_Equipos!$A$4:$A$247,Maestro_Equipos!$A$4:$A$247&lt;&gt;""),ROWS($A$4:A143)),"")</f>
        <v>MD-100</v>
      </c>
      <c r="B143" t="str">
        <f>IFERROR(_xlfn.XLOOKUP($A143,Maestro_Equipos!$A$4:$A$247,Maestro_Equipos!$B$4:$B$247,""),"")</f>
        <v>Excavadora</v>
      </c>
      <c r="C143" t="str">
        <f>IFERROR(_xlfn.XLOOKUP($A143,Maestro_Equipos!$A$4:$A$247,Maestro_Equipos!$C$4:$C$247,""),"")</f>
        <v>Maquinaria Pesada</v>
      </c>
      <c r="D143" t="str">
        <f>IFERROR(_xlfn.XLOOKUP($A143,Maestro_Equipos!$A:$A,Maestro_Equipos!$I:$I,""),"")</f>
        <v>HORAS</v>
      </c>
      <c r="E143">
        <f>IFERROR(IF($D143="KM",_xlfn.XLOOKUP($A143,Maestro_Equipos!$A:$A,Maestro_Equipos!$N:$N,""),_xlfn.XLOOKUP($A143,Maestro_Equipos!$A:$A,Maestro_Equipos!$M:$M,"")),"")</f>
        <v>3006</v>
      </c>
      <c r="F143">
        <f>IFERROR(_xlfn.XLOOKUP($A143,Maestro_Equipos!$A:$A,Maestro_Equipos!$R:$R,"")+_xlfn.XLOOKUP($A143,Maestro_Equipos!$A:$A,Maestro_Equipos!$J:$J,""),"")</f>
        <v>3135</v>
      </c>
      <c r="G143">
        <f>IFERROR(_xlfn.XLOOKUP($A143,Maestro_Equipos!$A:$A,Maestro_Equipos!$K:$K,""),"")</f>
        <v>5.9</v>
      </c>
      <c r="H143">
        <f t="shared" si="12"/>
        <v>22</v>
      </c>
      <c r="I143" s="41">
        <f t="shared" ca="1" si="13"/>
        <v>46167</v>
      </c>
      <c r="J143" s="5" t="str">
        <f>IFERROR(INDEX(Maestro_Equipos!$V$4:$V$247,MATCH($A143,Maestro_Equipos!$A$4:$A$247,0)),"")</f>
        <v>Operativo</v>
      </c>
      <c r="K143" s="37">
        <f>IFERROR(
   SUMIFS(Mantenciones!$I:$I,Mantenciones!$B:$B,$A143)
 + SUMIFS('Compras PM'!$F:$F,'Compras PM'!$C:$C,$A143),0)</f>
        <v>721915.88</v>
      </c>
      <c r="L143" s="30" t="str">
        <f t="shared" si="14"/>
        <v>MEDIA</v>
      </c>
      <c r="M143" s="58" cm="1">
        <f t="array" ref="M143">IFERROR(_xlfn.AGGREGATE(14,6,Mantenciones!$A$2:$A$9997/(Mantenciones!$B$2:$B$9997=$A143),1),"")</f>
        <v>46111</v>
      </c>
      <c r="N143" s="31" cm="1">
        <f t="array" ref="N143">IFERROR(_xlfn.AGGREGATE(14,6,'Compras PM'!$A$4:$A$10014/('Compras PM'!$C$4:$C$10014=$A143),1),"")</f>
        <v>46093.6329742245</v>
      </c>
      <c r="O143" s="31">
        <f>IFERROR(VLOOKUP($A143,Maestro_Equipos!$A$4:$AG$247,27,FALSE()),"")</f>
        <v>46111</v>
      </c>
      <c r="P143" s="32">
        <f t="shared" ca="1" si="15"/>
        <v>17.367025775500224</v>
      </c>
      <c r="Q143" s="32">
        <f t="shared" ca="1" si="16"/>
        <v>0</v>
      </c>
      <c r="R143" s="30" t="str">
        <f t="shared" si="17"/>
        <v>REALIZADA</v>
      </c>
      <c r="S143" s="33" t="str">
        <f>IFERROR(VLOOKUP($A143,Maestro_Equipos!$A$4:$AG$247,33,FALSE()),"")</f>
        <v>Monitorear próximo vencimiento</v>
      </c>
    </row>
    <row r="144" spans="1:19">
      <c r="A144" t="str" cm="1">
        <f t="array" ref="A144">IFERROR(INDEX(_xlfn._xlws.FILTER(Maestro_Equipos!$A$4:$A$247,Maestro_Equipos!$A$4:$A$247&lt;&gt;""),ROWS($A$4:A144)),"")</f>
        <v>CD-102</v>
      </c>
      <c r="B144" t="str">
        <f>IFERROR(_xlfn.XLOOKUP($A144,Maestro_Equipos!$A$4:$A$247,Maestro_Equipos!$B$4:$B$247,""),"")</f>
        <v>Camión Tolva</v>
      </c>
      <c r="C144" t="str">
        <f>IFERROR(_xlfn.XLOOKUP($A144,Maestro_Equipos!$A$4:$A$247,Maestro_Equipos!$C$4:$C$247,""),"")</f>
        <v>Camiones de Ruta</v>
      </c>
      <c r="D144" t="str">
        <f>IFERROR(_xlfn.XLOOKUP($A144,Maestro_Equipos!$A:$A,Maestro_Equipos!$I:$I,""),"")</f>
        <v>HORAS</v>
      </c>
      <c r="E144">
        <f>IFERROR(IF($D144="KM",_xlfn.XLOOKUP($A144,Maestro_Equipos!$A:$A,Maestro_Equipos!$N:$N,""),_xlfn.XLOOKUP($A144,Maestro_Equipos!$A:$A,Maestro_Equipos!$M:$M,"")),"")</f>
        <v>10496</v>
      </c>
      <c r="F144">
        <f>IFERROR(_xlfn.XLOOKUP($A144,Maestro_Equipos!$A:$A,Maestro_Equipos!$R:$R,"")+_xlfn.XLOOKUP($A144,Maestro_Equipos!$A:$A,Maestro_Equipos!$J:$J,""),"")</f>
        <v>10650</v>
      </c>
      <c r="G144">
        <f>IFERROR(_xlfn.XLOOKUP($A144,Maestro_Equipos!$A:$A,Maestro_Equipos!$K:$K,""),"")</f>
        <v>3.6</v>
      </c>
      <c r="H144">
        <f t="shared" si="12"/>
        <v>43</v>
      </c>
      <c r="I144" s="41">
        <f t="shared" ca="1" si="13"/>
        <v>46188</v>
      </c>
      <c r="J144" s="5" t="str">
        <f>IFERROR(INDEX(Maestro_Equipos!$V$4:$V$247,MATCH($A144,Maestro_Equipos!$A$4:$A$247,0)),"")</f>
        <v>Operativo</v>
      </c>
      <c r="K144" s="37">
        <f>IFERROR(
   SUMIFS(Mantenciones!$I:$I,Mantenciones!$B:$B,$A144)
 + SUMIFS('Compras PM'!$F:$F,'Compras PM'!$C:$C,$A144),0)</f>
        <v>0</v>
      </c>
      <c r="L144" s="30" t="str">
        <f t="shared" si="14"/>
        <v>BAJA</v>
      </c>
      <c r="M144" s="58" cm="1">
        <f t="array" ref="M144">IFERROR(_xlfn.AGGREGATE(14,6,Mantenciones!$A$2:$A$9997/(Mantenciones!$B$2:$B$9997=$A144),1),"")</f>
        <v>46125</v>
      </c>
      <c r="N144" s="31" t="str" cm="1">
        <f t="array" ref="N144">IFERROR(_xlfn.AGGREGATE(14,6,'Compras PM'!$A$4:$A$10014/('Compras PM'!$C$4:$C$10014=$A144),1),"")</f>
        <v/>
      </c>
      <c r="O144" s="31" t="str">
        <f>IFERROR(VLOOKUP($A144,Maestro_Equipos!$A$4:$AG$247,27,FALSE()),"")</f>
        <v/>
      </c>
      <c r="P144" s="32" t="str">
        <f t="shared" ca="1" si="15"/>
        <v/>
      </c>
      <c r="Q144" s="32" t="str">
        <f t="shared" ca="1" si="16"/>
        <v/>
      </c>
      <c r="R144" s="30" t="str">
        <f t="shared" si="17"/>
        <v>SIN SALIDA</v>
      </c>
      <c r="S144" s="33" t="str">
        <f>IFERROR(VLOOKUP($A144,Maestro_Equipos!$A$4:$AG$247,33,FALSE()),"")</f>
        <v>Monitorear próximo vencimiento</v>
      </c>
    </row>
    <row r="145" spans="1:19">
      <c r="A145" t="str" cm="1">
        <f t="array" ref="A145">IFERROR(INDEX(_xlfn._xlws.FILTER(Maestro_Equipos!$A$4:$A$247,Maestro_Equipos!$A$4:$A$247&lt;&gt;""),ROWS($A$4:A145)),"")</f>
        <v>MD-56</v>
      </c>
      <c r="B145" t="str">
        <f>IFERROR(_xlfn.XLOOKUP($A145,Maestro_Equipos!$A$4:$A$247,Maestro_Equipos!$B$4:$B$247,""),"")</f>
        <v>Motoniveladora</v>
      </c>
      <c r="C145" t="str">
        <f>IFERROR(_xlfn.XLOOKUP($A145,Maestro_Equipos!$A$4:$A$247,Maestro_Equipos!$C$4:$C$247,""),"")</f>
        <v>Maquinaria Pesada</v>
      </c>
      <c r="D145" t="str">
        <f>IFERROR(_xlfn.XLOOKUP($A145,Maestro_Equipos!$A:$A,Maestro_Equipos!$I:$I,""),"")</f>
        <v>HORAS</v>
      </c>
      <c r="E145">
        <f>IFERROR(IF($D145="KM",_xlfn.XLOOKUP($A145,Maestro_Equipos!$A:$A,Maestro_Equipos!$N:$N,""),_xlfn.XLOOKUP($A145,Maestro_Equipos!$A:$A,Maestro_Equipos!$M:$M,"")),"")</f>
        <v>15666</v>
      </c>
      <c r="F145">
        <f>IFERROR(_xlfn.XLOOKUP($A145,Maestro_Equipos!$A:$A,Maestro_Equipos!$R:$R,"")+_xlfn.XLOOKUP($A145,Maestro_Equipos!$A:$A,Maestro_Equipos!$J:$J,""),"")</f>
        <v>15804</v>
      </c>
      <c r="G145">
        <f>IFERROR(_xlfn.XLOOKUP($A145,Maestro_Equipos!$A:$A,Maestro_Equipos!$K:$K,""),"")</f>
        <v>2.9</v>
      </c>
      <c r="H145">
        <f t="shared" si="12"/>
        <v>48</v>
      </c>
      <c r="I145" s="41">
        <f t="shared" ca="1" si="13"/>
        <v>46193</v>
      </c>
      <c r="J145" s="5" t="str">
        <f>IFERROR(INDEX(Maestro_Equipos!$V$4:$V$247,MATCH($A145,Maestro_Equipos!$A$4:$A$247,0)),"")</f>
        <v>Operativo</v>
      </c>
      <c r="K145" s="37">
        <f>IFERROR(
   SUMIFS(Mantenciones!$I:$I,Mantenciones!$B:$B,$A145)
 + SUMIFS('Compras PM'!$F:$F,'Compras PM'!$C:$C,$A145),0)</f>
        <v>669327.4</v>
      </c>
      <c r="L145" s="30" t="str">
        <f t="shared" si="14"/>
        <v>BAJA</v>
      </c>
      <c r="M145" s="58" cm="1">
        <f t="array" ref="M145">IFERROR(_xlfn.AGGREGATE(14,6,Mantenciones!$A$2:$A$9997/(Mantenciones!$B$2:$B$9997=$A145),1),"")</f>
        <v>46057</v>
      </c>
      <c r="N145" s="31" cm="1">
        <f t="array" ref="N145">IFERROR(_xlfn.AGGREGATE(14,6,'Compras PM'!$A$4:$A$10014/('Compras PM'!$C$4:$C$10014=$A145),1),"")</f>
        <v>46083.486454513899</v>
      </c>
      <c r="O145" s="31">
        <f>IFERROR(VLOOKUP($A145,Maestro_Equipos!$A$4:$AG$247,27,FALSE()),"")</f>
        <v>46057</v>
      </c>
      <c r="P145" s="32">
        <f t="shared" ca="1" si="15"/>
        <v>61.513545486101066</v>
      </c>
      <c r="Q145" s="32">
        <f t="shared" ca="1" si="16"/>
        <v>0</v>
      </c>
      <c r="R145" s="30" t="str">
        <f t="shared" si="17"/>
        <v>REALIZADA</v>
      </c>
      <c r="S145" s="33" t="str">
        <f>IFERROR(VLOOKUP($A145,Maestro_Equipos!$A$4:$AG$247,33,FALSE()),"")</f>
        <v>Monitorear próximo vencimiento</v>
      </c>
    </row>
    <row r="146" spans="1:19">
      <c r="A146" t="str" cm="1">
        <f t="array" ref="A146">IFERROR(INDEX(_xlfn._xlws.FILTER(Maestro_Equipos!$A$4:$A$247,Maestro_Equipos!$A$4:$A$247&lt;&gt;""),ROWS($A$4:A146)),"")</f>
        <v>CD-123</v>
      </c>
      <c r="B146" t="str">
        <f>IFERROR(_xlfn.XLOOKUP($A146,Maestro_Equipos!$A$4:$A$247,Maestro_Equipos!$B$4:$B$247,""),"")</f>
        <v>Camión Tolva</v>
      </c>
      <c r="C146" t="str">
        <f>IFERROR(_xlfn.XLOOKUP($A146,Maestro_Equipos!$A$4:$A$247,Maestro_Equipos!$C$4:$C$247,""),"")</f>
        <v>Camiones de Ruta</v>
      </c>
      <c r="D146" t="str">
        <f>IFERROR(_xlfn.XLOOKUP($A146,Maestro_Equipos!$A:$A,Maestro_Equipos!$I:$I,""),"")</f>
        <v>HORAS</v>
      </c>
      <c r="E146">
        <f>IFERROR(IF($D146="KM",_xlfn.XLOOKUP($A146,Maestro_Equipos!$A:$A,Maestro_Equipos!$N:$N,""),_xlfn.XLOOKUP($A146,Maestro_Equipos!$A:$A,Maestro_Equipos!$M:$M,"")),"")</f>
        <v>3720</v>
      </c>
      <c r="F146">
        <f>IFERROR(_xlfn.XLOOKUP($A146,Maestro_Equipos!$A:$A,Maestro_Equipos!$R:$R,"")+_xlfn.XLOOKUP($A146,Maestro_Equipos!$A:$A,Maestro_Equipos!$J:$J,""),"")</f>
        <v>3943</v>
      </c>
      <c r="G146">
        <f>IFERROR(_xlfn.XLOOKUP($A146,Maestro_Equipos!$A:$A,Maestro_Equipos!$K:$K,""),"")</f>
        <v>4.3</v>
      </c>
      <c r="H146">
        <f t="shared" si="12"/>
        <v>52</v>
      </c>
      <c r="I146" s="41">
        <f t="shared" ca="1" si="13"/>
        <v>46197</v>
      </c>
      <c r="J146" s="5" t="str">
        <f>IFERROR(INDEX(Maestro_Equipos!$V$4:$V$247,MATCH($A146,Maestro_Equipos!$A$4:$A$247,0)),"")</f>
        <v>Operativo</v>
      </c>
      <c r="K146" s="37">
        <f>IFERROR(
   SUMIFS(Mantenciones!$I:$I,Mantenciones!$B:$B,$A146)
 + SUMIFS('Compras PM'!$F:$F,'Compras PM'!$C:$C,$A146),0)</f>
        <v>2179820.8158999998</v>
      </c>
      <c r="L146" s="30" t="str">
        <f t="shared" si="14"/>
        <v>BAJA</v>
      </c>
      <c r="M146" s="58" cm="1">
        <f t="array" ref="M146">IFERROR(_xlfn.AGGREGATE(14,6,Mantenciones!$A$2:$A$9997/(Mantenciones!$B$2:$B$9997=$A146),1),"")</f>
        <v>46093</v>
      </c>
      <c r="N146" s="31" cm="1">
        <f t="array" ref="N146">IFERROR(_xlfn.AGGREGATE(14,6,'Compras PM'!$A$4:$A$10014/('Compras PM'!$C$4:$C$10014=$A146),1),"")</f>
        <v>46093.460116550901</v>
      </c>
      <c r="O146" s="31">
        <f>IFERROR(VLOOKUP($A146,Maestro_Equipos!$A$4:$AG$247,27,FALSE()),"")</f>
        <v>46080</v>
      </c>
      <c r="P146" s="32">
        <f t="shared" ca="1" si="15"/>
        <v>51.539883449098852</v>
      </c>
      <c r="Q146" s="32">
        <f t="shared" ca="1" si="16"/>
        <v>13</v>
      </c>
      <c r="R146" s="30" t="str">
        <f t="shared" si="17"/>
        <v>REALIZADA</v>
      </c>
      <c r="S146" s="33" t="str">
        <f>IFERROR(VLOOKUP($A146,Maestro_Equipos!$A$4:$AG$247,33,FALSE()),"")</f>
        <v>Monitorear próximo vencimiento</v>
      </c>
    </row>
    <row r="147" spans="1:19" ht="15" customHeight="1">
      <c r="A147" t="str" cm="1">
        <f t="array" ref="A147">IFERROR(INDEX(_xlfn._xlws.FILTER(Maestro_Equipos!$A$4:$A$247,Maestro_Equipos!$A$4:$A$247&lt;&gt;""),ROWS($A$4:A147)),"")</f>
        <v>ED-73</v>
      </c>
      <c r="B147" t="str">
        <f>IFERROR(_xlfn.XLOOKUP($A147,Maestro_Equipos!$A$4:$A$247,Maestro_Equipos!$B$4:$B$247,""),"")</f>
        <v>Gravilladora</v>
      </c>
      <c r="C147" t="str">
        <f>IFERROR(_xlfn.XLOOKUP($A147,Maestro_Equipos!$A$4:$A$247,Maestro_Equipos!$C$4:$C$247,""),"")</f>
        <v>Maquinaria Pesada</v>
      </c>
      <c r="D147" t="str">
        <f>IFERROR(_xlfn.XLOOKUP($A147,Maestro_Equipos!$A:$A,Maestro_Equipos!$I:$I,""),"")</f>
        <v>HORAS</v>
      </c>
      <c r="E147">
        <f>IFERROR(IF($D147="KM",_xlfn.XLOOKUP($A147,Maestro_Equipos!$A:$A,Maestro_Equipos!$N:$N,""),_xlfn.XLOOKUP($A147,Maestro_Equipos!$A:$A,Maestro_Equipos!$M:$M,"")),"")</f>
        <v>785</v>
      </c>
      <c r="F147">
        <f>IFERROR(_xlfn.XLOOKUP($A147,Maestro_Equipos!$A:$A,Maestro_Equipos!$R:$R,"")+_xlfn.XLOOKUP($A147,Maestro_Equipos!$A:$A,Maestro_Equipos!$J:$J,""),"")</f>
        <v>1117</v>
      </c>
      <c r="G147">
        <f>IFERROR(_xlfn.XLOOKUP($A147,Maestro_Equipos!$A:$A,Maestro_Equipos!$K:$K,""),"")</f>
        <v>2.9</v>
      </c>
      <c r="H147">
        <f t="shared" si="12"/>
        <v>114</v>
      </c>
      <c r="I147" s="41">
        <f t="shared" ca="1" si="13"/>
        <v>46259</v>
      </c>
      <c r="J147" s="5">
        <f>IFERROR(INDEX(Maestro_Equipos!$V$4:$V$247,MATCH($A147,Maestro_Equipos!$A$4:$A$247,0)),"")</f>
        <v>0</v>
      </c>
      <c r="K147" s="37">
        <f>IFERROR(
   SUMIFS(Mantenciones!$I:$I,Mantenciones!$B:$B,$A147)
 + SUMIFS('Compras PM'!$F:$F,'Compras PM'!$C:$C,$A147),0)</f>
        <v>39400.9</v>
      </c>
      <c r="L147" s="30" t="str">
        <f t="shared" si="14"/>
        <v>BAJA</v>
      </c>
      <c r="M147" s="58" cm="1">
        <f t="array" ref="M147">IFERROR(_xlfn.AGGREGATE(14,6,Mantenciones!$A$2:$A$9997/(Mantenciones!$B$2:$B$9997=$A147),1),"")</f>
        <v>46127</v>
      </c>
      <c r="N147" s="31" cm="1">
        <f t="array" ref="N147">IFERROR(_xlfn.AGGREGATE(14,6,'Compras PM'!$A$4:$A$10014/('Compras PM'!$C$4:$C$10014=$A147),1),"")</f>
        <v>46121.485532835701</v>
      </c>
      <c r="O147" s="31">
        <f>IFERROR(VLOOKUP($A147,Maestro_Equipos!$A$4:$AG$247,27,FALSE()),"")</f>
        <v>46093</v>
      </c>
      <c r="P147" s="32">
        <f t="shared" ca="1" si="15"/>
        <v>5.5144671642992762</v>
      </c>
      <c r="Q147" s="32">
        <f t="shared" ca="1" si="16"/>
        <v>34</v>
      </c>
      <c r="R147" s="30" t="str">
        <f t="shared" si="17"/>
        <v>REALIZADA</v>
      </c>
      <c r="S147" s="33" t="str">
        <f>IFERROR(VLOOKUP($A147,Maestro_Equipos!$A$4:$AG$247,33,FALSE()),"")</f>
        <v>Monitorear próximo vencimiento</v>
      </c>
    </row>
    <row r="148" spans="1:19" ht="15" customHeight="1">
      <c r="A148" t="str" cm="1">
        <f t="array" ref="A148">IFERROR(INDEX(_xlfn._xlws.FILTER(Maestro_Equipos!$A$4:$A$247,Maestro_Equipos!$A$4:$A$247&lt;&gt;""),ROWS($A$4:A148)),"")</f>
        <v>VD-38</v>
      </c>
      <c r="B148" t="str">
        <f>IFERROR(_xlfn.XLOOKUP($A148,Maestro_Equipos!$A$4:$A$247,Maestro_Equipos!$B$4:$B$247,""),"")</f>
        <v>Minibus</v>
      </c>
      <c r="C148" t="str">
        <f>IFERROR(_xlfn.XLOOKUP($A148,Maestro_Equipos!$A$4:$A$247,Maestro_Equipos!$C$4:$C$247,""),"")</f>
        <v>Vehículos Livianos</v>
      </c>
      <c r="D148" t="str">
        <f>IFERROR(_xlfn.XLOOKUP($A148,Maestro_Equipos!$A:$A,Maestro_Equipos!$I:$I,""),"")</f>
        <v>KM</v>
      </c>
      <c r="E148">
        <f>IFERROR(IF($D148="KM",_xlfn.XLOOKUP($A148,Maestro_Equipos!$A:$A,Maestro_Equipos!$N:$N,""),_xlfn.XLOOKUP($A148,Maestro_Equipos!$A:$A,Maestro_Equipos!$M:$M,"")),"")</f>
        <v>559749</v>
      </c>
      <c r="F148">
        <f>IFERROR(_xlfn.XLOOKUP($A148,Maestro_Equipos!$A:$A,Maestro_Equipos!$R:$R,"")+_xlfn.XLOOKUP($A148,Maestro_Equipos!$A:$A,Maestro_Equipos!$J:$J,""),"")</f>
        <v>576359</v>
      </c>
      <c r="G148">
        <f>IFERROR(_xlfn.XLOOKUP($A148,Maestro_Equipos!$A:$A,Maestro_Equipos!$K:$K,""),"")</f>
        <v>478.4</v>
      </c>
      <c r="H148">
        <f t="shared" si="12"/>
        <v>35</v>
      </c>
      <c r="I148" s="41">
        <f t="shared" ca="1" si="13"/>
        <v>46180</v>
      </c>
      <c r="J148" s="5" t="str">
        <f>IFERROR(INDEX(Maestro_Equipos!$V$4:$V$247,MATCH($A148,Maestro_Equipos!$A$4:$A$247,0)),"")</f>
        <v>Operativo</v>
      </c>
      <c r="K148" s="37">
        <f>IFERROR(
   SUMIFS(Mantenciones!$I:$I,Mantenciones!$B:$B,$A148)
 + SUMIFS('Compras PM'!$F:$F,'Compras PM'!$C:$C,$A148),0)</f>
        <v>40499.972099999999</v>
      </c>
      <c r="L148" s="30" t="str">
        <f t="shared" si="14"/>
        <v>BAJA</v>
      </c>
      <c r="M148" s="58" cm="1">
        <f t="array" ref="M148">IFERROR(_xlfn.AGGREGATE(14,6,Mantenciones!$A$2:$A$9997/(Mantenciones!$B$2:$B$9997=$A148),1),"")</f>
        <v>46106</v>
      </c>
      <c r="N148" s="31" cm="1">
        <f t="array" ref="N148">IFERROR(_xlfn.AGGREGATE(14,6,'Compras PM'!$A$4:$A$10014/('Compras PM'!$C$4:$C$10014=$A148),1),"")</f>
        <v>46086.626455555597</v>
      </c>
      <c r="O148" s="31">
        <f>IFERROR(VLOOKUP($A148,Maestro_Equipos!$A$4:$AG$247,27,FALSE()),"")</f>
        <v>46086</v>
      </c>
      <c r="P148" s="32">
        <f t="shared" ca="1" si="15"/>
        <v>19.373544444402796</v>
      </c>
      <c r="Q148" s="32">
        <f t="shared" ca="1" si="16"/>
        <v>20</v>
      </c>
      <c r="R148" s="30" t="str">
        <f t="shared" si="17"/>
        <v>REALIZADA</v>
      </c>
      <c r="S148" s="33" t="str">
        <f>IFERROR(VLOOKUP($A148,Maestro_Equipos!$A$4:$AG$247,33,FALSE()),"")</f>
        <v>Monitorear próximo vencimiento</v>
      </c>
    </row>
    <row r="149" spans="1:19">
      <c r="A149" t="str" cm="1">
        <f t="array" ref="A149">IFERROR(INDEX(_xlfn._xlws.FILTER(Maestro_Equipos!$A$4:$A$247,Maestro_Equipos!$A$4:$A$247&lt;&gt;""),ROWS($A$4:A149)),"")</f>
        <v>VD-139</v>
      </c>
      <c r="B149" t="str">
        <f>IFERROR(_xlfn.XLOOKUP($A149,Maestro_Equipos!$A$4:$A$247,Maestro_Equipos!$B$4:$B$247,""),"")</f>
        <v>Camioneta</v>
      </c>
      <c r="C149" t="str">
        <f>IFERROR(_xlfn.XLOOKUP($A149,Maestro_Equipos!$A$4:$A$247,Maestro_Equipos!$C$4:$C$247,""),"")</f>
        <v>Vehículos Livianos</v>
      </c>
      <c r="D149" t="str">
        <f>IFERROR(_xlfn.XLOOKUP($A149,Maestro_Equipos!$A:$A,Maestro_Equipos!$I:$I,""),"")</f>
        <v>KM</v>
      </c>
      <c r="E149">
        <f>IFERROR(IF($D149="KM",_xlfn.XLOOKUP($A149,Maestro_Equipos!$A:$A,Maestro_Equipos!$N:$N,""),_xlfn.XLOOKUP($A149,Maestro_Equipos!$A:$A,Maestro_Equipos!$M:$M,"")),"")</f>
        <v>24785</v>
      </c>
      <c r="F149">
        <f>IFERROR(_xlfn.XLOOKUP($A149,Maestro_Equipos!$A:$A,Maestro_Equipos!$R:$R,"")+_xlfn.XLOOKUP($A149,Maestro_Equipos!$A:$A,Maestro_Equipos!$J:$J,""),"")</f>
        <v>26406</v>
      </c>
      <c r="G149">
        <f>IFERROR(_xlfn.XLOOKUP($A149,Maestro_Equipos!$A:$A,Maestro_Equipos!$K:$K,""),"")</f>
        <v>141.1</v>
      </c>
      <c r="H149">
        <f t="shared" si="12"/>
        <v>11</v>
      </c>
      <c r="I149" s="41">
        <f t="shared" ca="1" si="13"/>
        <v>46156</v>
      </c>
      <c r="J149" s="5" t="str">
        <f>IFERROR(INDEX(Maestro_Equipos!$V$4:$V$247,MATCH($A149,Maestro_Equipos!$A$4:$A$247,0)),"")</f>
        <v>Operativo</v>
      </c>
      <c r="K149" s="37">
        <f>IFERROR(
   SUMIFS(Mantenciones!$I:$I,Mantenciones!$B:$B,$A149)
 + SUMIFS('Compras PM'!$F:$F,'Compras PM'!$C:$C,$A149),0)</f>
        <v>254792</v>
      </c>
      <c r="L149" s="30" t="str">
        <f t="shared" si="14"/>
        <v>ALTA</v>
      </c>
      <c r="M149" s="58" cm="1">
        <f t="array" ref="M149">IFERROR(_xlfn.AGGREGATE(14,6,Mantenciones!$A$2:$A$9997/(Mantenciones!$B$2:$B$9997=$A149),1),"")</f>
        <v>46031</v>
      </c>
      <c r="N149" s="31" cm="1">
        <f t="array" ref="N149">IFERROR(_xlfn.AGGREGATE(14,6,'Compras PM'!$A$4:$A$10014/('Compras PM'!$C$4:$C$10014=$A149),1),"")</f>
        <v>46111</v>
      </c>
      <c r="O149" s="31" t="str">
        <f>IFERROR(VLOOKUP($A149,Maestro_Equipos!$A$4:$AG$247,27,FALSE()),"")</f>
        <v/>
      </c>
      <c r="P149" s="32">
        <f t="shared" ca="1" si="15"/>
        <v>34</v>
      </c>
      <c r="Q149" s="32" t="str">
        <f t="shared" ca="1" si="16"/>
        <v/>
      </c>
      <c r="R149" s="30" t="str">
        <f t="shared" si="17"/>
        <v>SIN SALIDA</v>
      </c>
      <c r="S149" s="33" t="str">
        <f>IFERROR(VLOOKUP($A149,Maestro_Equipos!$A$4:$AG$247,33,FALSE()),"")</f>
        <v>Hacer seguimiento al taller y cerrar report</v>
      </c>
    </row>
    <row r="150" spans="1:19">
      <c r="A150" t="str" cm="1">
        <f t="array" ref="A150">IFERROR(INDEX(_xlfn._xlws.FILTER(Maestro_Equipos!$A$4:$A$247,Maestro_Equipos!$A$4:$A$247&lt;&gt;""),ROWS($A$4:A150)),"")</f>
        <v>VD-97</v>
      </c>
      <c r="B150" t="str">
        <f>IFERROR(_xlfn.XLOOKUP($A150,Maestro_Equipos!$A$4:$A$247,Maestro_Equipos!$B$4:$B$247,""),"")</f>
        <v>Camioneta</v>
      </c>
      <c r="C150" t="str">
        <f>IFERROR(_xlfn.XLOOKUP($A150,Maestro_Equipos!$A$4:$A$247,Maestro_Equipos!$C$4:$C$247,""),"")</f>
        <v>Vehículos Livianos</v>
      </c>
      <c r="D150" t="str">
        <f>IFERROR(_xlfn.XLOOKUP($A150,Maestro_Equipos!$A:$A,Maestro_Equipos!$I:$I,""),"")</f>
        <v>KM</v>
      </c>
      <c r="E150">
        <f>IFERROR(IF($D150="KM",_xlfn.XLOOKUP($A150,Maestro_Equipos!$A:$A,Maestro_Equipos!$N:$N,""),_xlfn.XLOOKUP($A150,Maestro_Equipos!$A:$A,Maestro_Equipos!$M:$M,"")),"")</f>
        <v>112051</v>
      </c>
      <c r="F150">
        <f>IFERROR(_xlfn.XLOOKUP($A150,Maestro_Equipos!$A:$A,Maestro_Equipos!$R:$R,"")+_xlfn.XLOOKUP($A150,Maestro_Equipos!$A:$A,Maestro_Equipos!$J:$J,""),"")</f>
        <v>125602</v>
      </c>
      <c r="G150">
        <f>IFERROR(_xlfn.XLOOKUP($A150,Maestro_Equipos!$A:$A,Maestro_Equipos!$K:$K,""),"")</f>
        <v>291.10000000000002</v>
      </c>
      <c r="H150">
        <f t="shared" si="12"/>
        <v>47</v>
      </c>
      <c r="I150" s="41">
        <f t="shared" ca="1" si="13"/>
        <v>46192</v>
      </c>
      <c r="J150" s="5" t="str">
        <f>IFERROR(INDEX(Maestro_Equipos!$V$4:$V$247,MATCH($A150,Maestro_Equipos!$A$4:$A$247,0)),"")</f>
        <v>Operativo</v>
      </c>
      <c r="K150" s="37">
        <f>IFERROR(
   SUMIFS(Mantenciones!$I:$I,Mantenciones!$B:$B,$A150)
 + SUMIFS('Compras PM'!$F:$F,'Compras PM'!$C:$C,$A150),0)</f>
        <v>693477.5</v>
      </c>
      <c r="L150" s="30" t="str">
        <f t="shared" si="14"/>
        <v>BAJA</v>
      </c>
      <c r="M150" s="58" cm="1">
        <f t="array" ref="M150">IFERROR(_xlfn.AGGREGATE(14,6,Mantenciones!$A$2:$A$9997/(Mantenciones!$B$2:$B$9997=$A150),1),"")</f>
        <v>46099</v>
      </c>
      <c r="N150" s="31" cm="1">
        <f t="array" ref="N150">IFERROR(_xlfn.AGGREGATE(14,6,'Compras PM'!$A$4:$A$10014/('Compras PM'!$C$4:$C$10014=$A150),1),"")</f>
        <v>46127</v>
      </c>
      <c r="O150" s="31">
        <f>IFERROR(VLOOKUP($A150,Maestro_Equipos!$A$4:$AG$247,27,FALSE()),"")</f>
        <v>46093</v>
      </c>
      <c r="P150" s="32">
        <f t="shared" ca="1" si="15"/>
        <v>18</v>
      </c>
      <c r="Q150" s="32">
        <f t="shared" ca="1" si="16"/>
        <v>6</v>
      </c>
      <c r="R150" s="30" t="str">
        <f t="shared" si="17"/>
        <v>REALIZADA</v>
      </c>
      <c r="S150" s="33" t="str">
        <f>IFERROR(VLOOKUP($A150,Maestro_Equipos!$A$4:$AG$247,33,FALSE()),"")</f>
        <v>Monitorear próximo vencimiento</v>
      </c>
    </row>
    <row r="151" spans="1:19">
      <c r="A151" t="str" cm="1">
        <f t="array" ref="A151">IFERROR(INDEX(_xlfn._xlws.FILTER(Maestro_Equipos!$A$4:$A$247,Maestro_Equipos!$A$4:$A$247&lt;&gt;""),ROWS($A$4:A151)),"")</f>
        <v>MD-83</v>
      </c>
      <c r="B151" t="str">
        <f>IFERROR(_xlfn.XLOOKUP($A151,Maestro_Equipos!$A$4:$A$247,Maestro_Equipos!$B$4:$B$247,""),"")</f>
        <v>Excavadora</v>
      </c>
      <c r="C151" t="str">
        <f>IFERROR(_xlfn.XLOOKUP($A151,Maestro_Equipos!$A$4:$A$247,Maestro_Equipos!$C$4:$C$247,""),"")</f>
        <v>Maquinaria Pesada</v>
      </c>
      <c r="D151" t="str">
        <f>IFERROR(_xlfn.XLOOKUP($A151,Maestro_Equipos!$A:$A,Maestro_Equipos!$I:$I,""),"")</f>
        <v>HORAS</v>
      </c>
      <c r="E151">
        <f>IFERROR(IF($D151="KM",_xlfn.XLOOKUP($A151,Maestro_Equipos!$A:$A,Maestro_Equipos!$N:$N,""),_xlfn.XLOOKUP($A151,Maestro_Equipos!$A:$A,Maestro_Equipos!$M:$M,"")),"")</f>
        <v>8457</v>
      </c>
      <c r="F151">
        <f>IFERROR(_xlfn.XLOOKUP($A151,Maestro_Equipos!$A:$A,Maestro_Equipos!$R:$R,"")+_xlfn.XLOOKUP($A151,Maestro_Equipos!$A:$A,Maestro_Equipos!$J:$J,""),"")</f>
        <v>8596</v>
      </c>
      <c r="G151">
        <f>IFERROR(_xlfn.XLOOKUP($A151,Maestro_Equipos!$A:$A,Maestro_Equipos!$K:$K,""),"")</f>
        <v>4.5999999999999996</v>
      </c>
      <c r="H151">
        <f t="shared" si="12"/>
        <v>30</v>
      </c>
      <c r="I151" s="41">
        <f t="shared" ca="1" si="13"/>
        <v>46175</v>
      </c>
      <c r="J151" s="5" t="str">
        <f>IFERROR(INDEX(Maestro_Equipos!$V$4:$V$247,MATCH($A151,Maestro_Equipos!$A$4:$A$247,0)),"")</f>
        <v>Operativo</v>
      </c>
      <c r="K151" s="37">
        <f>IFERROR(
   SUMIFS(Mantenciones!$I:$I,Mantenciones!$B:$B,$A151)
 + SUMIFS('Compras PM'!$F:$F,'Compras PM'!$C:$C,$A151),0)</f>
        <v>462928.84</v>
      </c>
      <c r="L151" s="30" t="str">
        <f t="shared" si="14"/>
        <v>MEDIA</v>
      </c>
      <c r="M151" s="58" cm="1">
        <f t="array" ref="M151">IFERROR(_xlfn.AGGREGATE(14,6,Mantenciones!$A$2:$A$9997/(Mantenciones!$B$2:$B$9997=$A151),1),"")</f>
        <v>46107</v>
      </c>
      <c r="N151" s="31" cm="1">
        <f t="array" ref="N151">IFERROR(_xlfn.AGGREGATE(14,6,'Compras PM'!$A$4:$A$10014/('Compras PM'!$C$4:$C$10014=$A151),1),"")</f>
        <v>46100</v>
      </c>
      <c r="O151" s="31">
        <f>IFERROR(VLOOKUP($A151,Maestro_Equipos!$A$4:$AG$247,27,FALSE()),"")</f>
        <v>46104</v>
      </c>
      <c r="P151" s="32">
        <f t="shared" ca="1" si="15"/>
        <v>7</v>
      </c>
      <c r="Q151" s="32">
        <f t="shared" ca="1" si="16"/>
        <v>3</v>
      </c>
      <c r="R151" s="30" t="str">
        <f t="shared" si="17"/>
        <v>REALIZADA</v>
      </c>
      <c r="S151" s="33" t="str">
        <f>IFERROR(VLOOKUP($A151,Maestro_Equipos!$A$4:$AG$247,33,FALSE()),"")</f>
        <v>Monitorear próximo vencimiento</v>
      </c>
    </row>
    <row r="152" spans="1:19">
      <c r="A152" t="str" cm="1">
        <f t="array" ref="A152">IFERROR(INDEX(_xlfn._xlws.FILTER(Maestro_Equipos!$A$4:$A$247,Maestro_Equipos!$A$4:$A$247&lt;&gt;""),ROWS($A$4:A152)),"")</f>
        <v>EQP-7</v>
      </c>
      <c r="B152" t="str">
        <f>IFERROR(_xlfn.XLOOKUP($A152,Maestro_Equipos!$A$4:$A$247,Maestro_Equipos!$B$4:$B$247,""),"")</f>
        <v>Planta aridos</v>
      </c>
      <c r="C152" t="str">
        <f>IFERROR(_xlfn.XLOOKUP($A152,Maestro_Equipos!$A$4:$A$247,Maestro_Equipos!$C$4:$C$247,""),"")</f>
        <v>Maquinaria Pesada</v>
      </c>
      <c r="D152" t="str">
        <f>IFERROR(_xlfn.XLOOKUP($A152,Maestro_Equipos!$A:$A,Maestro_Equipos!$I:$I,""),"")</f>
        <v>HORAS</v>
      </c>
      <c r="E152">
        <f>IFERROR(IF($D152="KM",_xlfn.XLOOKUP($A152,Maestro_Equipos!$A:$A,Maestro_Equipos!$N:$N,""),_xlfn.XLOOKUP($A152,Maestro_Equipos!$A:$A,Maestro_Equipos!$M:$M,"")),"")</f>
        <v>16454</v>
      </c>
      <c r="F152">
        <f>IFERROR(_xlfn.XLOOKUP($A152,Maestro_Equipos!$A:$A,Maestro_Equipos!$R:$R,"")+_xlfn.XLOOKUP($A152,Maestro_Equipos!$A:$A,Maestro_Equipos!$J:$J,""),"")</f>
        <v>15977</v>
      </c>
      <c r="G152">
        <f>IFERROR(_xlfn.XLOOKUP($A152,Maestro_Equipos!$A:$A,Maestro_Equipos!$K:$K,""),"")</f>
        <v>0.5</v>
      </c>
      <c r="H152">
        <f t="shared" si="12"/>
        <v>-954</v>
      </c>
      <c r="I152" s="41">
        <f t="shared" ca="1" si="13"/>
        <v>45191</v>
      </c>
      <c r="J152" s="5" t="str">
        <f>IFERROR(INDEX(Maestro_Equipos!$V$4:$V$247,MATCH($A152,Maestro_Equipos!$A$4:$A$247,0)),"")</f>
        <v>Operativo</v>
      </c>
      <c r="K152" s="37">
        <f>IFERROR(
   SUMIFS(Mantenciones!$I:$I,Mantenciones!$B:$B,$A152)
 + SUMIFS('Compras PM'!$F:$F,'Compras PM'!$C:$C,$A152),0)</f>
        <v>866929</v>
      </c>
      <c r="L152" s="30" t="str">
        <f t="shared" si="14"/>
        <v>VENCIDA</v>
      </c>
      <c r="M152" s="58" cm="1">
        <f t="array" ref="M152">IFERROR(_xlfn.AGGREGATE(14,6,Mantenciones!$A$2:$A$9997/(Mantenciones!$B$2:$B$9997=$A152),1),"")</f>
        <v>46097</v>
      </c>
      <c r="N152" s="31" t="str" cm="1">
        <f t="array" ref="N152">IFERROR(_xlfn.AGGREGATE(14,6,'Compras PM'!$A$4:$A$10014/('Compras PM'!$C$4:$C$10014=$A152),1),"")</f>
        <v/>
      </c>
      <c r="O152" s="31" t="str">
        <f>IFERROR(VLOOKUP($A152,Maestro_Equipos!$A$4:$AG$247,27,FALSE()),"")</f>
        <v/>
      </c>
      <c r="P152" s="32" t="str">
        <f t="shared" ca="1" si="15"/>
        <v/>
      </c>
      <c r="Q152" s="32" t="str">
        <f t="shared" ca="1" si="16"/>
        <v/>
      </c>
      <c r="R152" s="30" t="str">
        <f t="shared" si="17"/>
        <v>SIN SALIDA</v>
      </c>
      <c r="S152" s="33" t="str">
        <f>IFERROR(VLOOKUP($A152,Maestro_Equipos!$A$4:$AG$247,33,FALSE()),"")</f>
        <v>Monitorear próximo vencimiento</v>
      </c>
    </row>
    <row r="153" spans="1:19">
      <c r="A153" t="str" cm="1">
        <f t="array" ref="A153">IFERROR(INDEX(_xlfn._xlws.FILTER(Maestro_Equipos!$A$4:$A$247,Maestro_Equipos!$A$4:$A$247&lt;&gt;""),ROWS($A$4:A153)),"")</f>
        <v>CD-121</v>
      </c>
      <c r="B153" t="str">
        <f>IFERROR(_xlfn.XLOOKUP($A153,Maestro_Equipos!$A$4:$A$247,Maestro_Equipos!$B$4:$B$247,""),"")</f>
        <v>Camión Tolva</v>
      </c>
      <c r="C153" t="str">
        <f>IFERROR(_xlfn.XLOOKUP($A153,Maestro_Equipos!$A$4:$A$247,Maestro_Equipos!$C$4:$C$247,""),"")</f>
        <v>Camiones de Ruta</v>
      </c>
      <c r="D153" t="str">
        <f>IFERROR(_xlfn.XLOOKUP($A153,Maestro_Equipos!$A:$A,Maestro_Equipos!$I:$I,""),"")</f>
        <v>HORAS</v>
      </c>
      <c r="E153">
        <f>IFERROR(IF($D153="KM",_xlfn.XLOOKUP($A153,Maestro_Equipos!$A:$A,Maestro_Equipos!$N:$N,""),_xlfn.XLOOKUP($A153,Maestro_Equipos!$A:$A,Maestro_Equipos!$M:$M,"")),"")</f>
        <v>3552</v>
      </c>
      <c r="F153">
        <f>IFERROR(_xlfn.XLOOKUP($A153,Maestro_Equipos!$A:$A,Maestro_Equipos!$R:$R,"")+_xlfn.XLOOKUP($A153,Maestro_Equipos!$A:$A,Maestro_Equipos!$J:$J,""),"")</f>
        <v>3718</v>
      </c>
      <c r="G153">
        <f>IFERROR(_xlfn.XLOOKUP($A153,Maestro_Equipos!$A:$A,Maestro_Equipos!$K:$K,""),"")</f>
        <v>4.0999999999999996</v>
      </c>
      <c r="H153">
        <f t="shared" si="12"/>
        <v>40</v>
      </c>
      <c r="I153" s="41">
        <f t="shared" ca="1" si="13"/>
        <v>46185</v>
      </c>
      <c r="J153" s="5" t="str">
        <f>IFERROR(INDEX(Maestro_Equipos!$V$4:$V$247,MATCH($A153,Maestro_Equipos!$A$4:$A$247,0)),"")</f>
        <v>Operativo</v>
      </c>
      <c r="K153" s="37">
        <f>IFERROR(
   SUMIFS(Mantenciones!$I:$I,Mantenciones!$B:$B,$A153)
 + SUMIFS('Compras PM'!$F:$F,'Compras PM'!$C:$C,$A153),0)</f>
        <v>63430.805899999999</v>
      </c>
      <c r="L153" s="30" t="str">
        <f t="shared" si="14"/>
        <v>BAJA</v>
      </c>
      <c r="M153" s="58" cm="1">
        <f t="array" ref="M153">IFERROR(_xlfn.AGGREGATE(14,6,Mantenciones!$A$2:$A$9997/(Mantenciones!$B$2:$B$9997=$A153),1),"")</f>
        <v>46085</v>
      </c>
      <c r="N153" s="31" cm="1">
        <f t="array" ref="N153">IFERROR(_xlfn.AGGREGATE(14,6,'Compras PM'!$A$4:$A$10014/('Compras PM'!$C$4:$C$10014=$A153),1),"")</f>
        <v>46093.460116550901</v>
      </c>
      <c r="O153" s="31">
        <f>IFERROR(VLOOKUP($A153,Maestro_Equipos!$A$4:$AG$247,27,FALSE()),"")</f>
        <v>46080</v>
      </c>
      <c r="P153" s="32">
        <f t="shared" ca="1" si="15"/>
        <v>51.539883449098852</v>
      </c>
      <c r="Q153" s="32">
        <f t="shared" ca="1" si="16"/>
        <v>5</v>
      </c>
      <c r="R153" s="30" t="str">
        <f t="shared" si="17"/>
        <v>REALIZADA</v>
      </c>
      <c r="S153" s="33" t="str">
        <f>IFERROR(VLOOKUP($A153,Maestro_Equipos!$A$4:$AG$247,33,FALSE()),"")</f>
        <v>Monitorear próximo vencimiento</v>
      </c>
    </row>
    <row r="154" spans="1:19">
      <c r="A154" t="str" cm="1">
        <f t="array" ref="A154">IFERROR(INDEX(_xlfn._xlws.FILTER(Maestro_Equipos!$A$4:$A$247,Maestro_Equipos!$A$4:$A$247&lt;&gt;""),ROWS($A$4:A154)),"")</f>
        <v>CD-122</v>
      </c>
      <c r="B154" t="str">
        <f>IFERROR(_xlfn.XLOOKUP($A154,Maestro_Equipos!$A$4:$A$247,Maestro_Equipos!$B$4:$B$247,""),"")</f>
        <v>Camión Tolva</v>
      </c>
      <c r="C154" t="str">
        <f>IFERROR(_xlfn.XLOOKUP($A154,Maestro_Equipos!$A$4:$A$247,Maestro_Equipos!$C$4:$C$247,""),"")</f>
        <v>Camiones de Ruta</v>
      </c>
      <c r="D154" t="str">
        <f>IFERROR(_xlfn.XLOOKUP($A154,Maestro_Equipos!$A:$A,Maestro_Equipos!$I:$I,""),"")</f>
        <v>HORAS</v>
      </c>
      <c r="E154">
        <f>IFERROR(IF($D154="KM",_xlfn.XLOOKUP($A154,Maestro_Equipos!$A:$A,Maestro_Equipos!$N:$N,""),_xlfn.XLOOKUP($A154,Maestro_Equipos!$A:$A,Maestro_Equipos!$M:$M,"")),"")</f>
        <v>3774</v>
      </c>
      <c r="F154">
        <f>IFERROR(_xlfn.XLOOKUP($A154,Maestro_Equipos!$A:$A,Maestro_Equipos!$R:$R,"")+_xlfn.XLOOKUP($A154,Maestro_Equipos!$A:$A,Maestro_Equipos!$J:$J,""),"")</f>
        <v>3944</v>
      </c>
      <c r="G154">
        <f>IFERROR(_xlfn.XLOOKUP($A154,Maestro_Equipos!$A:$A,Maestro_Equipos!$K:$K,""),"")</f>
        <v>4.8</v>
      </c>
      <c r="H154">
        <f t="shared" si="12"/>
        <v>35</v>
      </c>
      <c r="I154" s="41">
        <f t="shared" ca="1" si="13"/>
        <v>46180</v>
      </c>
      <c r="J154" s="5" t="str">
        <f>IFERROR(INDEX(Maestro_Equipos!$V$4:$V$247,MATCH($A154,Maestro_Equipos!$A$4:$A$247,0)),"")</f>
        <v>Operativo</v>
      </c>
      <c r="K154" s="37">
        <f>IFERROR(
   SUMIFS(Mantenciones!$I:$I,Mantenciones!$B:$B,$A154)
 + SUMIFS('Compras PM'!$F:$F,'Compras PM'!$C:$C,$A154),0)</f>
        <v>321621.71590000001</v>
      </c>
      <c r="L154" s="30" t="str">
        <f t="shared" si="14"/>
        <v>BAJA</v>
      </c>
      <c r="M154" s="58" cm="1">
        <f t="array" ref="M154">IFERROR(_xlfn.AGGREGATE(14,6,Mantenciones!$A$2:$A$9997/(Mantenciones!$B$2:$B$9997=$A154),1),"")</f>
        <v>46093</v>
      </c>
      <c r="N154" s="31" cm="1">
        <f t="array" ref="N154">IFERROR(_xlfn.AGGREGATE(14,6,'Compras PM'!$A$4:$A$10014/('Compras PM'!$C$4:$C$10014=$A154),1),"")</f>
        <v>46093.460116550901</v>
      </c>
      <c r="O154" s="31">
        <f>IFERROR(VLOOKUP($A154,Maestro_Equipos!$A$4:$AG$247,27,FALSE()),"")</f>
        <v>46093</v>
      </c>
      <c r="P154" s="32">
        <f t="shared" ca="1" si="15"/>
        <v>51.539883449098852</v>
      </c>
      <c r="Q154" s="32">
        <f t="shared" ca="1" si="16"/>
        <v>0</v>
      </c>
      <c r="R154" s="30" t="str">
        <f t="shared" si="17"/>
        <v>REALIZADA</v>
      </c>
      <c r="S154" s="33" t="str">
        <f>IFERROR(VLOOKUP($A154,Maestro_Equipos!$A$4:$AG$247,33,FALSE()),"")</f>
        <v>Monitorear próximo vencimiento</v>
      </c>
    </row>
    <row r="155" spans="1:19">
      <c r="A155" t="str" cm="1">
        <f t="array" ref="A155">IFERROR(INDEX(_xlfn._xlws.FILTER(Maestro_Equipos!$A$4:$A$247,Maestro_Equipos!$A$4:$A$247&lt;&gt;""),ROWS($A$4:A155)),"")</f>
        <v>VD-120</v>
      </c>
      <c r="B155" t="str">
        <f>IFERROR(_xlfn.XLOOKUP($A155,Maestro_Equipos!$A$4:$A$247,Maestro_Equipos!$B$4:$B$247,""),"")</f>
        <v>Furgon</v>
      </c>
      <c r="C155" t="str">
        <f>IFERROR(_xlfn.XLOOKUP($A155,Maestro_Equipos!$A$4:$A$247,Maestro_Equipos!$C$4:$C$247,""),"")</f>
        <v>Vehículos Livianos</v>
      </c>
      <c r="D155" t="str">
        <f>IFERROR(_xlfn.XLOOKUP($A155,Maestro_Equipos!$A:$A,Maestro_Equipos!$I:$I,""),"")</f>
        <v>KM</v>
      </c>
      <c r="E155">
        <f>IFERROR(IF($D155="KM",_xlfn.XLOOKUP($A155,Maestro_Equipos!$A:$A,Maestro_Equipos!$N:$N,""),_xlfn.XLOOKUP($A155,Maestro_Equipos!$A:$A,Maestro_Equipos!$M:$M,"")),"")</f>
        <v>70545</v>
      </c>
      <c r="F155">
        <f>IFERROR(_xlfn.XLOOKUP($A155,Maestro_Equipos!$A:$A,Maestro_Equipos!$R:$R,"")+_xlfn.XLOOKUP($A155,Maestro_Equipos!$A:$A,Maestro_Equipos!$J:$J,""),"")</f>
        <v>79677</v>
      </c>
      <c r="G155">
        <f>IFERROR(_xlfn.XLOOKUP($A155,Maestro_Equipos!$A:$A,Maestro_Equipos!$K:$K,""),"")</f>
        <v>145.19999999999999</v>
      </c>
      <c r="H155">
        <f t="shared" si="12"/>
        <v>63</v>
      </c>
      <c r="I155" s="41">
        <f t="shared" ca="1" si="13"/>
        <v>46208</v>
      </c>
      <c r="J155" s="5" t="str">
        <f>IFERROR(INDEX(Maestro_Equipos!$V$4:$V$247,MATCH($A155,Maestro_Equipos!$A$4:$A$247,0)),"")</f>
        <v>Operativo</v>
      </c>
      <c r="K155" s="37">
        <f>IFERROR(
   SUMIFS(Mantenciones!$I:$I,Mantenciones!$B:$B,$A155)
 + SUMIFS('Compras PM'!$F:$F,'Compras PM'!$C:$C,$A155),0)</f>
        <v>24399.973999999998</v>
      </c>
      <c r="L155" s="30" t="str">
        <f t="shared" si="14"/>
        <v>BAJA</v>
      </c>
      <c r="M155" s="58" cm="1">
        <f t="array" ref="M155">IFERROR(_xlfn.AGGREGATE(14,6,Mantenciones!$A$2:$A$9997/(Mantenciones!$B$2:$B$9997=$A155),1),"")</f>
        <v>46132</v>
      </c>
      <c r="N155" s="31" cm="1">
        <f t="array" ref="N155">IFERROR(_xlfn.AGGREGATE(14,6,'Compras PM'!$A$4:$A$10014/('Compras PM'!$C$4:$C$10014=$A155),1),"")</f>
        <v>46118</v>
      </c>
      <c r="O155" s="31">
        <f>IFERROR(VLOOKUP($A155,Maestro_Equipos!$A$4:$AG$247,27,FALSE()),"")</f>
        <v>46072</v>
      </c>
      <c r="P155" s="32">
        <f t="shared" ca="1" si="15"/>
        <v>14</v>
      </c>
      <c r="Q155" s="32">
        <f t="shared" ca="1" si="16"/>
        <v>60</v>
      </c>
      <c r="R155" s="30" t="str">
        <f t="shared" si="17"/>
        <v>REALIZADA</v>
      </c>
      <c r="S155" s="33" t="str">
        <f>IFERROR(VLOOKUP($A155,Maestro_Equipos!$A$4:$AG$247,33,FALSE()),"")</f>
        <v>Monitorear próximo vencimiento</v>
      </c>
    </row>
    <row r="156" spans="1:19">
      <c r="A156" t="str" cm="1">
        <f t="array" ref="A156">IFERROR(INDEX(_xlfn._xlws.FILTER(Maestro_Equipos!$A$4:$A$247,Maestro_Equipos!$A$4:$A$247&lt;&gt;""),ROWS($A$4:A156)),"")</f>
        <v>VD-115</v>
      </c>
      <c r="B156" t="str">
        <f>IFERROR(_xlfn.XLOOKUP($A156,Maestro_Equipos!$A$4:$A$247,Maestro_Equipos!$B$4:$B$247,""),"")</f>
        <v>Furgon</v>
      </c>
      <c r="C156" t="str">
        <f>IFERROR(_xlfn.XLOOKUP($A156,Maestro_Equipos!$A$4:$A$247,Maestro_Equipos!$C$4:$C$247,""),"")</f>
        <v>Vehículos Livianos</v>
      </c>
      <c r="D156" t="str">
        <f>IFERROR(_xlfn.XLOOKUP($A156,Maestro_Equipos!$A:$A,Maestro_Equipos!$I:$I,""),"")</f>
        <v>KM</v>
      </c>
      <c r="E156">
        <f>IFERROR(IF($D156="KM",_xlfn.XLOOKUP($A156,Maestro_Equipos!$A:$A,Maestro_Equipos!$N:$N,""),_xlfn.XLOOKUP($A156,Maestro_Equipos!$A:$A,Maestro_Equipos!$M:$M,"")),"")</f>
        <v>105494</v>
      </c>
      <c r="F156">
        <f>IFERROR(_xlfn.XLOOKUP($A156,Maestro_Equipos!$A:$A,Maestro_Equipos!$R:$R,"")+_xlfn.XLOOKUP($A156,Maestro_Equipos!$A:$A,Maestro_Equipos!$J:$J,""),"")</f>
        <v>114090</v>
      </c>
      <c r="G156">
        <f>IFERROR(_xlfn.XLOOKUP($A156,Maestro_Equipos!$A:$A,Maestro_Equipos!$K:$K,""),"")</f>
        <v>391.4</v>
      </c>
      <c r="H156">
        <f t="shared" si="12"/>
        <v>22</v>
      </c>
      <c r="I156" s="41">
        <f t="shared" ca="1" si="13"/>
        <v>46167</v>
      </c>
      <c r="J156" s="5" t="str">
        <f>IFERROR(INDEX(Maestro_Equipos!$V$4:$V$247,MATCH($A156,Maestro_Equipos!$A$4:$A$247,0)),"")</f>
        <v>Operativo</v>
      </c>
      <c r="K156" s="37">
        <f>IFERROR(
   SUMIFS(Mantenciones!$I:$I,Mantenciones!$B:$B,$A156)
 + SUMIFS('Compras PM'!$F:$F,'Compras PM'!$C:$C,$A156),0)</f>
        <v>24399.973999999998</v>
      </c>
      <c r="L156" s="30" t="str">
        <f t="shared" si="14"/>
        <v>MEDIA</v>
      </c>
      <c r="M156" s="58" cm="1">
        <f t="array" ref="M156">IFERROR(_xlfn.AGGREGATE(14,6,Mantenciones!$A$2:$A$9997/(Mantenciones!$B$2:$B$9997=$A156),1),"")</f>
        <v>46121</v>
      </c>
      <c r="N156" s="31" cm="1">
        <f t="array" ref="N156">IFERROR(_xlfn.AGGREGATE(14,6,'Compras PM'!$A$4:$A$10014/('Compras PM'!$C$4:$C$10014=$A156),1),"")</f>
        <v>46118.408281215299</v>
      </c>
      <c r="O156" s="31">
        <f>IFERROR(VLOOKUP($A156,Maestro_Equipos!$A$4:$AG$247,27,FALSE()),"")</f>
        <v>46119</v>
      </c>
      <c r="P156" s="32">
        <f t="shared" ca="1" si="15"/>
        <v>2.5917187847007881</v>
      </c>
      <c r="Q156" s="32">
        <f t="shared" ca="1" si="16"/>
        <v>2</v>
      </c>
      <c r="R156" s="30" t="str">
        <f t="shared" si="17"/>
        <v>REALIZADA</v>
      </c>
      <c r="S156" s="33" t="str">
        <f>IFERROR(VLOOKUP($A156,Maestro_Equipos!$A$4:$AG$247,33,FALSE()),"")</f>
        <v>Monitorear próximo vencimiento</v>
      </c>
    </row>
    <row r="157" spans="1:19">
      <c r="A157" t="str" cm="1">
        <f t="array" ref="A157">IFERROR(INDEX(_xlfn._xlws.FILTER(Maestro_Equipos!$A$4:$A$247,Maestro_Equipos!$A$4:$A$247&lt;&gt;""),ROWS($A$4:A157)),"")</f>
        <v>VD-131</v>
      </c>
      <c r="B157" t="str">
        <f>IFERROR(_xlfn.XLOOKUP($A157,Maestro_Equipos!$A$4:$A$247,Maestro_Equipos!$B$4:$B$247,""),"")</f>
        <v>Camioneta</v>
      </c>
      <c r="C157" t="str">
        <f>IFERROR(_xlfn.XLOOKUP($A157,Maestro_Equipos!$A$4:$A$247,Maestro_Equipos!$C$4:$C$247,""),"")</f>
        <v>Vehículos Livianos</v>
      </c>
      <c r="D157" t="str">
        <f>IFERROR(_xlfn.XLOOKUP($A157,Maestro_Equipos!$A:$A,Maestro_Equipos!$I:$I,""),"")</f>
        <v>KM</v>
      </c>
      <c r="E157">
        <f>IFERROR(IF($D157="KM",_xlfn.XLOOKUP($A157,Maestro_Equipos!$A:$A,Maestro_Equipos!$N:$N,""),_xlfn.XLOOKUP($A157,Maestro_Equipos!$A:$A,Maestro_Equipos!$M:$M,"")),"")</f>
        <v>99814</v>
      </c>
      <c r="F157">
        <f>IFERROR(_xlfn.XLOOKUP($A157,Maestro_Equipos!$A:$A,Maestro_Equipos!$R:$R,"")+_xlfn.XLOOKUP($A157,Maestro_Equipos!$A:$A,Maestro_Equipos!$J:$J,""),"")</f>
        <v>115657</v>
      </c>
      <c r="G157">
        <f>IFERROR(_xlfn.XLOOKUP($A157,Maestro_Equipos!$A:$A,Maestro_Equipos!$K:$K,""),"")</f>
        <v>154.5</v>
      </c>
      <c r="H157">
        <f t="shared" si="12"/>
        <v>103</v>
      </c>
      <c r="I157" s="41">
        <f t="shared" ca="1" si="13"/>
        <v>46248</v>
      </c>
      <c r="J157" s="5" t="str">
        <f>IFERROR(INDEX(Maestro_Equipos!$V$4:$V$247,MATCH($A157,Maestro_Equipos!$A$4:$A$247,0)),"")</f>
        <v>Operativo</v>
      </c>
      <c r="K157" s="37">
        <f>IFERROR(
   SUMIFS(Mantenciones!$I:$I,Mantenciones!$B:$B,$A157)
 + SUMIFS('Compras PM'!$F:$F,'Compras PM'!$C:$C,$A157),0)</f>
        <v>725040</v>
      </c>
      <c r="L157" s="30" t="str">
        <f t="shared" si="14"/>
        <v>BAJA</v>
      </c>
      <c r="M157" s="58" cm="1">
        <f t="array" ref="M157">IFERROR(_xlfn.AGGREGATE(14,6,Mantenciones!$A$2:$A$9997/(Mantenciones!$B$2:$B$9997=$A157),1),"")</f>
        <v>46135</v>
      </c>
      <c r="N157" s="31" t="str" cm="1">
        <f t="array" ref="N157">IFERROR(_xlfn.AGGREGATE(14,6,'Compras PM'!$A$4:$A$10014/('Compras PM'!$C$4:$C$10014=$A157),1),"")</f>
        <v/>
      </c>
      <c r="O157" s="31">
        <f>IFERROR(VLOOKUP($A157,Maestro_Equipos!$A$4:$AG$247,27,FALSE()),"")</f>
        <v>46135</v>
      </c>
      <c r="P157" s="32" t="str">
        <f t="shared" ca="1" si="15"/>
        <v/>
      </c>
      <c r="Q157" s="32">
        <f t="shared" ca="1" si="16"/>
        <v>0</v>
      </c>
      <c r="R157" s="30" t="str">
        <f t="shared" si="17"/>
        <v>REALIZADA</v>
      </c>
      <c r="S157" s="33" t="str">
        <f>IFERROR(VLOOKUP($A157,Maestro_Equipos!$A$4:$AG$247,33,FALSE()),"")</f>
        <v>Monitorear próximo vencimiento</v>
      </c>
    </row>
    <row r="158" spans="1:19">
      <c r="A158" t="str" cm="1">
        <f t="array" ref="A158">IFERROR(INDEX(_xlfn._xlws.FILTER(Maestro_Equipos!$A$4:$A$247,Maestro_Equipos!$A$4:$A$247&lt;&gt;""),ROWS($A$4:A158)),"")</f>
        <v>MD-104</v>
      </c>
      <c r="B158" t="str">
        <f>IFERROR(_xlfn.XLOOKUP($A158,Maestro_Equipos!$A$4:$A$247,Maestro_Equipos!$B$4:$B$247,""),"")</f>
        <v>Excavadora</v>
      </c>
      <c r="C158" t="str">
        <f>IFERROR(_xlfn.XLOOKUP($A158,Maestro_Equipos!$A$4:$A$247,Maestro_Equipos!$C$4:$C$247,""),"")</f>
        <v>Maquinaria Pesada</v>
      </c>
      <c r="D158" t="str">
        <f>IFERROR(_xlfn.XLOOKUP($A158,Maestro_Equipos!$A:$A,Maestro_Equipos!$I:$I,""),"")</f>
        <v>HORAS</v>
      </c>
      <c r="E158">
        <f>IFERROR(IF($D158="KM",_xlfn.XLOOKUP($A158,Maestro_Equipos!$A:$A,Maestro_Equipos!$N:$N,""),_xlfn.XLOOKUP($A158,Maestro_Equipos!$A:$A,Maestro_Equipos!$M:$M,"")),"")</f>
        <v>1474</v>
      </c>
      <c r="F158">
        <f>IFERROR(_xlfn.XLOOKUP($A158,Maestro_Equipos!$A:$A,Maestro_Equipos!$R:$R,"")+_xlfn.XLOOKUP($A158,Maestro_Equipos!$A:$A,Maestro_Equipos!$J:$J,""),"")</f>
        <v>1790</v>
      </c>
      <c r="G158">
        <f>IFERROR(_xlfn.XLOOKUP($A158,Maestro_Equipos!$A:$A,Maestro_Equipos!$K:$K,""),"")</f>
        <v>3.5</v>
      </c>
      <c r="H158">
        <f t="shared" si="12"/>
        <v>90</v>
      </c>
      <c r="I158" s="41">
        <f t="shared" ca="1" si="13"/>
        <v>46235</v>
      </c>
      <c r="J158" s="5" t="str">
        <f>IFERROR(INDEX(Maestro_Equipos!$V$4:$V$247,MATCH($A158,Maestro_Equipos!$A$4:$A$247,0)),"")</f>
        <v>Operativo</v>
      </c>
      <c r="K158" s="37">
        <f>IFERROR(
   SUMIFS(Mantenciones!$I:$I,Mantenciones!$B:$B,$A158)
 + SUMIFS('Compras PM'!$F:$F,'Compras PM'!$C:$C,$A158),0)</f>
        <v>397094.67</v>
      </c>
      <c r="L158" s="30" t="str">
        <f t="shared" si="14"/>
        <v>BAJA</v>
      </c>
      <c r="M158" s="58" cm="1">
        <f t="array" ref="M158">IFERROR(_xlfn.AGGREGATE(14,6,Mantenciones!$A$2:$A$9997/(Mantenciones!$B$2:$B$9997=$A158),1),"")</f>
        <v>46120</v>
      </c>
      <c r="N158" s="31" cm="1">
        <f t="array" ref="N158">IFERROR(_xlfn.AGGREGATE(14,6,'Compras PM'!$A$4:$A$10014/('Compras PM'!$C$4:$C$10014=$A158),1),"")</f>
        <v>46093.632126932898</v>
      </c>
      <c r="O158" s="31">
        <f>IFERROR(VLOOKUP($A158,Maestro_Equipos!$A$4:$AG$247,27,FALSE()),"")</f>
        <v>46120</v>
      </c>
      <c r="P158" s="32">
        <f t="shared" ca="1" si="15"/>
        <v>26.367873067101755</v>
      </c>
      <c r="Q158" s="32">
        <f t="shared" ca="1" si="16"/>
        <v>0</v>
      </c>
      <c r="R158" s="30" t="str">
        <f t="shared" si="17"/>
        <v>REALIZADA</v>
      </c>
      <c r="S158" s="33" t="str">
        <f>IFERROR(VLOOKUP($A158,Maestro_Equipos!$A$4:$AG$247,33,FALSE()),"")</f>
        <v>Monitorear próximo vencimiento</v>
      </c>
    </row>
    <row r="159" spans="1:19">
      <c r="A159" t="str" cm="1">
        <f t="array" ref="A159">IFERROR(INDEX(_xlfn._xlws.FILTER(Maestro_Equipos!$A$4:$A$247,Maestro_Equipos!$A$4:$A$247&lt;&gt;""),ROWS($A$4:A159)),"")</f>
        <v>VD-76</v>
      </c>
      <c r="B159" t="str">
        <f>IFERROR(_xlfn.XLOOKUP($A159,Maestro_Equipos!$A$4:$A$247,Maestro_Equipos!$B$4:$B$247,""),"")</f>
        <v>Camioneta</v>
      </c>
      <c r="C159" t="str">
        <f>IFERROR(_xlfn.XLOOKUP($A159,Maestro_Equipos!$A$4:$A$247,Maestro_Equipos!$C$4:$C$247,""),"")</f>
        <v>Vehículos Livianos</v>
      </c>
      <c r="D159" t="str">
        <f>IFERROR(_xlfn.XLOOKUP($A159,Maestro_Equipos!$A:$A,Maestro_Equipos!$I:$I,""),"")</f>
        <v>KM</v>
      </c>
      <c r="E159">
        <f>IFERROR(IF($D159="KM",_xlfn.XLOOKUP($A159,Maestro_Equipos!$A:$A,Maestro_Equipos!$N:$N,""),_xlfn.XLOOKUP($A159,Maestro_Equipos!$A:$A,Maestro_Equipos!$M:$M,"")),"")</f>
        <v>170476</v>
      </c>
      <c r="F159">
        <f>IFERROR(_xlfn.XLOOKUP($A159,Maestro_Equipos!$A:$A,Maestro_Equipos!$R:$R,"")+_xlfn.XLOOKUP($A159,Maestro_Equipos!$A:$A,Maestro_Equipos!$J:$J,""),"")</f>
        <v>172018</v>
      </c>
      <c r="G159">
        <f>IFERROR(_xlfn.XLOOKUP($A159,Maestro_Equipos!$A:$A,Maestro_Equipos!$K:$K,""),"")</f>
        <v>135.30000000000001</v>
      </c>
      <c r="H159">
        <f t="shared" si="12"/>
        <v>11</v>
      </c>
      <c r="I159" s="41">
        <f t="shared" ca="1" si="13"/>
        <v>46156</v>
      </c>
      <c r="J159" s="5" t="str">
        <f>IFERROR(INDEX(Maestro_Equipos!$V$4:$V$247,MATCH($A159,Maestro_Equipos!$A$4:$A$247,0)),"")</f>
        <v>Operativo</v>
      </c>
      <c r="K159" s="37">
        <f>IFERROR(
   SUMIFS(Mantenciones!$I:$I,Mantenciones!$B:$B,$A159)
 + SUMIFS('Compras PM'!$F:$F,'Compras PM'!$C:$C,$A159),0)</f>
        <v>0</v>
      </c>
      <c r="L159" s="30" t="str">
        <f t="shared" si="14"/>
        <v>ALTA</v>
      </c>
      <c r="M159" s="58" cm="1">
        <f t="array" ref="M159">IFERROR(_xlfn.AGGREGATE(14,6,Mantenciones!$A$2:$A$9997/(Mantenciones!$B$2:$B$9997=$A159),1),"")</f>
        <v>46036</v>
      </c>
      <c r="N159" s="31" t="str" cm="1">
        <f t="array" ref="N159">IFERROR(_xlfn.AGGREGATE(14,6,'Compras PM'!$A$4:$A$10014/('Compras PM'!$C$4:$C$10014=$A159),1),"")</f>
        <v/>
      </c>
      <c r="O159" s="31">
        <f>IFERROR(VLOOKUP($A159,Maestro_Equipos!$A$4:$AG$247,27,FALSE()),"")</f>
        <v>46129</v>
      </c>
      <c r="P159" s="32" t="str">
        <f t="shared" ca="1" si="15"/>
        <v/>
      </c>
      <c r="Q159" s="32">
        <f t="shared" ca="1" si="16"/>
        <v>16</v>
      </c>
      <c r="R159" s="30" t="str">
        <f t="shared" si="17"/>
        <v>PENDIENTE</v>
      </c>
      <c r="S159" s="33" t="str">
        <f>IFERROR(VLOOKUP($A159,Maestro_Equipos!$A$4:$AG$247,33,FALSE()),"")</f>
        <v>Monitorear próximo vencimiento</v>
      </c>
    </row>
    <row r="160" spans="1:19">
      <c r="A160" t="str" cm="1">
        <f t="array" ref="A160">IFERROR(INDEX(_xlfn._xlws.FILTER(Maestro_Equipos!$A$4:$A$247,Maestro_Equipos!$A$4:$A$247&lt;&gt;""),ROWS($A$4:A160)),"")</f>
        <v>VD-129</v>
      </c>
      <c r="B160" t="str">
        <f>IFERROR(_xlfn.XLOOKUP($A160,Maestro_Equipos!$A$4:$A$247,Maestro_Equipos!$B$4:$B$247,""),"")</f>
        <v>Camioneta</v>
      </c>
      <c r="C160" t="str">
        <f>IFERROR(_xlfn.XLOOKUP($A160,Maestro_Equipos!$A$4:$A$247,Maestro_Equipos!$C$4:$C$247,""),"")</f>
        <v>Vehículos Livianos</v>
      </c>
      <c r="D160" t="str">
        <f>IFERROR(_xlfn.XLOOKUP($A160,Maestro_Equipos!$A:$A,Maestro_Equipos!$I:$I,""),"")</f>
        <v>KM</v>
      </c>
      <c r="E160">
        <f>IFERROR(IF($D160="KM",_xlfn.XLOOKUP($A160,Maestro_Equipos!$A:$A,Maestro_Equipos!$N:$N,""),_xlfn.XLOOKUP($A160,Maestro_Equipos!$A:$A,Maestro_Equipos!$M:$M,"")),"")</f>
        <v>81234</v>
      </c>
      <c r="F160">
        <f>IFERROR(_xlfn.XLOOKUP($A160,Maestro_Equipos!$A:$A,Maestro_Equipos!$R:$R,"")+_xlfn.XLOOKUP($A160,Maestro_Equipos!$A:$A,Maestro_Equipos!$J:$J,""),"")</f>
        <v>80636</v>
      </c>
      <c r="G160">
        <f>IFERROR(_xlfn.XLOOKUP($A160,Maestro_Equipos!$A:$A,Maestro_Equipos!$K:$K,""),"")</f>
        <v>129.6</v>
      </c>
      <c r="H160">
        <f t="shared" si="12"/>
        <v>-5</v>
      </c>
      <c r="I160" s="41">
        <f t="shared" ca="1" si="13"/>
        <v>46140</v>
      </c>
      <c r="J160" s="5" t="str">
        <f>IFERROR(INDEX(Maestro_Equipos!$V$4:$V$247,MATCH($A160,Maestro_Equipos!$A$4:$A$247,0)),"")</f>
        <v>Operativo</v>
      </c>
      <c r="K160" s="37">
        <f>IFERROR(
   SUMIFS(Mantenciones!$I:$I,Mantenciones!$B:$B,$A160)
 + SUMIFS('Compras PM'!$F:$F,'Compras PM'!$C:$C,$A160),0)</f>
        <v>573317</v>
      </c>
      <c r="L160" s="30" t="str">
        <f t="shared" si="14"/>
        <v>VENCIDA</v>
      </c>
      <c r="M160" s="58" cm="1">
        <f t="array" ref="M160">IFERROR(_xlfn.AGGREGATE(14,6,Mantenciones!$A$2:$A$9997/(Mantenciones!$B$2:$B$9997=$A160),1),"")</f>
        <v>46020</v>
      </c>
      <c r="N160" s="31" t="str" cm="1">
        <f t="array" ref="N160">IFERROR(_xlfn.AGGREGATE(14,6,'Compras PM'!$A$4:$A$10014/('Compras PM'!$C$4:$C$10014=$A160),1),"")</f>
        <v/>
      </c>
      <c r="O160" s="31" t="str">
        <f>IFERROR(VLOOKUP($A160,Maestro_Equipos!$A$4:$AG$247,27,FALSE()),"")</f>
        <v/>
      </c>
      <c r="P160" s="32" t="str">
        <f t="shared" ca="1" si="15"/>
        <v/>
      </c>
      <c r="Q160" s="32" t="str">
        <f t="shared" ca="1" si="16"/>
        <v/>
      </c>
      <c r="R160" s="30" t="str">
        <f t="shared" si="17"/>
        <v>SIN SALIDA</v>
      </c>
      <c r="S160" s="33" t="str">
        <f>IFERROR(VLOOKUP($A160,Maestro_Equipos!$A$4:$AG$247,33,FALSE()),"")</f>
        <v>Monitorear próximo vencimiento</v>
      </c>
    </row>
    <row r="161" spans="1:19">
      <c r="A161" t="str" cm="1">
        <f t="array" ref="A161">IFERROR(INDEX(_xlfn._xlws.FILTER(Maestro_Equipos!$A$4:$A$247,Maestro_Equipos!$A$4:$A$247&lt;&gt;""),ROWS($A$4:A161)),"")</f>
        <v>ED-63</v>
      </c>
      <c r="B161" t="str">
        <f>IFERROR(_xlfn.XLOOKUP($A161,Maestro_Equipos!$A$4:$A$247,Maestro_Equipos!$B$4:$B$247,""),"")</f>
        <v>Barredora</v>
      </c>
      <c r="C161" t="str">
        <f>IFERROR(_xlfn.XLOOKUP($A161,Maestro_Equipos!$A$4:$A$247,Maestro_Equipos!$C$4:$C$247,""),"")</f>
        <v>Maquinaria Pesada</v>
      </c>
      <c r="D161" t="str">
        <f>IFERROR(_xlfn.XLOOKUP($A161,Maestro_Equipos!$A:$A,Maestro_Equipos!$I:$I,""),"")</f>
        <v>HORAS</v>
      </c>
      <c r="E161">
        <f>IFERROR(IF($D161="KM",_xlfn.XLOOKUP($A161,Maestro_Equipos!$A:$A,Maestro_Equipos!$N:$N,""),_xlfn.XLOOKUP($A161,Maestro_Equipos!$A:$A,Maestro_Equipos!$M:$M,"")),"")</f>
        <v>210</v>
      </c>
      <c r="F161" t="str">
        <f>IFERROR(_xlfn.XLOOKUP($A161,Maestro_Equipos!$A:$A,Maestro_Equipos!$R:$R,"")+_xlfn.XLOOKUP($A161,Maestro_Equipos!$A:$A,Maestro_Equipos!$J:$J,""),"")</f>
        <v/>
      </c>
      <c r="G161">
        <f>IFERROR(_xlfn.XLOOKUP($A161,Maestro_Equipos!$A:$A,Maestro_Equipos!$K:$K,""),"")</f>
        <v>1.6</v>
      </c>
      <c r="H161" t="str">
        <f t="shared" si="12"/>
        <v/>
      </c>
      <c r="I161" s="41" t="str">
        <f t="shared" ca="1" si="13"/>
        <v/>
      </c>
      <c r="J161" s="5" t="str">
        <f>IFERROR(INDEX(Maestro_Equipos!$V$4:$V$247,MATCH($A161,Maestro_Equipos!$A$4:$A$247,0)),"")</f>
        <v>Fuera de Servicio</v>
      </c>
      <c r="K161" s="37">
        <f>IFERROR(
   SUMIFS(Mantenciones!$I:$I,Mantenciones!$B:$B,$A161)
 + SUMIFS('Compras PM'!$F:$F,'Compras PM'!$C:$C,$A161),0)</f>
        <v>126877.8</v>
      </c>
      <c r="L161" s="30" t="str">
        <f t="shared" si="14"/>
        <v>NO PROGRAMAR</v>
      </c>
      <c r="M161" s="58" t="str" cm="1">
        <f t="array" ref="M161">IFERROR(_xlfn.AGGREGATE(14,6,Mantenciones!$A$2:$A$9997/(Mantenciones!$B$2:$B$9997=$A161),1),"")</f>
        <v/>
      </c>
      <c r="N161" s="31" cm="1">
        <f t="array" ref="N161">IFERROR(_xlfn.AGGREGATE(14,6,'Compras PM'!$A$4:$A$10014/('Compras PM'!$C$4:$C$10014=$A161),1),"")</f>
        <v>46105.635110648102</v>
      </c>
      <c r="O161" s="31" t="str">
        <f>IFERROR(VLOOKUP($A161,Maestro_Equipos!$A$4:$AG$247,27,FALSE()),"")</f>
        <v/>
      </c>
      <c r="P161" s="32">
        <f t="shared" ca="1" si="15"/>
        <v>39.364889351898455</v>
      </c>
      <c r="Q161" s="32" t="str">
        <f t="shared" ca="1" si="16"/>
        <v/>
      </c>
      <c r="R161" s="30" t="str">
        <f t="shared" si="17"/>
        <v>SIN SALIDA</v>
      </c>
      <c r="S161" s="33" t="str">
        <f>IFERROR(VLOOKUP($A161,Maestro_Equipos!$A$4:$AG$247,33,FALSE()),"")</f>
        <v>No programar compra</v>
      </c>
    </row>
    <row r="162" spans="1:19">
      <c r="A162" t="str" cm="1">
        <f t="array" ref="A162">IFERROR(INDEX(_xlfn._xlws.FILTER(Maestro_Equipos!$A$4:$A$247,Maestro_Equipos!$A$4:$A$247&lt;&gt;""),ROWS($A$4:A162)),"")</f>
        <v>VD-91</v>
      </c>
      <c r="B162" t="str">
        <f>IFERROR(_xlfn.XLOOKUP($A162,Maestro_Equipos!$A$4:$A$247,Maestro_Equipos!$B$4:$B$247,""),"")</f>
        <v>Camioneta</v>
      </c>
      <c r="C162" t="str">
        <f>IFERROR(_xlfn.XLOOKUP($A162,Maestro_Equipos!$A$4:$A$247,Maestro_Equipos!$C$4:$C$247,""),"")</f>
        <v>Vehículos Livianos</v>
      </c>
      <c r="D162" t="str">
        <f>IFERROR(_xlfn.XLOOKUP($A162,Maestro_Equipos!$A:$A,Maestro_Equipos!$I:$I,""),"")</f>
        <v>KM</v>
      </c>
      <c r="E162">
        <f>IFERROR(IF($D162="KM",_xlfn.XLOOKUP($A162,Maestro_Equipos!$A:$A,Maestro_Equipos!$N:$N,""),_xlfn.XLOOKUP($A162,Maestro_Equipos!$A:$A,Maestro_Equipos!$M:$M,"")),"")</f>
        <v>114573</v>
      </c>
      <c r="F162">
        <f>IFERROR(_xlfn.XLOOKUP($A162,Maestro_Equipos!$A:$A,Maestro_Equipos!$R:$R,"")+_xlfn.XLOOKUP($A162,Maestro_Equipos!$A:$A,Maestro_Equipos!$J:$J,""),"")</f>
        <v>120667</v>
      </c>
      <c r="G162">
        <f>IFERROR(_xlfn.XLOOKUP($A162,Maestro_Equipos!$A:$A,Maestro_Equipos!$K:$K,""),"")</f>
        <v>263.10000000000002</v>
      </c>
      <c r="H162">
        <f t="shared" si="12"/>
        <v>23</v>
      </c>
      <c r="I162" s="41">
        <f t="shared" ca="1" si="13"/>
        <v>46168</v>
      </c>
      <c r="J162" s="5" t="str">
        <f>IFERROR(INDEX(Maestro_Equipos!$V$4:$V$247,MATCH($A162,Maestro_Equipos!$A$4:$A$247,0)),"")</f>
        <v>Operativo</v>
      </c>
      <c r="K162" s="37">
        <f>IFERROR(
   SUMIFS(Mantenciones!$I:$I,Mantenciones!$B:$B,$A162)
 + SUMIFS('Compras PM'!$F:$F,'Compras PM'!$C:$C,$A162),0)</f>
        <v>24499.97</v>
      </c>
      <c r="L162" s="30" t="str">
        <f t="shared" si="14"/>
        <v>MEDIA</v>
      </c>
      <c r="M162" s="58" cm="1">
        <f t="array" ref="M162">IFERROR(_xlfn.AGGREGATE(14,6,Mantenciones!$A$2:$A$9997/(Mantenciones!$B$2:$B$9997=$A162),1),"")</f>
        <v>46035</v>
      </c>
      <c r="N162" s="31" cm="1">
        <f t="array" ref="N162">IFERROR(_xlfn.AGGREGATE(14,6,'Compras PM'!$A$4:$A$10014/('Compras PM'!$C$4:$C$10014=$A162),1),"")</f>
        <v>46127</v>
      </c>
      <c r="O162" s="31" t="str">
        <f>IFERROR(VLOOKUP($A162,Maestro_Equipos!$A$4:$AG$247,27,FALSE()),"")</f>
        <v/>
      </c>
      <c r="P162" s="32">
        <f t="shared" ca="1" si="15"/>
        <v>18</v>
      </c>
      <c r="Q162" s="32" t="str">
        <f t="shared" ca="1" si="16"/>
        <v/>
      </c>
      <c r="R162" s="30" t="str">
        <f t="shared" si="17"/>
        <v>SIN SALIDA</v>
      </c>
      <c r="S162" s="33" t="str">
        <f>IFERROR(VLOOKUP($A162,Maestro_Equipos!$A$4:$AG$247,33,FALSE()),"")</f>
        <v>Hacer seguimiento al taller y cerrar report</v>
      </c>
    </row>
    <row r="163" spans="1:19">
      <c r="A163" t="str" cm="1">
        <f t="array" ref="A163">IFERROR(INDEX(_xlfn._xlws.FILTER(Maestro_Equipos!$A$4:$A$247,Maestro_Equipos!$A$4:$A$247&lt;&gt;""),ROWS($A$4:A163)),"")</f>
        <v>VD-116</v>
      </c>
      <c r="B163" t="str">
        <f>IFERROR(_xlfn.XLOOKUP($A163,Maestro_Equipos!$A$4:$A$247,Maestro_Equipos!$B$4:$B$247,""),"")</f>
        <v>Furgon</v>
      </c>
      <c r="C163" t="str">
        <f>IFERROR(_xlfn.XLOOKUP($A163,Maestro_Equipos!$A$4:$A$247,Maestro_Equipos!$C$4:$C$247,""),"")</f>
        <v>Vehículos Livianos</v>
      </c>
      <c r="D163" t="str">
        <f>IFERROR(_xlfn.XLOOKUP($A163,Maestro_Equipos!$A:$A,Maestro_Equipos!$I:$I,""),"")</f>
        <v>KM</v>
      </c>
      <c r="E163">
        <f>IFERROR(IF($D163="KM",_xlfn.XLOOKUP($A163,Maestro_Equipos!$A:$A,Maestro_Equipos!$N:$N,""),_xlfn.XLOOKUP($A163,Maestro_Equipos!$A:$A,Maestro_Equipos!$M:$M,"")),"")</f>
        <v>67530</v>
      </c>
      <c r="F163">
        <f>IFERROR(_xlfn.XLOOKUP($A163,Maestro_Equipos!$A:$A,Maestro_Equipos!$R:$R,"")+_xlfn.XLOOKUP($A163,Maestro_Equipos!$A:$A,Maestro_Equipos!$J:$J,""),"")</f>
        <v>83245</v>
      </c>
      <c r="G163">
        <f>IFERROR(_xlfn.XLOOKUP($A163,Maestro_Equipos!$A:$A,Maestro_Equipos!$K:$K,""),"")</f>
        <v>183.2</v>
      </c>
      <c r="H163">
        <f t="shared" si="12"/>
        <v>86</v>
      </c>
      <c r="I163" s="41">
        <f t="shared" ca="1" si="13"/>
        <v>46231</v>
      </c>
      <c r="J163" s="5" t="str">
        <f>IFERROR(INDEX(Maestro_Equipos!$V$4:$V$247,MATCH($A163,Maestro_Equipos!$A$4:$A$247,0)),"")</f>
        <v>Operativo</v>
      </c>
      <c r="K163" s="37">
        <f>IFERROR(
   SUMIFS(Mantenciones!$I:$I,Mantenciones!$B:$B,$A163)
 + SUMIFS('Compras PM'!$F:$F,'Compras PM'!$C:$C,$A163),0)</f>
        <v>24399.973999999998</v>
      </c>
      <c r="L163" s="30" t="str">
        <f t="shared" si="14"/>
        <v>BAJA</v>
      </c>
      <c r="M163" s="58" cm="1">
        <f t="array" ref="M163">IFERROR(_xlfn.AGGREGATE(14,6,Mantenciones!$A$2:$A$9997/(Mantenciones!$B$2:$B$9997=$A163),1),"")</f>
        <v>46139</v>
      </c>
      <c r="N163" s="31" cm="1">
        <f t="array" ref="N163">IFERROR(_xlfn.AGGREGATE(14,6,'Compras PM'!$A$4:$A$10014/('Compras PM'!$C$4:$C$10014=$A163),1),"")</f>
        <v>46118.408281215299</v>
      </c>
      <c r="O163" s="31" t="str">
        <f>IFERROR(VLOOKUP($A163,Maestro_Equipos!$A$4:$AG$247,27,FALSE()),"")</f>
        <v/>
      </c>
      <c r="P163" s="32">
        <f t="shared" ca="1" si="15"/>
        <v>20.591718784700788</v>
      </c>
      <c r="Q163" s="32" t="str">
        <f t="shared" ca="1" si="16"/>
        <v/>
      </c>
      <c r="R163" s="30" t="str">
        <f t="shared" si="17"/>
        <v>SIN SALIDA</v>
      </c>
      <c r="S163" s="33" t="str">
        <f>IFERROR(VLOOKUP($A163,Maestro_Equipos!$A$4:$AG$247,33,FALSE()),"")</f>
        <v>Hacer seguimiento al taller y cerrar report</v>
      </c>
    </row>
    <row r="164" spans="1:19">
      <c r="A164" t="str" cm="1">
        <f t="array" ref="A164">IFERROR(INDEX(_xlfn._xlws.FILTER(Maestro_Equipos!$A$4:$A$247,Maestro_Equipos!$A$4:$A$247&lt;&gt;""),ROWS($A$4:A164)),"")</f>
        <v>CD-88</v>
      </c>
      <c r="B164" t="str">
        <f>IFERROR(_xlfn.XLOOKUP($A164,Maestro_Equipos!$A$4:$A$247,Maestro_Equipos!$B$4:$B$247,""),"")</f>
        <v>Camión Tolva</v>
      </c>
      <c r="C164" t="str">
        <f>IFERROR(_xlfn.XLOOKUP($A164,Maestro_Equipos!$A$4:$A$247,Maestro_Equipos!$C$4:$C$247,""),"")</f>
        <v>Camiones de Ruta</v>
      </c>
      <c r="D164" t="str">
        <f>IFERROR(_xlfn.XLOOKUP($A164,Maestro_Equipos!$A:$A,Maestro_Equipos!$I:$I,""),"")</f>
        <v>HORAS</v>
      </c>
      <c r="E164">
        <f>IFERROR(IF($D164="KM",_xlfn.XLOOKUP($A164,Maestro_Equipos!$A:$A,Maestro_Equipos!$N:$N,""),_xlfn.XLOOKUP($A164,Maestro_Equipos!$A:$A,Maestro_Equipos!$M:$M,"")),"")</f>
        <v>3508</v>
      </c>
      <c r="F164">
        <f>IFERROR(_xlfn.XLOOKUP($A164,Maestro_Equipos!$A:$A,Maestro_Equipos!$R:$R,"")+_xlfn.XLOOKUP($A164,Maestro_Equipos!$A:$A,Maestro_Equipos!$J:$J,""),"")</f>
        <v>2228</v>
      </c>
      <c r="G164">
        <f>IFERROR(_xlfn.XLOOKUP($A164,Maestro_Equipos!$A:$A,Maestro_Equipos!$K:$K,""),"")</f>
        <v>1.2</v>
      </c>
      <c r="H164">
        <f t="shared" si="12"/>
        <v>-1067</v>
      </c>
      <c r="I164" s="41">
        <f t="shared" ca="1" si="13"/>
        <v>45078</v>
      </c>
      <c r="J164" s="5" t="str">
        <f>IFERROR(INDEX(Maestro_Equipos!$V$4:$V$247,MATCH($A164,Maestro_Equipos!$A$4:$A$247,0)),"")</f>
        <v>Operativo</v>
      </c>
      <c r="K164" s="37">
        <f>IFERROR(
   SUMIFS(Mantenciones!$I:$I,Mantenciones!$B:$B,$A164)
 + SUMIFS('Compras PM'!$F:$F,'Compras PM'!$C:$C,$A164),0)</f>
        <v>465747.19589999999</v>
      </c>
      <c r="L164" s="30" t="str">
        <f t="shared" si="14"/>
        <v>VENCIDA</v>
      </c>
      <c r="M164" s="58" cm="1">
        <f t="array" ref="M164">IFERROR(_xlfn.AGGREGATE(14,6,Mantenciones!$A$2:$A$9997/(Mantenciones!$B$2:$B$9997=$A164),1),"")</f>
        <v>46083</v>
      </c>
      <c r="N164" s="31" cm="1">
        <f t="array" ref="N164">IFERROR(_xlfn.AGGREGATE(14,6,'Compras PM'!$A$4:$A$10014/('Compras PM'!$C$4:$C$10014=$A164),1),"")</f>
        <v>46093.460116550901</v>
      </c>
      <c r="O164" s="31">
        <f>IFERROR(VLOOKUP($A164,Maestro_Equipos!$A$4:$AG$247,27,FALSE()),"")</f>
        <v>46086</v>
      </c>
      <c r="P164" s="32">
        <f t="shared" ca="1" si="15"/>
        <v>51.539883449098852</v>
      </c>
      <c r="Q164" s="32">
        <f t="shared" ca="1" si="16"/>
        <v>59</v>
      </c>
      <c r="R164" s="30" t="str">
        <f t="shared" si="17"/>
        <v>PENDIENTE</v>
      </c>
      <c r="S164" s="33" t="str">
        <f>IFERROR(VLOOKUP($A164,Maestro_Equipos!$A$4:$AG$247,33,FALSE()),"")</f>
        <v>Monitorear próximo vencimiento</v>
      </c>
    </row>
    <row r="165" spans="1:19">
      <c r="A165" t="str" cm="1">
        <f t="array" ref="A165">IFERROR(INDEX(_xlfn._xlws.FILTER(Maestro_Equipos!$A$4:$A$247,Maestro_Equipos!$A$4:$A$247&lt;&gt;""),ROWS($A$4:A165)),"")</f>
        <v>MD-67</v>
      </c>
      <c r="B165" t="str">
        <f>IFERROR(_xlfn.XLOOKUP($A165,Maestro_Equipos!$A$4:$A$247,Maestro_Equipos!$B$4:$B$247,""),"")</f>
        <v>Rodillo</v>
      </c>
      <c r="C165" t="str">
        <f>IFERROR(_xlfn.XLOOKUP($A165,Maestro_Equipos!$A$4:$A$247,Maestro_Equipos!$C$4:$C$247,""),"")</f>
        <v>Maquinaria Pesada</v>
      </c>
      <c r="D165" t="str">
        <f>IFERROR(_xlfn.XLOOKUP($A165,Maestro_Equipos!$A:$A,Maestro_Equipos!$I:$I,""),"")</f>
        <v>HORAS</v>
      </c>
      <c r="E165">
        <f>IFERROR(IF($D165="KM",_xlfn.XLOOKUP($A165,Maestro_Equipos!$A:$A,Maestro_Equipos!$N:$N,""),_xlfn.XLOOKUP($A165,Maestro_Equipos!$A:$A,Maestro_Equipos!$M:$M,"")),"")</f>
        <v>3774</v>
      </c>
      <c r="F165">
        <f>IFERROR(_xlfn.XLOOKUP($A165,Maestro_Equipos!$A:$A,Maestro_Equipos!$R:$R,"")+_xlfn.XLOOKUP($A165,Maestro_Equipos!$A:$A,Maestro_Equipos!$J:$J,""),"")</f>
        <v>3995</v>
      </c>
      <c r="G165">
        <f>IFERROR(_xlfn.XLOOKUP($A165,Maestro_Equipos!$A:$A,Maestro_Equipos!$K:$K,""),"")</f>
        <v>1.7</v>
      </c>
      <c r="H165">
        <f t="shared" si="12"/>
        <v>130</v>
      </c>
      <c r="I165" s="41">
        <f t="shared" ca="1" si="13"/>
        <v>46275</v>
      </c>
      <c r="J165" s="5" t="str">
        <f>IFERROR(INDEX(Maestro_Equipos!$V$4:$V$247,MATCH($A165,Maestro_Equipos!$A$4:$A$247,0)),"")</f>
        <v>Operativo</v>
      </c>
      <c r="K165" s="37">
        <f>IFERROR(
   SUMIFS(Mantenciones!$I:$I,Mantenciones!$B:$B,$A165)
 + SUMIFS('Compras PM'!$F:$F,'Compras PM'!$C:$C,$A165),0)</f>
        <v>177476</v>
      </c>
      <c r="L165" s="30" t="str">
        <f t="shared" si="14"/>
        <v>BAJA</v>
      </c>
      <c r="M165" s="58" cm="1">
        <f t="array" ref="M165">IFERROR(_xlfn.AGGREGATE(14,6,Mantenciones!$A$2:$A$9997/(Mantenciones!$B$2:$B$9997=$A165),1),"")</f>
        <v>46092</v>
      </c>
      <c r="N165" s="31" t="str" cm="1">
        <f t="array" ref="N165">IFERROR(_xlfn.AGGREGATE(14,6,'Compras PM'!$A$4:$A$10014/('Compras PM'!$C$4:$C$10014=$A165),1),"")</f>
        <v/>
      </c>
      <c r="O165" s="31">
        <f>IFERROR(VLOOKUP($A165,Maestro_Equipos!$A$4:$AG$247,27,FALSE()),"")</f>
        <v>46097</v>
      </c>
      <c r="P165" s="32" t="str">
        <f t="shared" ca="1" si="15"/>
        <v/>
      </c>
      <c r="Q165" s="32">
        <f t="shared" ca="1" si="16"/>
        <v>48</v>
      </c>
      <c r="R165" s="30" t="str">
        <f t="shared" si="17"/>
        <v>PENDIENTE</v>
      </c>
      <c r="S165" s="33" t="str">
        <f>IFERROR(VLOOKUP($A165,Maestro_Equipos!$A$4:$AG$247,33,FALSE()),"")</f>
        <v>Monitorear próximo vencimiento</v>
      </c>
    </row>
    <row r="166" spans="1:19">
      <c r="A166" t="str" cm="1">
        <f t="array" ref="A166">IFERROR(INDEX(_xlfn._xlws.FILTER(Maestro_Equipos!$A$4:$A$247,Maestro_Equipos!$A$4:$A$247&lt;&gt;""),ROWS($A$4:A166)),"")</f>
        <v>VD-110</v>
      </c>
      <c r="B166" t="str">
        <f>IFERROR(_xlfn.XLOOKUP($A166,Maestro_Equipos!$A$4:$A$247,Maestro_Equipos!$B$4:$B$247,""),"")</f>
        <v>Camioneta</v>
      </c>
      <c r="C166" t="str">
        <f>IFERROR(_xlfn.XLOOKUP($A166,Maestro_Equipos!$A$4:$A$247,Maestro_Equipos!$C$4:$C$247,""),"")</f>
        <v>Vehículos Livianos</v>
      </c>
      <c r="D166" t="str">
        <f>IFERROR(_xlfn.XLOOKUP($A166,Maestro_Equipos!$A:$A,Maestro_Equipos!$I:$I,""),"")</f>
        <v>KM</v>
      </c>
      <c r="E166">
        <f>IFERROR(IF($D166="KM",_xlfn.XLOOKUP($A166,Maestro_Equipos!$A:$A,Maestro_Equipos!$N:$N,""),_xlfn.XLOOKUP($A166,Maestro_Equipos!$A:$A,Maestro_Equipos!$M:$M,"")),"")</f>
        <v>98245</v>
      </c>
      <c r="F166">
        <f>IFERROR(_xlfn.XLOOKUP($A166,Maestro_Equipos!$A:$A,Maestro_Equipos!$R:$R,"")+_xlfn.XLOOKUP($A166,Maestro_Equipos!$A:$A,Maestro_Equipos!$J:$J,""),"")</f>
        <v>105000</v>
      </c>
      <c r="G166">
        <f>IFERROR(_xlfn.XLOOKUP($A166,Maestro_Equipos!$A:$A,Maestro_Equipos!$K:$K,""),"")</f>
        <v>433.8</v>
      </c>
      <c r="H166">
        <f t="shared" si="12"/>
        <v>16</v>
      </c>
      <c r="I166" s="41">
        <f t="shared" ca="1" si="13"/>
        <v>46161</v>
      </c>
      <c r="J166" s="5" t="str">
        <f>IFERROR(INDEX(Maestro_Equipos!$V$4:$V$247,MATCH($A166,Maestro_Equipos!$A$4:$A$247,0)),"")</f>
        <v>Operativo</v>
      </c>
      <c r="K166" s="37">
        <f>IFERROR(
   SUMIFS(Mantenciones!$I:$I,Mantenciones!$B:$B,$A166)
 + SUMIFS('Compras PM'!$F:$F,'Compras PM'!$C:$C,$A166),0)</f>
        <v>0</v>
      </c>
      <c r="L166" s="30" t="str">
        <f t="shared" si="14"/>
        <v>MEDIA</v>
      </c>
      <c r="M166" s="58" cm="1">
        <f t="array" ref="M166">IFERROR(_xlfn.AGGREGATE(14,6,Mantenciones!$A$2:$A$9997/(Mantenciones!$B$2:$B$9997=$A166),1),"")</f>
        <v>46099</v>
      </c>
      <c r="N166" s="31" t="str" cm="1">
        <f t="array" ref="N166">IFERROR(_xlfn.AGGREGATE(14,6,'Compras PM'!$A$4:$A$10014/('Compras PM'!$C$4:$C$10014=$A166),1),"")</f>
        <v/>
      </c>
      <c r="O166" s="31" t="str">
        <f>IFERROR(VLOOKUP($A166,Maestro_Equipos!$A$4:$AG$247,27,FALSE()),"")</f>
        <v/>
      </c>
      <c r="P166" s="32" t="str">
        <f t="shared" ca="1" si="15"/>
        <v/>
      </c>
      <c r="Q166" s="32" t="str">
        <f t="shared" ca="1" si="16"/>
        <v/>
      </c>
      <c r="R166" s="30" t="str">
        <f t="shared" si="17"/>
        <v>SIN SALIDA</v>
      </c>
      <c r="S166" s="33" t="str">
        <f>IFERROR(VLOOKUP($A166,Maestro_Equipos!$A$4:$AG$247,33,FALSE()),"")</f>
        <v>Monitorear próximo vencimiento</v>
      </c>
    </row>
    <row r="167" spans="1:19">
      <c r="A167" t="str" cm="1">
        <f t="array" ref="A167">IFERROR(INDEX(_xlfn._xlws.FILTER(Maestro_Equipos!$A$4:$A$247,Maestro_Equipos!$A$4:$A$247&lt;&gt;""),ROWS($A$4:A167)),"")</f>
        <v>MD-68</v>
      </c>
      <c r="B167" t="str">
        <f>IFERROR(_xlfn.XLOOKUP($A167,Maestro_Equipos!$A$4:$A$247,Maestro_Equipos!$B$4:$B$247,""),"")</f>
        <v>Rodillo</v>
      </c>
      <c r="C167" t="str">
        <f>IFERROR(_xlfn.XLOOKUP($A167,Maestro_Equipos!$A$4:$A$247,Maestro_Equipos!$C$4:$C$247,""),"")</f>
        <v>Maquinaria Pesada</v>
      </c>
      <c r="D167" t="str">
        <f>IFERROR(_xlfn.XLOOKUP($A167,Maestro_Equipos!$A:$A,Maestro_Equipos!$I:$I,""),"")</f>
        <v>HORAS</v>
      </c>
      <c r="E167">
        <f>IFERROR(IF($D167="KM",_xlfn.XLOOKUP($A167,Maestro_Equipos!$A:$A,Maestro_Equipos!$N:$N,""),_xlfn.XLOOKUP($A167,Maestro_Equipos!$A:$A,Maestro_Equipos!$M:$M,"")),"")</f>
        <v>3578</v>
      </c>
      <c r="F167">
        <f>IFERROR(_xlfn.XLOOKUP($A167,Maestro_Equipos!$A:$A,Maestro_Equipos!$R:$R,"")+_xlfn.XLOOKUP($A167,Maestro_Equipos!$A:$A,Maestro_Equipos!$J:$J,""),"")</f>
        <v>3722</v>
      </c>
      <c r="G167">
        <f>IFERROR(_xlfn.XLOOKUP($A167,Maestro_Equipos!$A:$A,Maestro_Equipos!$K:$K,""),"")</f>
        <v>8.9</v>
      </c>
      <c r="H167">
        <f t="shared" si="12"/>
        <v>16</v>
      </c>
      <c r="I167" s="41">
        <f t="shared" ca="1" si="13"/>
        <v>46161</v>
      </c>
      <c r="J167" s="5" t="str">
        <f>IFERROR(INDEX(Maestro_Equipos!$V$4:$V$247,MATCH($A167,Maestro_Equipos!$A$4:$A$247,0)),"")</f>
        <v>Operativo</v>
      </c>
      <c r="K167" s="37">
        <f>IFERROR(
   SUMIFS(Mantenciones!$I:$I,Mantenciones!$B:$B,$A167)
 + SUMIFS('Compras PM'!$F:$F,'Compras PM'!$C:$C,$A167),0)</f>
        <v>177476</v>
      </c>
      <c r="L167" s="30" t="str">
        <f t="shared" si="14"/>
        <v>MEDIA</v>
      </c>
      <c r="M167" s="58" cm="1">
        <f t="array" ref="M167">IFERROR(_xlfn.AGGREGATE(14,6,Mantenciones!$A$2:$A$9997/(Mantenciones!$B$2:$B$9997=$A167),1),"")</f>
        <v>46057</v>
      </c>
      <c r="N167" s="31" t="str" cm="1">
        <f t="array" ref="N167">IFERROR(_xlfn.AGGREGATE(14,6,'Compras PM'!$A$4:$A$10014/('Compras PM'!$C$4:$C$10014=$A167),1),"")</f>
        <v/>
      </c>
      <c r="O167" s="31">
        <f>IFERROR(VLOOKUP($A167,Maestro_Equipos!$A$4:$AG$247,27,FALSE()),"")</f>
        <v>46065</v>
      </c>
      <c r="P167" s="32" t="str">
        <f t="shared" ca="1" si="15"/>
        <v/>
      </c>
      <c r="Q167" s="32">
        <f t="shared" ca="1" si="16"/>
        <v>80</v>
      </c>
      <c r="R167" s="30" t="str">
        <f t="shared" si="17"/>
        <v>PENDIENTE</v>
      </c>
      <c r="S167" s="33" t="str">
        <f>IFERROR(VLOOKUP($A167,Maestro_Equipos!$A$4:$AG$247,33,FALSE()),"")</f>
        <v>Monitorear próximo vencimiento</v>
      </c>
    </row>
    <row r="168" spans="1:19">
      <c r="A168" t="str" cm="1">
        <f t="array" ref="A168">IFERROR(INDEX(_xlfn._xlws.FILTER(Maestro_Equipos!$A$4:$A$247,Maestro_Equipos!$A$4:$A$247&lt;&gt;""),ROWS($A$4:A168)),"")</f>
        <v>MD-99</v>
      </c>
      <c r="B168" t="str">
        <f>IFERROR(_xlfn.XLOOKUP($A168,Maestro_Equipos!$A$4:$A$247,Maestro_Equipos!$B$4:$B$247,""),"")</f>
        <v>Excavadora</v>
      </c>
      <c r="C168" t="str">
        <f>IFERROR(_xlfn.XLOOKUP($A168,Maestro_Equipos!$A$4:$A$247,Maestro_Equipos!$C$4:$C$247,""),"")</f>
        <v>Maquinaria Pesada</v>
      </c>
      <c r="D168" t="str">
        <f>IFERROR(_xlfn.XLOOKUP($A168,Maestro_Equipos!$A:$A,Maestro_Equipos!$I:$I,""),"")</f>
        <v>HORAS</v>
      </c>
      <c r="E168">
        <f>IFERROR(IF($D168="KM",_xlfn.XLOOKUP($A168,Maestro_Equipos!$A:$A,Maestro_Equipos!$N:$N,""),_xlfn.XLOOKUP($A168,Maestro_Equipos!$A:$A,Maestro_Equipos!$M:$M,"")),"")</f>
        <v>2441</v>
      </c>
      <c r="F168">
        <f>IFERROR(_xlfn.XLOOKUP($A168,Maestro_Equipos!$A:$A,Maestro_Equipos!$R:$R,"")+_xlfn.XLOOKUP($A168,Maestro_Equipos!$A:$A,Maestro_Equipos!$J:$J,""),"")</f>
        <v>2527</v>
      </c>
      <c r="G168">
        <f>IFERROR(_xlfn.XLOOKUP($A168,Maestro_Equipos!$A:$A,Maestro_Equipos!$K:$K,""),"")</f>
        <v>5.8</v>
      </c>
      <c r="H168">
        <f t="shared" si="12"/>
        <v>15</v>
      </c>
      <c r="I168" s="41">
        <f t="shared" ca="1" si="13"/>
        <v>46160</v>
      </c>
      <c r="J168" s="5" t="str">
        <f>IFERROR(INDEX(Maestro_Equipos!$V$4:$V$247,MATCH($A168,Maestro_Equipos!$A$4:$A$247,0)),"")</f>
        <v>Operativo</v>
      </c>
      <c r="K168" s="37">
        <f>IFERROR(
   SUMIFS(Mantenciones!$I:$I,Mantenciones!$B:$B,$A168)
 + SUMIFS('Compras PM'!$F:$F,'Compras PM'!$C:$C,$A168),0)</f>
        <v>0</v>
      </c>
      <c r="L168" s="30" t="str">
        <f t="shared" si="14"/>
        <v>ALTA</v>
      </c>
      <c r="M168" s="58" cm="1">
        <f t="array" ref="M168">IFERROR(_xlfn.AGGREGATE(14,6,Mantenciones!$A$2:$A$9997/(Mantenciones!$B$2:$B$9997=$A168),1),"")</f>
        <v>46106</v>
      </c>
      <c r="N168" s="31" t="str" cm="1">
        <f t="array" ref="N168">IFERROR(_xlfn.AGGREGATE(14,6,'Compras PM'!$A$4:$A$10014/('Compras PM'!$C$4:$C$10014=$A168),1),"")</f>
        <v/>
      </c>
      <c r="O168" s="31" t="str">
        <f>IFERROR(VLOOKUP($A168,Maestro_Equipos!$A$4:$AG$247,27,FALSE()),"")</f>
        <v/>
      </c>
      <c r="P168" s="32" t="str">
        <f t="shared" ca="1" si="15"/>
        <v/>
      </c>
      <c r="Q168" s="32" t="str">
        <f t="shared" ca="1" si="16"/>
        <v/>
      </c>
      <c r="R168" s="30" t="str">
        <f t="shared" si="17"/>
        <v>SIN SALIDA</v>
      </c>
      <c r="S168" s="33" t="str">
        <f>IFERROR(VLOOKUP($A168,Maestro_Equipos!$A$4:$AG$247,33,FALSE()),"")</f>
        <v>Monitorear próximo vencimiento</v>
      </c>
    </row>
    <row r="169" spans="1:19">
      <c r="A169" t="str" cm="1">
        <f t="array" ref="A169">IFERROR(INDEX(_xlfn._xlws.FILTER(Maestro_Equipos!$A$4:$A$247,Maestro_Equipos!$A$4:$A$247&lt;&gt;""),ROWS($A$4:A169)),"")</f>
        <v>MD-88</v>
      </c>
      <c r="B169" t="str">
        <f>IFERROR(_xlfn.XLOOKUP($A169,Maestro_Equipos!$A$4:$A$247,Maestro_Equipos!$B$4:$B$247,""),"")</f>
        <v>Excavadora</v>
      </c>
      <c r="C169" t="str">
        <f>IFERROR(_xlfn.XLOOKUP($A169,Maestro_Equipos!$A$4:$A$247,Maestro_Equipos!$C$4:$C$247,""),"")</f>
        <v>Maquinaria Pesada</v>
      </c>
      <c r="D169" t="str">
        <f>IFERROR(_xlfn.XLOOKUP($A169,Maestro_Equipos!$A:$A,Maestro_Equipos!$I:$I,""),"")</f>
        <v>HORAS</v>
      </c>
      <c r="E169">
        <f>IFERROR(IF($D169="KM",_xlfn.XLOOKUP($A169,Maestro_Equipos!$A:$A,Maestro_Equipos!$N:$N,""),_xlfn.XLOOKUP($A169,Maestro_Equipos!$A:$A,Maestro_Equipos!$M:$M,"")),"")</f>
        <v>6553</v>
      </c>
      <c r="F169">
        <f>IFERROR(_xlfn.XLOOKUP($A169,Maestro_Equipos!$A:$A,Maestro_Equipos!$R:$R,"")+_xlfn.XLOOKUP($A169,Maestro_Equipos!$A:$A,Maestro_Equipos!$J:$J,""),"")</f>
        <v>6577</v>
      </c>
      <c r="G169">
        <f>IFERROR(_xlfn.XLOOKUP($A169,Maestro_Equipos!$A:$A,Maestro_Equipos!$K:$K,""),"")</f>
        <v>1.7</v>
      </c>
      <c r="H169">
        <f t="shared" si="12"/>
        <v>14</v>
      </c>
      <c r="I169" s="41">
        <f t="shared" ca="1" si="13"/>
        <v>46159</v>
      </c>
      <c r="J169" s="5" t="str">
        <f>IFERROR(INDEX(Maestro_Equipos!$V$4:$V$247,MATCH($A169,Maestro_Equipos!$A$4:$A$247,0)),"")</f>
        <v>Operativo</v>
      </c>
      <c r="K169" s="37">
        <f>IFERROR(
   SUMIFS(Mantenciones!$I:$I,Mantenciones!$B:$B,$A169)
 + SUMIFS('Compras PM'!$F:$F,'Compras PM'!$C:$C,$A169),0)</f>
        <v>0</v>
      </c>
      <c r="L169" s="30" t="str">
        <f t="shared" si="14"/>
        <v>ALTA</v>
      </c>
      <c r="M169" s="58" cm="1">
        <f t="array" ref="M169">IFERROR(_xlfn.AGGREGATE(14,6,Mantenciones!$A$2:$A$9997/(Mantenciones!$B$2:$B$9997=$A169),1),"")</f>
        <v>45985</v>
      </c>
      <c r="N169" s="31" t="str" cm="1">
        <f t="array" ref="N169">IFERROR(_xlfn.AGGREGATE(14,6,'Compras PM'!$A$4:$A$10014/('Compras PM'!$C$4:$C$10014=$A169),1),"")</f>
        <v/>
      </c>
      <c r="O169" s="31" t="str">
        <f>IFERROR(VLOOKUP($A169,Maestro_Equipos!$A$4:$AG$247,27,FALSE()),"")</f>
        <v/>
      </c>
      <c r="P169" s="32" t="str">
        <f t="shared" ca="1" si="15"/>
        <v/>
      </c>
      <c r="Q169" s="32" t="str">
        <f t="shared" ca="1" si="16"/>
        <v/>
      </c>
      <c r="R169" s="30" t="str">
        <f t="shared" si="17"/>
        <v>SIN SALIDA</v>
      </c>
      <c r="S169" s="33" t="str">
        <f>IFERROR(VLOOKUP($A169,Maestro_Equipos!$A$4:$AG$247,33,FALSE()),"")</f>
        <v>Monitorear próximo vencimiento</v>
      </c>
    </row>
    <row r="170" spans="1:19">
      <c r="A170" t="str" cm="1">
        <f t="array" ref="A170">IFERROR(INDEX(_xlfn._xlws.FILTER(Maestro_Equipos!$A$4:$A$247,Maestro_Equipos!$A$4:$A$247&lt;&gt;""),ROWS($A$4:A170)),"")</f>
        <v>CD-90</v>
      </c>
      <c r="B170" t="str">
        <f>IFERROR(_xlfn.XLOOKUP($A170,Maestro_Equipos!$A$4:$A$247,Maestro_Equipos!$B$4:$B$247,""),"")</f>
        <v>Camión Tolva</v>
      </c>
      <c r="C170" t="str">
        <f>IFERROR(_xlfn.XLOOKUP($A170,Maestro_Equipos!$A$4:$A$247,Maestro_Equipos!$C$4:$C$247,""),"")</f>
        <v>Camiones de Ruta</v>
      </c>
      <c r="D170" t="str">
        <f>IFERROR(_xlfn.XLOOKUP($A170,Maestro_Equipos!$A:$A,Maestro_Equipos!$I:$I,""),"")</f>
        <v>HORAS</v>
      </c>
      <c r="E170">
        <f>IFERROR(IF($D170="KM",_xlfn.XLOOKUP($A170,Maestro_Equipos!$A:$A,Maestro_Equipos!$N:$N,""),_xlfn.XLOOKUP($A170,Maestro_Equipos!$A:$A,Maestro_Equipos!$M:$M,"")),"")</f>
        <v>9364</v>
      </c>
      <c r="F170">
        <f>IFERROR(_xlfn.XLOOKUP($A170,Maestro_Equipos!$A:$A,Maestro_Equipos!$R:$R,"")+_xlfn.XLOOKUP($A170,Maestro_Equipos!$A:$A,Maestro_Equipos!$J:$J,""),"")</f>
        <v>9567</v>
      </c>
      <c r="G170">
        <f>IFERROR(_xlfn.XLOOKUP($A170,Maestro_Equipos!$A:$A,Maestro_Equipos!$K:$K,""),"")</f>
        <v>3.8</v>
      </c>
      <c r="H170">
        <f t="shared" si="12"/>
        <v>53</v>
      </c>
      <c r="I170" s="41">
        <f t="shared" ca="1" si="13"/>
        <v>46198</v>
      </c>
      <c r="J170" s="5" t="str">
        <f>IFERROR(INDEX(Maestro_Equipos!$V$4:$V$247,MATCH($A170,Maestro_Equipos!$A$4:$A$247,0)),"")</f>
        <v>Operativo</v>
      </c>
      <c r="K170" s="37">
        <f>IFERROR(
   SUMIFS(Mantenciones!$I:$I,Mantenciones!$B:$B,$A170)
 + SUMIFS('Compras PM'!$F:$F,'Compras PM'!$C:$C,$A170),0)</f>
        <v>63430.805899999999</v>
      </c>
      <c r="L170" s="30" t="str">
        <f t="shared" si="14"/>
        <v>BAJA</v>
      </c>
      <c r="M170" s="58" cm="1">
        <f t="array" ref="M170">IFERROR(_xlfn.AGGREGATE(14,6,Mantenciones!$A$2:$A$9997/(Mantenciones!$B$2:$B$9997=$A170),1),"")</f>
        <v>46100</v>
      </c>
      <c r="N170" s="31" cm="1">
        <f t="array" ref="N170">IFERROR(_xlfn.AGGREGATE(14,6,'Compras PM'!$A$4:$A$10014/('Compras PM'!$C$4:$C$10014=$A170),1),"")</f>
        <v>46093.460116550901</v>
      </c>
      <c r="O170" s="31">
        <f>IFERROR(VLOOKUP($A170,Maestro_Equipos!$A$4:$AG$247,27,FALSE()),"")</f>
        <v>46097</v>
      </c>
      <c r="P170" s="32">
        <f t="shared" ca="1" si="15"/>
        <v>6.539883449098852</v>
      </c>
      <c r="Q170" s="32">
        <f t="shared" ca="1" si="16"/>
        <v>3</v>
      </c>
      <c r="R170" s="30" t="str">
        <f t="shared" si="17"/>
        <v>REALIZADA</v>
      </c>
      <c r="S170" s="33" t="str">
        <f>IFERROR(VLOOKUP($A170,Maestro_Equipos!$A$4:$AG$247,33,FALSE()),"")</f>
        <v>Monitorear próximo vencimiento</v>
      </c>
    </row>
    <row r="171" spans="1:19">
      <c r="A171" t="str" cm="1">
        <f t="array" ref="A171">IFERROR(INDEX(_xlfn._xlws.FILTER(Maestro_Equipos!$A$4:$A$247,Maestro_Equipos!$A$4:$A$247&lt;&gt;""),ROWS($A$4:A171)),"")</f>
        <v>MD-107</v>
      </c>
      <c r="B171" t="str">
        <f>IFERROR(_xlfn.XLOOKUP($A171,Maestro_Equipos!$A$4:$A$247,Maestro_Equipos!$B$4:$B$247,""),"")</f>
        <v>Cargador Frontal</v>
      </c>
      <c r="C171" t="str">
        <f>IFERROR(_xlfn.XLOOKUP($A171,Maestro_Equipos!$A$4:$A$247,Maestro_Equipos!$C$4:$C$247,""),"")</f>
        <v>Maquinaria Pesada</v>
      </c>
      <c r="D171" t="str">
        <f>IFERROR(_xlfn.XLOOKUP($A171,Maestro_Equipos!$A:$A,Maestro_Equipos!$I:$I,""),"")</f>
        <v>HORAS</v>
      </c>
      <c r="E171">
        <f>IFERROR(IF($D171="KM",_xlfn.XLOOKUP($A171,Maestro_Equipos!$A:$A,Maestro_Equipos!$N:$N,""),_xlfn.XLOOKUP($A171,Maestro_Equipos!$A:$A,Maestro_Equipos!$M:$M,"")),"")</f>
        <v>1743</v>
      </c>
      <c r="F171">
        <f>IFERROR(_xlfn.XLOOKUP($A171,Maestro_Equipos!$A:$A,Maestro_Equipos!$R:$R,"")+_xlfn.XLOOKUP($A171,Maestro_Equipos!$A:$A,Maestro_Equipos!$J:$J,""),"")</f>
        <v>1712</v>
      </c>
      <c r="G171">
        <f>IFERROR(_xlfn.XLOOKUP($A171,Maestro_Equipos!$A:$A,Maestro_Equipos!$K:$K,""),"")</f>
        <v>6</v>
      </c>
      <c r="H171">
        <f t="shared" si="12"/>
        <v>-5</v>
      </c>
      <c r="I171" s="41">
        <f t="shared" ca="1" si="13"/>
        <v>46140</v>
      </c>
      <c r="J171" s="5" t="str">
        <f>IFERROR(INDEX(Maestro_Equipos!$V$4:$V$247,MATCH($A171,Maestro_Equipos!$A$4:$A$247,0)),"")</f>
        <v>Operativo</v>
      </c>
      <c r="K171" s="37">
        <f>IFERROR(
   SUMIFS(Mantenciones!$I:$I,Mantenciones!$B:$B,$A171)
 + SUMIFS('Compras PM'!$F:$F,'Compras PM'!$C:$C,$A171),0)</f>
        <v>487593.27</v>
      </c>
      <c r="L171" s="30" t="str">
        <f t="shared" si="14"/>
        <v>VENCIDA</v>
      </c>
      <c r="M171" s="58" cm="1">
        <f t="array" ref="M171">IFERROR(_xlfn.AGGREGATE(14,6,Mantenciones!$A$2:$A$9997/(Mantenciones!$B$2:$B$9997=$A171),1),"")</f>
        <v>46086</v>
      </c>
      <c r="N171" s="31" cm="1">
        <f t="array" ref="N171">IFERROR(_xlfn.AGGREGATE(14,6,'Compras PM'!$A$4:$A$10014/('Compras PM'!$C$4:$C$10014=$A171),1),"")</f>
        <v>46086.422014780102</v>
      </c>
      <c r="O171" s="31">
        <f>IFERROR(VLOOKUP($A171,Maestro_Equipos!$A$4:$AG$247,27,FALSE()),"")</f>
        <v>46086</v>
      </c>
      <c r="P171" s="32">
        <f t="shared" ca="1" si="15"/>
        <v>58.577985219897528</v>
      </c>
      <c r="Q171" s="32">
        <f t="shared" ca="1" si="16"/>
        <v>0</v>
      </c>
      <c r="R171" s="30" t="str">
        <f t="shared" si="17"/>
        <v>REALIZADA</v>
      </c>
      <c r="S171" s="33" t="str">
        <f>IFERROR(VLOOKUP($A171,Maestro_Equipos!$A$4:$AG$247,33,FALSE()),"")</f>
        <v>Monitorear próximo vencimiento</v>
      </c>
    </row>
    <row r="172" spans="1:19">
      <c r="A172" t="str" cm="1">
        <f t="array" ref="A172">IFERROR(INDEX(_xlfn._xlws.FILTER(Maestro_Equipos!$A$4:$A$247,Maestro_Equipos!$A$4:$A$247&lt;&gt;""),ROWS($A$4:A172)),"")</f>
        <v>MD-39</v>
      </c>
      <c r="B172" t="str">
        <f>IFERROR(_xlfn.XLOOKUP($A172,Maestro_Equipos!$A$4:$A$247,Maestro_Equipos!$B$4:$B$247,""),"")</f>
        <v>Motoniveladora</v>
      </c>
      <c r="C172" t="str">
        <f>IFERROR(_xlfn.XLOOKUP($A172,Maestro_Equipos!$A$4:$A$247,Maestro_Equipos!$C$4:$C$247,""),"")</f>
        <v>Maquinaria Pesada</v>
      </c>
      <c r="D172" t="str">
        <f>IFERROR(_xlfn.XLOOKUP($A172,Maestro_Equipos!$A:$A,Maestro_Equipos!$I:$I,""),"")</f>
        <v>HORAS</v>
      </c>
      <c r="E172">
        <f>IFERROR(IF($D172="KM",_xlfn.XLOOKUP($A172,Maestro_Equipos!$A:$A,Maestro_Equipos!$N:$N,""),_xlfn.XLOOKUP($A172,Maestro_Equipos!$A:$A,Maestro_Equipos!$M:$M,"")),"")</f>
        <v>9000.5</v>
      </c>
      <c r="F172">
        <f>IFERROR(_xlfn.XLOOKUP($A172,Maestro_Equipos!$A:$A,Maestro_Equipos!$R:$R,"")+_xlfn.XLOOKUP($A172,Maestro_Equipos!$A:$A,Maestro_Equipos!$J:$J,""),"")</f>
        <v>9230</v>
      </c>
      <c r="G172">
        <f>IFERROR(_xlfn.XLOOKUP($A172,Maestro_Equipos!$A:$A,Maestro_Equipos!$K:$K,""),"")</f>
        <v>18.8</v>
      </c>
      <c r="H172">
        <f t="shared" si="12"/>
        <v>12</v>
      </c>
      <c r="I172" s="41">
        <f t="shared" ca="1" si="13"/>
        <v>46157</v>
      </c>
      <c r="J172" s="5" t="str">
        <f>IFERROR(INDEX(Maestro_Equipos!$V$4:$V$247,MATCH($A172,Maestro_Equipos!$A$4:$A$247,0)),"")</f>
        <v>Operativo</v>
      </c>
      <c r="K172" s="37">
        <f>IFERROR(
   SUMIFS(Mantenciones!$I:$I,Mantenciones!$B:$B,$A172)
 + SUMIFS('Compras PM'!$F:$F,'Compras PM'!$C:$C,$A172),0)</f>
        <v>237325.27</v>
      </c>
      <c r="L172" s="30" t="str">
        <f t="shared" si="14"/>
        <v>ALTA</v>
      </c>
      <c r="M172" s="58" cm="1">
        <f t="array" ref="M172">IFERROR(_xlfn.AGGREGATE(14,6,Mantenciones!$A$2:$A$9997/(Mantenciones!$B$2:$B$9997=$A172),1),"")</f>
        <v>46085</v>
      </c>
      <c r="N172" s="31" cm="1">
        <f t="array" ref="N172">IFERROR(_xlfn.AGGREGATE(14,6,'Compras PM'!$A$4:$A$10014/('Compras PM'!$C$4:$C$10014=$A172),1),"")</f>
        <v>46083.500426041697</v>
      </c>
      <c r="O172" s="31">
        <f>IFERROR(VLOOKUP($A172,Maestro_Equipos!$A$4:$AG$247,27,FALSE()),"")</f>
        <v>46085</v>
      </c>
      <c r="P172" s="32">
        <f t="shared" ca="1" si="15"/>
        <v>1.4995739583027898</v>
      </c>
      <c r="Q172" s="32">
        <f t="shared" ca="1" si="16"/>
        <v>0</v>
      </c>
      <c r="R172" s="30" t="str">
        <f t="shared" si="17"/>
        <v>REALIZADA</v>
      </c>
      <c r="S172" s="33" t="str">
        <f>IFERROR(VLOOKUP($A172,Maestro_Equipos!$A$4:$AG$247,33,FALSE()),"")</f>
        <v>Monitorear próximo vencimiento</v>
      </c>
    </row>
    <row r="173" spans="1:19">
      <c r="A173" t="str" cm="1">
        <f t="array" ref="A173">IFERROR(INDEX(_xlfn._xlws.FILTER(Maestro_Equipos!$A$4:$A$247,Maestro_Equipos!$A$4:$A$247&lt;&gt;""),ROWS($A$4:A173)),"")</f>
        <v>MD-57</v>
      </c>
      <c r="B173" t="str">
        <f>IFERROR(_xlfn.XLOOKUP($A173,Maestro_Equipos!$A$4:$A$247,Maestro_Equipos!$B$4:$B$247,""),"")</f>
        <v>Excavadora</v>
      </c>
      <c r="C173" t="str">
        <f>IFERROR(_xlfn.XLOOKUP($A173,Maestro_Equipos!$A$4:$A$247,Maestro_Equipos!$C$4:$C$247,""),"")</f>
        <v>Maquinaria Pesada</v>
      </c>
      <c r="D173" t="str">
        <f>IFERROR(_xlfn.XLOOKUP($A173,Maestro_Equipos!$A:$A,Maestro_Equipos!$I:$I,""),"")</f>
        <v>HORAS</v>
      </c>
      <c r="E173">
        <f>IFERROR(IF($D173="KM",_xlfn.XLOOKUP($A173,Maestro_Equipos!$A:$A,Maestro_Equipos!$N:$N,""),_xlfn.XLOOKUP($A173,Maestro_Equipos!$A:$A,Maestro_Equipos!$M:$M,"")),"")</f>
        <v>13660</v>
      </c>
      <c r="F173">
        <f>IFERROR(_xlfn.XLOOKUP($A173,Maestro_Equipos!$A:$A,Maestro_Equipos!$R:$R,"")+_xlfn.XLOOKUP($A173,Maestro_Equipos!$A:$A,Maestro_Equipos!$J:$J,""),"")</f>
        <v>13900</v>
      </c>
      <c r="G173">
        <f>IFERROR(_xlfn.XLOOKUP($A173,Maestro_Equipos!$A:$A,Maestro_Equipos!$K:$K,""),"")</f>
        <v>3.2</v>
      </c>
      <c r="H173">
        <f t="shared" si="12"/>
        <v>75</v>
      </c>
      <c r="I173" s="41">
        <f t="shared" ca="1" si="13"/>
        <v>46220</v>
      </c>
      <c r="J173" s="5" t="str">
        <f>IFERROR(INDEX(Maestro_Equipos!$V$4:$V$247,MATCH($A173,Maestro_Equipos!$A$4:$A$247,0)),"")</f>
        <v>Operativo</v>
      </c>
      <c r="K173" s="37">
        <f>IFERROR(
   SUMIFS(Mantenciones!$I:$I,Mantenciones!$B:$B,$A173)
 + SUMIFS('Compras PM'!$F:$F,'Compras PM'!$C:$C,$A173),0)</f>
        <v>249424.97</v>
      </c>
      <c r="L173" s="30" t="str">
        <f t="shared" si="14"/>
        <v>BAJA</v>
      </c>
      <c r="M173" s="58" cm="1">
        <f t="array" ref="M173">IFERROR(_xlfn.AGGREGATE(14,6,Mantenciones!$A$2:$A$9997/(Mantenciones!$B$2:$B$9997=$A173),1),"")</f>
        <v>46094</v>
      </c>
      <c r="N173" s="31" cm="1">
        <f t="array" ref="N173">IFERROR(_xlfn.AGGREGATE(14,6,'Compras PM'!$A$4:$A$10014/('Compras PM'!$C$4:$C$10014=$A173),1),"")</f>
        <v>46105.635110648102</v>
      </c>
      <c r="O173" s="31">
        <f>IFERROR(VLOOKUP($A173,Maestro_Equipos!$A$4:$AG$247,27,FALSE()),"")</f>
        <v>46094</v>
      </c>
      <c r="P173" s="32">
        <f t="shared" ca="1" si="15"/>
        <v>39.364889351898455</v>
      </c>
      <c r="Q173" s="32">
        <f t="shared" ca="1" si="16"/>
        <v>0</v>
      </c>
      <c r="R173" s="30" t="str">
        <f t="shared" si="17"/>
        <v>REALIZADA</v>
      </c>
      <c r="S173" s="33" t="str">
        <f>IFERROR(VLOOKUP($A173,Maestro_Equipos!$A$4:$AG$247,33,FALSE()),"")</f>
        <v>Monitorear próximo vencimiento</v>
      </c>
    </row>
    <row r="174" spans="1:19">
      <c r="A174" t="str" cm="1">
        <f t="array" ref="A174">IFERROR(INDEX(_xlfn._xlws.FILTER(Maestro_Equipos!$A$4:$A$247,Maestro_Equipos!$A$4:$A$247&lt;&gt;""),ROWS($A$4:A174)),"")</f>
        <v>MD-101</v>
      </c>
      <c r="B174" t="str">
        <f>IFERROR(_xlfn.XLOOKUP($A174,Maestro_Equipos!$A$4:$A$247,Maestro_Equipos!$B$4:$B$247,""),"")</f>
        <v>Motoniveladora</v>
      </c>
      <c r="C174" t="str">
        <f>IFERROR(_xlfn.XLOOKUP($A174,Maestro_Equipos!$A$4:$A$247,Maestro_Equipos!$C$4:$C$247,""),"")</f>
        <v>Maquinaria Pesada</v>
      </c>
      <c r="D174" t="str">
        <f>IFERROR(_xlfn.XLOOKUP($A174,Maestro_Equipos!$A:$A,Maestro_Equipos!$I:$I,""),"")</f>
        <v>HORAS</v>
      </c>
      <c r="E174">
        <f>IFERROR(IF($D174="KM",_xlfn.XLOOKUP($A174,Maestro_Equipos!$A:$A,Maestro_Equipos!$N:$N,""),_xlfn.XLOOKUP($A174,Maestro_Equipos!$A:$A,Maestro_Equipos!$M:$M,"")),"")</f>
        <v>10057</v>
      </c>
      <c r="F174">
        <f>IFERROR(_xlfn.XLOOKUP($A174,Maestro_Equipos!$A:$A,Maestro_Equipos!$R:$R,"")+_xlfn.XLOOKUP($A174,Maestro_Equipos!$A:$A,Maestro_Equipos!$J:$J,""),"")</f>
        <v>10404</v>
      </c>
      <c r="G174">
        <f>IFERROR(_xlfn.XLOOKUP($A174,Maestro_Equipos!$A:$A,Maestro_Equipos!$K:$K,""),"")</f>
        <v>3.8</v>
      </c>
      <c r="H174">
        <f t="shared" si="12"/>
        <v>91</v>
      </c>
      <c r="I174" s="41">
        <f t="shared" ca="1" si="13"/>
        <v>46236</v>
      </c>
      <c r="J174" s="5" t="str">
        <f>IFERROR(INDEX(Maestro_Equipos!$V$4:$V$247,MATCH($A174,Maestro_Equipos!$A$4:$A$247,0)),"")</f>
        <v>Operativo</v>
      </c>
      <c r="K174" s="37">
        <f>IFERROR(
   SUMIFS(Mantenciones!$I:$I,Mantenciones!$B:$B,$A174)
 + SUMIFS('Compras PM'!$F:$F,'Compras PM'!$C:$C,$A174),0)</f>
        <v>0</v>
      </c>
      <c r="L174" s="30" t="str">
        <f t="shared" si="14"/>
        <v>BAJA</v>
      </c>
      <c r="M174" s="58" cm="1">
        <f t="array" ref="M174">IFERROR(_xlfn.AGGREGATE(14,6,Mantenciones!$A$2:$A$9997/(Mantenciones!$B$2:$B$9997=$A174),1),"")</f>
        <v>46134</v>
      </c>
      <c r="N174" s="31" t="str" cm="1">
        <f t="array" ref="N174">IFERROR(_xlfn.AGGREGATE(14,6,'Compras PM'!$A$4:$A$10014/('Compras PM'!$C$4:$C$10014=$A174),1),"")</f>
        <v/>
      </c>
      <c r="O174" s="31" t="str">
        <f>IFERROR(VLOOKUP($A174,Maestro_Equipos!$A$4:$AG$247,27,FALSE()),"")</f>
        <v/>
      </c>
      <c r="P174" s="32" t="str">
        <f t="shared" ca="1" si="15"/>
        <v/>
      </c>
      <c r="Q174" s="32" t="str">
        <f t="shared" ca="1" si="16"/>
        <v/>
      </c>
      <c r="R174" s="30" t="str">
        <f t="shared" si="17"/>
        <v>SIN SALIDA</v>
      </c>
      <c r="S174" s="33" t="str">
        <f>IFERROR(VLOOKUP($A174,Maestro_Equipos!$A$4:$AG$247,33,FALSE()),"")</f>
        <v>Monitorear próximo vencimiento</v>
      </c>
    </row>
    <row r="175" spans="1:19" ht="15.75" customHeight="1">
      <c r="A175" t="str" cm="1">
        <f t="array" ref="A175">IFERROR(INDEX(_xlfn._xlws.FILTER(Maestro_Equipos!$A$4:$A$247,Maestro_Equipos!$A$4:$A$247&lt;&gt;""),ROWS($A$4:A175)),"")</f>
        <v>VD-77</v>
      </c>
      <c r="B175" t="str">
        <f>IFERROR(_xlfn.XLOOKUP($A175,Maestro_Equipos!$A$4:$A$247,Maestro_Equipos!$B$4:$B$247,""),"")</f>
        <v>Camioneta</v>
      </c>
      <c r="C175" t="str">
        <f>IFERROR(_xlfn.XLOOKUP($A175,Maestro_Equipos!$A$4:$A$247,Maestro_Equipos!$C$4:$C$247,""),"")</f>
        <v>Vehículos Livianos</v>
      </c>
      <c r="D175" t="str">
        <f>IFERROR(_xlfn.XLOOKUP($A175,Maestro_Equipos!$A:$A,Maestro_Equipos!$I:$I,""),"")</f>
        <v>KM</v>
      </c>
      <c r="E175">
        <f>IFERROR(IF($D175="KM",_xlfn.XLOOKUP($A175,Maestro_Equipos!$A:$A,Maestro_Equipos!$N:$N,""),_xlfn.XLOOKUP($A175,Maestro_Equipos!$A:$A,Maestro_Equipos!$M:$M,"")),"")</f>
        <v>148370</v>
      </c>
      <c r="F175">
        <f>IFERROR(_xlfn.XLOOKUP($A175,Maestro_Equipos!$A:$A,Maestro_Equipos!$R:$R,"")+_xlfn.XLOOKUP($A175,Maestro_Equipos!$A:$A,Maestro_Equipos!$J:$J,""),"")</f>
        <v>143838</v>
      </c>
      <c r="G175">
        <f>IFERROR(_xlfn.XLOOKUP($A175,Maestro_Equipos!$A:$A,Maestro_Equipos!$K:$K,""),"")</f>
        <v>178.8</v>
      </c>
      <c r="H175">
        <f t="shared" si="12"/>
        <v>-25</v>
      </c>
      <c r="I175" s="41">
        <f t="shared" ca="1" si="13"/>
        <v>46120</v>
      </c>
      <c r="J175" s="5" t="str">
        <f>IFERROR(INDEX(Maestro_Equipos!$V$4:$V$247,MATCH($A175,Maestro_Equipos!$A$4:$A$247,0)),"")</f>
        <v>Operativo</v>
      </c>
      <c r="K175" s="37">
        <f>IFERROR(
   SUMIFS(Mantenciones!$I:$I,Mantenciones!$B:$B,$A175)
 + SUMIFS('Compras PM'!$F:$F,'Compras PM'!$C:$C,$A175),0)</f>
        <v>0</v>
      </c>
      <c r="L175" s="30" t="str">
        <f t="shared" si="14"/>
        <v>VENCIDA</v>
      </c>
      <c r="M175" s="58" cm="1">
        <f t="array" ref="M175">IFERROR(_xlfn.AGGREGATE(14,6,Mantenciones!$A$2:$A$9997/(Mantenciones!$B$2:$B$9997=$A175),1),"")</f>
        <v>46009</v>
      </c>
      <c r="N175" s="31" t="str" cm="1">
        <f t="array" ref="N175">IFERROR(_xlfn.AGGREGATE(14,6,'Compras PM'!$A$4:$A$10014/('Compras PM'!$C$4:$C$10014=$A175),1),"")</f>
        <v/>
      </c>
      <c r="O175" s="31">
        <f>IFERROR(VLOOKUP($A175,Maestro_Equipos!$A$4:$AG$247,27,FALSE()),"")</f>
        <v>46118</v>
      </c>
      <c r="P175" s="32" t="str">
        <f t="shared" ca="1" si="15"/>
        <v/>
      </c>
      <c r="Q175" s="32">
        <f t="shared" ca="1" si="16"/>
        <v>27</v>
      </c>
      <c r="R175" s="30" t="str">
        <f t="shared" si="17"/>
        <v>PENDIENTE</v>
      </c>
      <c r="S175" s="33" t="str">
        <f>IFERROR(VLOOKUP($A175,Maestro_Equipos!$A$4:$AG$247,33,FALSE()),"")</f>
        <v>Monitorear próximo vencimiento</v>
      </c>
    </row>
    <row r="176" spans="1:19" ht="15.75" customHeight="1">
      <c r="A176" t="str" cm="1">
        <f t="array" ref="A176">IFERROR(INDEX(_xlfn._xlws.FILTER(Maestro_Equipos!$A$4:$A$247,Maestro_Equipos!$A$4:$A$247&lt;&gt;""),ROWS($A$4:A176)),"")</f>
        <v>ED-52</v>
      </c>
      <c r="B176" t="str">
        <f>IFERROR(_xlfn.XLOOKUP($A176,Maestro_Equipos!$A$4:$A$247,Maestro_Equipos!$B$4:$B$247,""),"")</f>
        <v>Barredora</v>
      </c>
      <c r="C176" t="str">
        <f>IFERROR(_xlfn.XLOOKUP($A176,Maestro_Equipos!$A$4:$A$247,Maestro_Equipos!$C$4:$C$247,""),"")</f>
        <v>Maquinaria Pesada</v>
      </c>
      <c r="D176" t="str">
        <f>IFERROR(_xlfn.XLOOKUP($A176,Maestro_Equipos!$A:$A,Maestro_Equipos!$I:$I,""),"")</f>
        <v>HORAS</v>
      </c>
      <c r="E176">
        <f>IFERROR(IF($D176="KM",_xlfn.XLOOKUP($A176,Maestro_Equipos!$A:$A,Maestro_Equipos!$N:$N,""),_xlfn.XLOOKUP($A176,Maestro_Equipos!$A:$A,Maestro_Equipos!$M:$M,"")),"")</f>
        <v>1225</v>
      </c>
      <c r="F176">
        <f>IFERROR(_xlfn.XLOOKUP($A176,Maestro_Equipos!$A:$A,Maestro_Equipos!$R:$R,"")+_xlfn.XLOOKUP($A176,Maestro_Equipos!$A:$A,Maestro_Equipos!$J:$J,""),"")</f>
        <v>652</v>
      </c>
      <c r="G176">
        <f>IFERROR(_xlfn.XLOOKUP($A176,Maestro_Equipos!$A:$A,Maestro_Equipos!$K:$K,""),"")</f>
        <v>0.6</v>
      </c>
      <c r="H176">
        <f t="shared" si="12"/>
        <v>-955</v>
      </c>
      <c r="I176" s="41">
        <f t="shared" ca="1" si="13"/>
        <v>45190</v>
      </c>
      <c r="J176" s="5" t="str">
        <f>IFERROR(INDEX(Maestro_Equipos!$V$4:$V$247,MATCH($A176,Maestro_Equipos!$A$4:$A$247,0)),"")</f>
        <v>Operativo</v>
      </c>
      <c r="K176" s="37">
        <f>IFERROR(
   SUMIFS(Mantenciones!$I:$I,Mantenciones!$B:$B,$A176)
 + SUMIFS('Compras PM'!$F:$F,'Compras PM'!$C:$C,$A176),0)</f>
        <v>149298.59</v>
      </c>
      <c r="L176" s="30" t="str">
        <f t="shared" si="14"/>
        <v>VENCIDA</v>
      </c>
      <c r="M176" s="58" cm="1">
        <f t="array" ref="M176">IFERROR(_xlfn.AGGREGATE(14,6,Mantenciones!$A$2:$A$9997/(Mantenciones!$B$2:$B$9997=$A176),1),"")</f>
        <v>46121</v>
      </c>
      <c r="N176" s="31" cm="1">
        <f t="array" ref="N176">IFERROR(_xlfn.AGGREGATE(14,6,'Compras PM'!$A$4:$A$10014/('Compras PM'!$C$4:$C$10014=$A176),1),"")</f>
        <v>46100</v>
      </c>
      <c r="O176" s="31">
        <f>IFERROR(VLOOKUP($A176,Maestro_Equipos!$A$4:$AG$247,27,FALSE()),"")</f>
        <v>46121</v>
      </c>
      <c r="P176" s="32">
        <f t="shared" ca="1" si="15"/>
        <v>21</v>
      </c>
      <c r="Q176" s="32">
        <f t="shared" ca="1" si="16"/>
        <v>0</v>
      </c>
      <c r="R176" s="30" t="str">
        <f t="shared" si="17"/>
        <v>REALIZADA</v>
      </c>
      <c r="S176" s="33" t="str">
        <f>IFERROR(VLOOKUP($A176,Maestro_Equipos!$A$4:$AG$247,33,FALSE()),"")</f>
        <v>Monitorear próximo vencimiento</v>
      </c>
    </row>
    <row r="177" spans="1:19" ht="15.75" customHeight="1">
      <c r="A177" t="str" cm="1">
        <f t="array" ref="A177">IFERROR(INDEX(_xlfn._xlws.FILTER(Maestro_Equipos!$A$4:$A$247,Maestro_Equipos!$A$4:$A$247&lt;&gt;""),ROWS($A$4:A177)),"")</f>
        <v>MD-75</v>
      </c>
      <c r="B177" t="str">
        <f>IFERROR(_xlfn.XLOOKUP($A177,Maestro_Equipos!$A$4:$A$247,Maestro_Equipos!$B$4:$B$247,""),"")</f>
        <v>Retroexcavadora</v>
      </c>
      <c r="C177" t="str">
        <f>IFERROR(_xlfn.XLOOKUP($A177,Maestro_Equipos!$A$4:$A$247,Maestro_Equipos!$C$4:$C$247,""),"")</f>
        <v>Maquinaria Pesada</v>
      </c>
      <c r="D177" t="str">
        <f>IFERROR(_xlfn.XLOOKUP($A177,Maestro_Equipos!$A:$A,Maestro_Equipos!$I:$I,""),"")</f>
        <v>HORAS</v>
      </c>
      <c r="E177">
        <f>IFERROR(IF($D177="KM",_xlfn.XLOOKUP($A177,Maestro_Equipos!$A:$A,Maestro_Equipos!$N:$N,""),_xlfn.XLOOKUP($A177,Maestro_Equipos!$A:$A,Maestro_Equipos!$M:$M,"")),"")</f>
        <v>7678</v>
      </c>
      <c r="F177">
        <f>IFERROR(_xlfn.XLOOKUP($A177,Maestro_Equipos!$A:$A,Maestro_Equipos!$R:$R,"")+_xlfn.XLOOKUP($A177,Maestro_Equipos!$A:$A,Maestro_Equipos!$J:$J,""),"")</f>
        <v>1963</v>
      </c>
      <c r="G177">
        <f>IFERROR(_xlfn.XLOOKUP($A177,Maestro_Equipos!$A:$A,Maestro_Equipos!$K:$K,""),"")</f>
        <v>6.6</v>
      </c>
      <c r="H177">
        <f t="shared" si="12"/>
        <v>-866</v>
      </c>
      <c r="I177" s="41">
        <f t="shared" ca="1" si="13"/>
        <v>45279</v>
      </c>
      <c r="J177" s="5" t="str">
        <f>IFERROR(INDEX(Maestro_Equipos!$V$4:$V$247,MATCH($A177,Maestro_Equipos!$A$4:$A$247,0)),"")</f>
        <v>Operativo</v>
      </c>
      <c r="K177" s="37">
        <f>IFERROR(
   SUMIFS(Mantenciones!$I:$I,Mantenciones!$B:$B,$A177)
 + SUMIFS('Compras PM'!$F:$F,'Compras PM'!$C:$C,$A177),0)</f>
        <v>491535.45</v>
      </c>
      <c r="L177" s="30" t="str">
        <f t="shared" si="14"/>
        <v>VENCIDA</v>
      </c>
      <c r="M177" s="58" cm="1">
        <f t="array" ref="M177">IFERROR(_xlfn.AGGREGATE(14,6,Mantenciones!$A$2:$A$9997/(Mantenciones!$B$2:$B$9997=$A177),1),"")</f>
        <v>46093</v>
      </c>
      <c r="N177" s="31" cm="1">
        <f t="array" ref="N177">IFERROR(_xlfn.AGGREGATE(14,6,'Compras PM'!$A$4:$A$10014/('Compras PM'!$C$4:$C$10014=$A177),1),"")</f>
        <v>46078.424829247699</v>
      </c>
      <c r="O177" s="31">
        <f>IFERROR(VLOOKUP($A177,Maestro_Equipos!$A$4:$AG$247,27,FALSE()),"")</f>
        <v>46090</v>
      </c>
      <c r="P177" s="32">
        <f t="shared" ca="1" si="15"/>
        <v>14.575170752301347</v>
      </c>
      <c r="Q177" s="32">
        <f t="shared" ca="1" si="16"/>
        <v>3</v>
      </c>
      <c r="R177" s="30" t="str">
        <f t="shared" si="17"/>
        <v>REALIZADA</v>
      </c>
      <c r="S177" s="33" t="str">
        <f>IFERROR(VLOOKUP($A177,Maestro_Equipos!$A$4:$AG$247,33,FALSE()),"")</f>
        <v>Monitorear próximo vencimiento</v>
      </c>
    </row>
    <row r="178" spans="1:19" ht="15.75" customHeight="1">
      <c r="A178" t="str" cm="1">
        <f t="array" ref="A178">IFERROR(INDEX(_xlfn._xlws.FILTER(Maestro_Equipos!$A$4:$A$247,Maestro_Equipos!$A$4:$A$247&lt;&gt;""),ROWS($A$4:A178)),"")</f>
        <v>VD-126</v>
      </c>
      <c r="B178" t="str">
        <f>IFERROR(_xlfn.XLOOKUP($A178,Maestro_Equipos!$A$4:$A$247,Maestro_Equipos!$B$4:$B$247,""),"")</f>
        <v>Camioneta</v>
      </c>
      <c r="C178" t="str">
        <f>IFERROR(_xlfn.XLOOKUP($A178,Maestro_Equipos!$A$4:$A$247,Maestro_Equipos!$C$4:$C$247,""),"")</f>
        <v>Vehículos Livianos</v>
      </c>
      <c r="D178" t="str">
        <f>IFERROR(_xlfn.XLOOKUP($A178,Maestro_Equipos!$A:$A,Maestro_Equipos!$I:$I,""),"")</f>
        <v>KM</v>
      </c>
      <c r="E178">
        <f>IFERROR(IF($D178="KM",_xlfn.XLOOKUP($A178,Maestro_Equipos!$A:$A,Maestro_Equipos!$N:$N,""),_xlfn.XLOOKUP($A178,Maestro_Equipos!$A:$A,Maestro_Equipos!$M:$M,"")),"")</f>
        <v>69314</v>
      </c>
      <c r="F178">
        <f>IFERROR(_xlfn.XLOOKUP($A178,Maestro_Equipos!$A:$A,Maestro_Equipos!$R:$R,"")+_xlfn.XLOOKUP($A178,Maestro_Equipos!$A:$A,Maestro_Equipos!$J:$J,""),"")</f>
        <v>54117</v>
      </c>
      <c r="G178">
        <f>IFERROR(_xlfn.XLOOKUP($A178,Maestro_Equipos!$A:$A,Maestro_Equipos!$K:$K,""),"")</f>
        <v>389.1</v>
      </c>
      <c r="H178">
        <f t="shared" si="12"/>
        <v>-39</v>
      </c>
      <c r="I178" s="41">
        <f t="shared" ca="1" si="13"/>
        <v>46106</v>
      </c>
      <c r="J178" s="5" t="str">
        <f>IFERROR(INDEX(Maestro_Equipos!$V$4:$V$247,MATCH($A178,Maestro_Equipos!$A$4:$A$247,0)),"")</f>
        <v>Operativo</v>
      </c>
      <c r="K178" s="37">
        <f>IFERROR(
   SUMIFS(Mantenciones!$I:$I,Mantenciones!$B:$B,$A178)
 + SUMIFS('Compras PM'!$F:$F,'Compras PM'!$C:$C,$A178),0)</f>
        <v>405603</v>
      </c>
      <c r="L178" s="30" t="str">
        <f t="shared" si="14"/>
        <v>VENCIDA</v>
      </c>
      <c r="M178" s="58" cm="1">
        <f t="array" ref="M178">IFERROR(_xlfn.AGGREGATE(14,6,Mantenciones!$A$2:$A$9997/(Mantenciones!$B$2:$B$9997=$A178),1),"")</f>
        <v>42291</v>
      </c>
      <c r="N178" s="31" t="str" cm="1">
        <f t="array" ref="N178">IFERROR(_xlfn.AGGREGATE(14,6,'Compras PM'!$A$4:$A$10014/('Compras PM'!$C$4:$C$10014=$A178),1),"")</f>
        <v/>
      </c>
      <c r="O178" s="31" t="str">
        <f>IFERROR(VLOOKUP($A178,Maestro_Equipos!$A$4:$AG$247,27,FALSE()),"")</f>
        <v/>
      </c>
      <c r="P178" s="32" t="str">
        <f t="shared" ca="1" si="15"/>
        <v/>
      </c>
      <c r="Q178" s="32" t="str">
        <f t="shared" ca="1" si="16"/>
        <v/>
      </c>
      <c r="R178" s="30" t="str">
        <f t="shared" si="17"/>
        <v>SIN SALIDA</v>
      </c>
      <c r="S178" s="33" t="str">
        <f>IFERROR(VLOOKUP($A178,Maestro_Equipos!$A$4:$AG$247,33,FALSE()),"")</f>
        <v>Monitorear próximo vencimiento</v>
      </c>
    </row>
    <row r="179" spans="1:19" ht="15.75" customHeight="1">
      <c r="A179" t="str" cm="1">
        <f t="array" ref="A179">IFERROR(INDEX(_xlfn._xlws.FILTER(Maestro_Equipos!$A$4:$A$247,Maestro_Equipos!$A$4:$A$247&lt;&gt;""),ROWS($A$4:A179)),"")</f>
        <v>MD-94</v>
      </c>
      <c r="B179" t="str">
        <f>IFERROR(_xlfn.XLOOKUP($A179,Maestro_Equipos!$A$4:$A$247,Maestro_Equipos!$B$4:$B$247,""),"")</f>
        <v>Retroexcavadora</v>
      </c>
      <c r="C179" t="str">
        <f>IFERROR(_xlfn.XLOOKUP($A179,Maestro_Equipos!$A$4:$A$247,Maestro_Equipos!$C$4:$C$247,""),"")</f>
        <v>Maquinaria Pesada</v>
      </c>
      <c r="D179" t="str">
        <f>IFERROR(_xlfn.XLOOKUP($A179,Maestro_Equipos!$A:$A,Maestro_Equipos!$I:$I,""),"")</f>
        <v>HORAS</v>
      </c>
      <c r="E179">
        <f>IFERROR(IF($D179="KM",_xlfn.XLOOKUP($A179,Maestro_Equipos!$A:$A,Maestro_Equipos!$N:$N,""),_xlfn.XLOOKUP($A179,Maestro_Equipos!$A:$A,Maestro_Equipos!$M:$M,"")),"")</f>
        <v>2396</v>
      </c>
      <c r="F179">
        <f>IFERROR(_xlfn.XLOOKUP($A179,Maestro_Equipos!$A:$A,Maestro_Equipos!$R:$R,"")+_xlfn.XLOOKUP($A179,Maestro_Equipos!$A:$A,Maestro_Equipos!$J:$J,""),"")</f>
        <v>2610</v>
      </c>
      <c r="G179">
        <f>IFERROR(_xlfn.XLOOKUP($A179,Maestro_Equipos!$A:$A,Maestro_Equipos!$K:$K,""),"")</f>
        <v>2.9</v>
      </c>
      <c r="H179">
        <f t="shared" si="12"/>
        <v>74</v>
      </c>
      <c r="I179" s="41">
        <f t="shared" ca="1" si="13"/>
        <v>46219</v>
      </c>
      <c r="J179" s="5" t="str">
        <f>IFERROR(INDEX(Maestro_Equipos!$V$4:$V$247,MATCH($A179,Maestro_Equipos!$A$4:$A$247,0)),"")</f>
        <v>Operativo</v>
      </c>
      <c r="K179" s="37">
        <f>IFERROR(
   SUMIFS(Mantenciones!$I:$I,Mantenciones!$B:$B,$A179)
 + SUMIFS('Compras PM'!$F:$F,'Compras PM'!$C:$C,$A179),0)</f>
        <v>0</v>
      </c>
      <c r="L179" s="30" t="str">
        <f t="shared" si="14"/>
        <v>BAJA</v>
      </c>
      <c r="M179" s="58" cm="1">
        <f t="array" ref="M179">IFERROR(_xlfn.AGGREGATE(14,6,Mantenciones!$A$2:$A$9997/(Mantenciones!$B$2:$B$9997=$A179),1),"")</f>
        <v>46100</v>
      </c>
      <c r="N179" s="31" t="str" cm="1">
        <f t="array" ref="N179">IFERROR(_xlfn.AGGREGATE(14,6,'Compras PM'!$A$4:$A$10014/('Compras PM'!$C$4:$C$10014=$A179),1),"")</f>
        <v/>
      </c>
      <c r="O179" s="31">
        <f>IFERROR(VLOOKUP($A179,Maestro_Equipos!$A$4:$AG$247,27,FALSE()),"")</f>
        <v>46083</v>
      </c>
      <c r="P179" s="32" t="str">
        <f t="shared" ca="1" si="15"/>
        <v/>
      </c>
      <c r="Q179" s="32">
        <f t="shared" ca="1" si="16"/>
        <v>17</v>
      </c>
      <c r="R179" s="30" t="str">
        <f t="shared" si="17"/>
        <v>REALIZADA</v>
      </c>
      <c r="S179" s="33" t="str">
        <f>IFERROR(VLOOKUP($A179,Maestro_Equipos!$A$4:$AG$247,33,FALSE()),"")</f>
        <v>Monitorear próximo vencimiento</v>
      </c>
    </row>
    <row r="180" spans="1:19" ht="15.75" customHeight="1">
      <c r="A180" t="str" cm="1">
        <f t="array" ref="A180">IFERROR(INDEX(_xlfn._xlws.FILTER(Maestro_Equipos!$A$4:$A$247,Maestro_Equipos!$A$4:$A$247&lt;&gt;""),ROWS($A$4:A180)),"")</f>
        <v>MD-96</v>
      </c>
      <c r="B180" t="str">
        <f>IFERROR(_xlfn.XLOOKUP($A180,Maestro_Equipos!$A$4:$A$247,Maestro_Equipos!$B$4:$B$247,""),"")</f>
        <v>Retroexcavadora</v>
      </c>
      <c r="C180" t="str">
        <f>IFERROR(_xlfn.XLOOKUP($A180,Maestro_Equipos!$A$4:$A$247,Maestro_Equipos!$C$4:$C$247,""),"")</f>
        <v>Maquinaria Pesada</v>
      </c>
      <c r="D180" t="str">
        <f>IFERROR(_xlfn.XLOOKUP($A180,Maestro_Equipos!$A:$A,Maestro_Equipos!$I:$I,""),"")</f>
        <v>HORAS</v>
      </c>
      <c r="E180">
        <f>IFERROR(IF($D180="KM",_xlfn.XLOOKUP($A180,Maestro_Equipos!$A:$A,Maestro_Equipos!$N:$N,""),_xlfn.XLOOKUP($A180,Maestro_Equipos!$A:$A,Maestro_Equipos!$M:$M,"")),"")</f>
        <v>1880</v>
      </c>
      <c r="F180">
        <f>IFERROR(_xlfn.XLOOKUP($A180,Maestro_Equipos!$A:$A,Maestro_Equipos!$R:$R,"")+_xlfn.XLOOKUP($A180,Maestro_Equipos!$A:$A,Maestro_Equipos!$J:$J,""),"")</f>
        <v>1746</v>
      </c>
      <c r="G180">
        <f>IFERROR(_xlfn.XLOOKUP($A180,Maestro_Equipos!$A:$A,Maestro_Equipos!$K:$K,""),"")</f>
        <v>2.9</v>
      </c>
      <c r="H180">
        <f t="shared" si="12"/>
        <v>-46</v>
      </c>
      <c r="I180" s="41">
        <f t="shared" ca="1" si="13"/>
        <v>46099</v>
      </c>
      <c r="J180" s="5" t="str">
        <f>IFERROR(INDEX(Maestro_Equipos!$V$4:$V$247,MATCH($A180,Maestro_Equipos!$A$4:$A$247,0)),"")</f>
        <v>Operativo</v>
      </c>
      <c r="K180" s="37">
        <f>IFERROR(
   SUMIFS(Mantenciones!$I:$I,Mantenciones!$B:$B,$A180)
 + SUMIFS('Compras PM'!$F:$F,'Compras PM'!$C:$C,$A180),0)</f>
        <v>517052.62</v>
      </c>
      <c r="L180" s="30" t="str">
        <f t="shared" si="14"/>
        <v>VENCIDA</v>
      </c>
      <c r="M180" s="58" cm="1">
        <f t="array" ref="M180">IFERROR(_xlfn.AGGREGATE(14,6,Mantenciones!$A$2:$A$9997/(Mantenciones!$B$2:$B$9997=$A180),1),"")</f>
        <v>45971</v>
      </c>
      <c r="N180" s="31" cm="1">
        <f t="array" ref="N180">IFERROR(_xlfn.AGGREGATE(14,6,'Compras PM'!$A$4:$A$10014/('Compras PM'!$C$4:$C$10014=$A180),1),"")</f>
        <v>46078.648084178203</v>
      </c>
      <c r="O180" s="31">
        <f>IFERROR(VLOOKUP($A180,Maestro_Equipos!$A$4:$AG$247,27,FALSE()),"")</f>
        <v>46083</v>
      </c>
      <c r="P180" s="32">
        <f t="shared" ca="1" si="15"/>
        <v>66.351915821796865</v>
      </c>
      <c r="Q180" s="32">
        <f t="shared" ca="1" si="16"/>
        <v>62</v>
      </c>
      <c r="R180" s="30" t="str">
        <f t="shared" si="17"/>
        <v>PENDIENTE</v>
      </c>
      <c r="S180" s="33" t="str">
        <f>IFERROR(VLOOKUP($A180,Maestro_Equipos!$A$4:$AG$247,33,FALSE()),"")</f>
        <v>Monitorear próximo vencimiento</v>
      </c>
    </row>
    <row r="181" spans="1:19" ht="15.75" customHeight="1">
      <c r="A181" t="str" cm="1">
        <f t="array" ref="A181">IFERROR(INDEX(_xlfn._xlws.FILTER(Maestro_Equipos!$A$4:$A$247,Maestro_Equipos!$A$4:$A$247&lt;&gt;""),ROWS($A$4:A181)),"")</f>
        <v>VD-125</v>
      </c>
      <c r="B181" t="str">
        <f>IFERROR(_xlfn.XLOOKUP($A181,Maestro_Equipos!$A$4:$A$247,Maestro_Equipos!$B$4:$B$247,""),"")</f>
        <v>Camioneta</v>
      </c>
      <c r="C181" t="str">
        <f>IFERROR(_xlfn.XLOOKUP($A181,Maestro_Equipos!$A$4:$A$247,Maestro_Equipos!$C$4:$C$247,""),"")</f>
        <v>Vehículos Livianos</v>
      </c>
      <c r="D181" t="str">
        <f>IFERROR(_xlfn.XLOOKUP($A181,Maestro_Equipos!$A:$A,Maestro_Equipos!$I:$I,""),"")</f>
        <v>KM</v>
      </c>
      <c r="E181">
        <f>IFERROR(IF($D181="KM",_xlfn.XLOOKUP($A181,Maestro_Equipos!$A:$A,Maestro_Equipos!$N:$N,""),_xlfn.XLOOKUP($A181,Maestro_Equipos!$A:$A,Maestro_Equipos!$M:$M,"")),"")</f>
        <v>95301</v>
      </c>
      <c r="F181">
        <f>IFERROR(_xlfn.XLOOKUP($A181,Maestro_Equipos!$A:$A,Maestro_Equipos!$R:$R,"")+_xlfn.XLOOKUP($A181,Maestro_Equipos!$A:$A,Maestro_Equipos!$J:$J,""),"")</f>
        <v>73306</v>
      </c>
      <c r="G181">
        <f>IFERROR(_xlfn.XLOOKUP($A181,Maestro_Equipos!$A:$A,Maestro_Equipos!$K:$K,""),"")</f>
        <v>488.5</v>
      </c>
      <c r="H181">
        <f t="shared" si="12"/>
        <v>-45</v>
      </c>
      <c r="I181" s="41">
        <f t="shared" ca="1" si="13"/>
        <v>46100</v>
      </c>
      <c r="J181" s="5" t="str">
        <f>IFERROR(INDEX(Maestro_Equipos!$V$4:$V$247,MATCH($A181,Maestro_Equipos!$A$4:$A$247,0)),"")</f>
        <v>Operativo</v>
      </c>
      <c r="K181" s="37">
        <f>IFERROR(
   SUMIFS(Mantenciones!$I:$I,Mantenciones!$B:$B,$A181)
 + SUMIFS('Compras PM'!$F:$F,'Compras PM'!$C:$C,$A181),0)</f>
        <v>426593.58</v>
      </c>
      <c r="L181" s="30" t="str">
        <f t="shared" si="14"/>
        <v>VENCIDA</v>
      </c>
      <c r="M181" s="58" cm="1">
        <f t="array" ref="M181">IFERROR(_xlfn.AGGREGATE(14,6,Mantenciones!$A$2:$A$9997/(Mantenciones!$B$2:$B$9997=$A181),1),"")</f>
        <v>46073</v>
      </c>
      <c r="N181" s="31" cm="1">
        <f t="array" ref="N181">IFERROR(_xlfn.AGGREGATE(14,6,'Compras PM'!$A$4:$A$10014/('Compras PM'!$C$4:$C$10014=$A181),1),"")</f>
        <v>46073.685945798599</v>
      </c>
      <c r="O181" s="31" t="str">
        <f>IFERROR(VLOOKUP($A181,Maestro_Equipos!$A$4:$AG$247,27,FALSE()),"")</f>
        <v/>
      </c>
      <c r="P181" s="32">
        <f t="shared" ca="1" si="15"/>
        <v>71.314054201400722</v>
      </c>
      <c r="Q181" s="32" t="str">
        <f t="shared" ca="1" si="16"/>
        <v/>
      </c>
      <c r="R181" s="30" t="str">
        <f t="shared" si="17"/>
        <v>SIN SALIDA</v>
      </c>
      <c r="S181" s="33" t="str">
        <f>IFERROR(VLOOKUP($A181,Maestro_Equipos!$A$4:$AG$247,33,FALSE()),"")</f>
        <v>Hacer seguimiento al taller y cerrar report</v>
      </c>
    </row>
    <row r="182" spans="1:19" ht="15.75" hidden="1" customHeight="1">
      <c r="A182" t="str" cm="1">
        <f t="array" ref="A182">IFERROR(INDEX(_xlfn._xlws.FILTER(Maestro_Equipos!$A$4:$A$247,Maestro_Equipos!$A$4:$A$247&lt;&gt;""),ROWS($A$4:A182)),"")</f>
        <v>VD-105</v>
      </c>
      <c r="B182" t="str">
        <f>IFERROR(_xlfn.XLOOKUP($A182,Maestro_Equipos!$A$4:$A$247,Maestro_Equipos!$B$4:$B$247,""),"")</f>
        <v>Camioneta</v>
      </c>
      <c r="C182" t="str">
        <f>IFERROR(_xlfn.XLOOKUP($A182,Maestro_Equipos!$A$4:$A$247,Maestro_Equipos!$C$4:$C$247,""),"")</f>
        <v>Vehículos Livianos</v>
      </c>
      <c r="D182" t="str">
        <f>IFERROR(VLOOKUP($A179,Maestro_Equipos!$A$4:$Z$247,9,FALSE),"")</f>
        <v>HORAS</v>
      </c>
      <c r="E182">
        <f>IFERROR(IF($D182="KM",_xlfn.XLOOKUP($A182,Maestro_Equipos!$A:$A,Maestro_Equipos!$N:$N,""),_xlfn.XLOOKUP($A182,Maestro_Equipos!$A:$A,Maestro_Equipos!$M:$M,"")),"")</f>
        <v>10283</v>
      </c>
      <c r="F182" t="str">
        <f>IFERROR(_xlfn.XLOOKUP($A182,Maestro_Equipos!$A:$A,Maestro_Equipos!$R:$R,"")+_xlfn.XLOOKUP($A182,Maestro_Equipos!$A:$A,Maestro_Equipos!$J:$J,""),"")</f>
        <v/>
      </c>
      <c r="G182">
        <f>IFERROR(_xlfn.XLOOKUP($A182,Maestro_Equipos!$A:$A,Maestro_Equipos!$K:$K,""),"")</f>
        <v>4947.8</v>
      </c>
      <c r="H182" t="str">
        <f t="shared" si="12"/>
        <v/>
      </c>
      <c r="I182" s="41" t="str">
        <f t="shared" ca="1" si="13"/>
        <v/>
      </c>
      <c r="J182" s="5" t="str">
        <f>IFERROR(INDEX(Maestro_Equipos!$V$4:$V$247,MATCH($A182,Maestro_Equipos!$A$4:$A$247,0)),"")</f>
        <v>Fuera de Servicio</v>
      </c>
      <c r="K182" s="37">
        <f>IFERROR(
   SUMIFS(Mantenciones!$I:$I,Mantenciones!$B:$B,$A182)
 + SUMIFS('Compras PM'!$F:$F,'Compras PM'!$C:$C,$A182),0)</f>
        <v>0</v>
      </c>
      <c r="L182" s="30" t="str">
        <f t="shared" si="14"/>
        <v>NO PROGRAMAR</v>
      </c>
      <c r="M182" s="58" t="str" cm="1">
        <f t="array" ref="M182">IFERROR(_xlfn.AGGREGATE(14,6,Mantenciones!$A$2:$A$9997/(Mantenciones!$B$2:$B$9997=$A182),1),"")</f>
        <v/>
      </c>
      <c r="N182" s="31" t="str" cm="1">
        <f t="array" ref="N182">IFERROR(_xlfn.AGGREGATE(14,6,'Compras PM'!$A$4:$A$10014/('Compras PM'!$C$4:$C$10014=$A182),1),"")</f>
        <v/>
      </c>
      <c r="O182" s="31" t="str">
        <f>IFERROR(VLOOKUP($A182,Maestro_Equipos!$A$4:$AG$247,27,FALSE()),"")</f>
        <v/>
      </c>
      <c r="P182" s="32" t="str">
        <f t="shared" ca="1" si="15"/>
        <v/>
      </c>
      <c r="Q182" s="32" t="str">
        <f t="shared" ca="1" si="16"/>
        <v/>
      </c>
      <c r="R182" s="30" t="str">
        <f t="shared" si="17"/>
        <v>SIN SALIDA</v>
      </c>
      <c r="S182" s="33" t="str">
        <f>IFERROR(VLOOKUP($A182,Maestro_Equipos!$A$4:$AG$247,33,FALSE()),"")</f>
        <v>No programar compra</v>
      </c>
    </row>
    <row r="183" spans="1:19" ht="15.75" customHeight="1">
      <c r="A183" t="str" cm="1">
        <f t="array" ref="A183">IFERROR(INDEX(_xlfn._xlws.FILTER(Maestro_Equipos!$A$4:$A$247,Maestro_Equipos!$A$4:$A$247&lt;&gt;""),ROWS($A$4:A183)),"")</f>
        <v>CD-87</v>
      </c>
      <c r="B183" t="str">
        <f>IFERROR(_xlfn.XLOOKUP($A183,Maestro_Equipos!$A$4:$A$247,Maestro_Equipos!$B$4:$B$247,""),"")</f>
        <v>Camión Tolva</v>
      </c>
      <c r="C183" t="str">
        <f>IFERROR(_xlfn.XLOOKUP($A183,Maestro_Equipos!$A$4:$A$247,Maestro_Equipos!$C$4:$C$247,""),"")</f>
        <v>Camiones de Ruta</v>
      </c>
      <c r="D183" t="str">
        <f>IFERROR(_xlfn.XLOOKUP($A183,Maestro_Equipos!$A:$A,Maestro_Equipos!$I:$I,""),"")</f>
        <v>HORAS</v>
      </c>
      <c r="E183">
        <f>IFERROR(IF($D183="KM",_xlfn.XLOOKUP($A183,Maestro_Equipos!$A:$A,Maestro_Equipos!$N:$N,""),_xlfn.XLOOKUP($A183,Maestro_Equipos!$A:$A,Maestro_Equipos!$M:$M,"")),"")</f>
        <v>9933</v>
      </c>
      <c r="F183">
        <f>IFERROR(_xlfn.XLOOKUP($A183,Maestro_Equipos!$A:$A,Maestro_Equipos!$R:$R,"")+_xlfn.XLOOKUP($A183,Maestro_Equipos!$A:$A,Maestro_Equipos!$J:$J,""),"")</f>
        <v>9552</v>
      </c>
      <c r="G183">
        <f>IFERROR(_xlfn.XLOOKUP($A183,Maestro_Equipos!$A:$A,Maestro_Equipos!$K:$K,""),"")</f>
        <v>4.2</v>
      </c>
      <c r="H183">
        <f t="shared" si="12"/>
        <v>-91</v>
      </c>
      <c r="I183" s="41">
        <f t="shared" ca="1" si="13"/>
        <v>46054</v>
      </c>
      <c r="J183" s="5" t="str">
        <f>IFERROR(INDEX(Maestro_Equipos!$V$4:$V$247,MATCH($A183,Maestro_Equipos!$A$4:$A$247,0)),"")</f>
        <v>Operativo</v>
      </c>
      <c r="K183" s="37">
        <f>IFERROR(
   SUMIFS(Mantenciones!$I:$I,Mantenciones!$B:$B,$A183)
 + SUMIFS('Compras PM'!$F:$F,'Compras PM'!$C:$C,$A183),0)</f>
        <v>63430.805899999999</v>
      </c>
      <c r="L183" s="30" t="str">
        <f t="shared" si="14"/>
        <v>VENCIDA</v>
      </c>
      <c r="M183" s="58" cm="1">
        <f t="array" ref="M183">IFERROR(_xlfn.AGGREGATE(14,6,Mantenciones!$A$2:$A$9997/(Mantenciones!$B$2:$B$9997=$A183),1),"")</f>
        <v>46066</v>
      </c>
      <c r="N183" s="31" cm="1">
        <f t="array" ref="N183">IFERROR(_xlfn.AGGREGATE(14,6,'Compras PM'!$A$4:$A$10014/('Compras PM'!$C$4:$C$10014=$A183),1),"")</f>
        <v>46093.460116550901</v>
      </c>
      <c r="O183" s="31">
        <f>IFERROR(VLOOKUP($A183,Maestro_Equipos!$A$4:$AG$247,27,FALSE()),"")</f>
        <v>46077</v>
      </c>
      <c r="P183" s="32">
        <f t="shared" ca="1" si="15"/>
        <v>51.539883449098852</v>
      </c>
      <c r="Q183" s="32">
        <f t="shared" ca="1" si="16"/>
        <v>68</v>
      </c>
      <c r="R183" s="30" t="str">
        <f t="shared" si="17"/>
        <v>PENDIENTE</v>
      </c>
      <c r="S183" s="33" t="str">
        <f>IFERROR(VLOOKUP($A183,Maestro_Equipos!$A$4:$AG$247,33,FALSE()),"")</f>
        <v>Monitorear próximo vencimiento</v>
      </c>
    </row>
    <row r="184" spans="1:19" ht="15.75" customHeight="1">
      <c r="A184" t="str" cm="1">
        <f t="array" ref="A184">IFERROR(INDEX(_xlfn._xlws.FILTER(Maestro_Equipos!$A$4:$A$247,Maestro_Equipos!$A$4:$A$247&lt;&gt;""),ROWS($A$4:A184)),"")</f>
        <v>MD-108</v>
      </c>
      <c r="B184" t="str">
        <f>IFERROR(_xlfn.XLOOKUP($A184,Maestro_Equipos!$A$4:$A$247,Maestro_Equipos!$B$4:$B$247,""),"")</f>
        <v>Rodillo de Neumaticos</v>
      </c>
      <c r="C184" t="str">
        <f>IFERROR(_xlfn.XLOOKUP($A184,Maestro_Equipos!$A$4:$A$247,Maestro_Equipos!$C$4:$C$247,""),"")</f>
        <v>Maquinaria Pesada</v>
      </c>
      <c r="D184" t="str">
        <f>IFERROR(_xlfn.XLOOKUP($A184,Maestro_Equipos!$A:$A,Maestro_Equipos!$I:$I,""),"")</f>
        <v>HORAS</v>
      </c>
      <c r="E184">
        <f>IFERROR(IF($D184="KM",_xlfn.XLOOKUP($A184,Maestro_Equipos!$A:$A,Maestro_Equipos!$N:$N,""),_xlfn.XLOOKUP($A184,Maestro_Equipos!$A:$A,Maestro_Equipos!$M:$M,"")),"")</f>
        <v>5326</v>
      </c>
      <c r="F184" t="str">
        <f>IFERROR(_xlfn.XLOOKUP($A184,Maestro_Equipos!$A:$A,Maestro_Equipos!$R:$R,"")+_xlfn.XLOOKUP($A184,Maestro_Equipos!$A:$A,Maestro_Equipos!$J:$J,""),"")</f>
        <v/>
      </c>
      <c r="G184">
        <f>IFERROR(_xlfn.XLOOKUP($A184,Maestro_Equipos!$A:$A,Maestro_Equipos!$K:$K,""),"")</f>
        <v>79</v>
      </c>
      <c r="H184" t="str">
        <f t="shared" si="12"/>
        <v/>
      </c>
      <c r="I184" s="41" t="str">
        <f t="shared" ca="1" si="13"/>
        <v/>
      </c>
      <c r="J184" s="5" t="str">
        <f>IFERROR(INDEX(Maestro_Equipos!$V$4:$V$247,MATCH($A184,Maestro_Equipos!$A$4:$A$247,0)),"")</f>
        <v>Operativo</v>
      </c>
      <c r="K184" s="37">
        <f>IFERROR(
   SUMIFS(Mantenciones!$I:$I,Mantenciones!$B:$B,$A184)
 + SUMIFS('Compras PM'!$F:$F,'Compras PM'!$C:$C,$A184),0)</f>
        <v>0</v>
      </c>
      <c r="L184" s="30" t="str">
        <f t="shared" si="14"/>
        <v>SIN DATOS</v>
      </c>
      <c r="M184" s="58" t="str" cm="1">
        <f t="array" ref="M184">IFERROR(_xlfn.AGGREGATE(14,6,Mantenciones!$A$2:$A$9997/(Mantenciones!$B$2:$B$9997=$A184),1),"")</f>
        <v/>
      </c>
      <c r="N184" s="31" cm="1">
        <f t="array" ref="N184">IFERROR(_xlfn.AGGREGATE(14,6,'Compras PM'!$A$4:$A$10014/('Compras PM'!$C$4:$C$10014=$A184),1),"")</f>
        <v>46106</v>
      </c>
      <c r="O184" s="31" t="str">
        <f>IFERROR(VLOOKUP($A184,Maestro_Equipos!$A$4:$AG$247,27,FALSE()),"")</f>
        <v/>
      </c>
      <c r="P184" s="32">
        <f t="shared" ca="1" si="15"/>
        <v>39</v>
      </c>
      <c r="Q184" s="32" t="str">
        <f t="shared" ca="1" si="16"/>
        <v/>
      </c>
      <c r="R184" s="30" t="str">
        <f t="shared" si="17"/>
        <v>SIN SALIDA</v>
      </c>
      <c r="S184" s="33" t="str">
        <f>IFERROR(VLOOKUP($A184,Maestro_Equipos!$A$4:$AG$247,33,FALSE()),"")</f>
        <v>Hacer seguimiento al taller y cerrar report</v>
      </c>
    </row>
    <row r="185" spans="1:19" ht="15.75" customHeight="1">
      <c r="A185" t="str" cm="1">
        <f t="array" ref="A185">IFERROR(INDEX(_xlfn._xlws.FILTER(Maestro_Equipos!$A$4:$A$247,Maestro_Equipos!$A$4:$A$247&lt;&gt;""),ROWS($A$4:A185)),"")</f>
        <v>MD-73</v>
      </c>
      <c r="B185" t="str">
        <f>IFERROR(_xlfn.XLOOKUP($A185,Maestro_Equipos!$A$4:$A$247,Maestro_Equipos!$B$4:$B$247,""),"")</f>
        <v>Motoniveladora</v>
      </c>
      <c r="C185" t="str">
        <f>IFERROR(_xlfn.XLOOKUP($A185,Maestro_Equipos!$A$4:$A$247,Maestro_Equipos!$C$4:$C$247,""),"")</f>
        <v>Maquinaria Pesada</v>
      </c>
      <c r="D185" t="str">
        <f>IFERROR(_xlfn.XLOOKUP($A185,Maestro_Equipos!$A:$A,Maestro_Equipos!$I:$I,""),"")</f>
        <v>HORAS</v>
      </c>
      <c r="E185">
        <f>IFERROR(IF($D185="KM",_xlfn.XLOOKUP($A185,Maestro_Equipos!$A:$A,Maestro_Equipos!$N:$N,""),_xlfn.XLOOKUP($A185,Maestro_Equipos!$A:$A,Maestro_Equipos!$M:$M,"")),"")</f>
        <v>17345</v>
      </c>
      <c r="F185">
        <f>IFERROR(_xlfn.XLOOKUP($A185,Maestro_Equipos!$A:$A,Maestro_Equipos!$R:$R,"")+_xlfn.XLOOKUP($A185,Maestro_Equipos!$A:$A,Maestro_Equipos!$J:$J,""),"")</f>
        <v>17546</v>
      </c>
      <c r="G185">
        <f>IFERROR(_xlfn.XLOOKUP($A185,Maestro_Equipos!$A:$A,Maestro_Equipos!$K:$K,""),"")</f>
        <v>2.8</v>
      </c>
      <c r="H185">
        <f t="shared" si="12"/>
        <v>72</v>
      </c>
      <c r="I185" s="41">
        <f t="shared" ca="1" si="13"/>
        <v>46217</v>
      </c>
      <c r="J185" s="5" t="str">
        <f>IFERROR(INDEX(Maestro_Equipos!$V$4:$V$247,MATCH($A185,Maestro_Equipos!$A$4:$A$247,0)),"")</f>
        <v>Operativo</v>
      </c>
      <c r="K185" s="37">
        <f>IFERROR(
   SUMIFS(Mantenciones!$I:$I,Mantenciones!$B:$B,$A185)
 + SUMIFS('Compras PM'!$F:$F,'Compras PM'!$C:$C,$A185),0)</f>
        <v>579546.66</v>
      </c>
      <c r="L185" s="30" t="str">
        <f t="shared" si="14"/>
        <v>BAJA</v>
      </c>
      <c r="M185" s="58" cm="1">
        <f t="array" ref="M185">IFERROR(_xlfn.AGGREGATE(14,6,Mantenciones!$A$2:$A$9997/(Mantenciones!$B$2:$B$9997=$A185),1),"")</f>
        <v>46098</v>
      </c>
      <c r="N185" s="31" cm="1">
        <f t="array" ref="N185">IFERROR(_xlfn.AGGREGATE(14,6,'Compras PM'!$A$4:$A$10014/('Compras PM'!$C$4:$C$10014=$A185),1),"")</f>
        <v>46085.559944872701</v>
      </c>
      <c r="O185" s="31">
        <f>IFERROR(VLOOKUP($A185,Maestro_Equipos!$A$4:$AG$247,27,FALSE()),"")</f>
        <v>46098</v>
      </c>
      <c r="P185" s="32">
        <f t="shared" ca="1" si="15"/>
        <v>12.440055127299274</v>
      </c>
      <c r="Q185" s="32">
        <f t="shared" ca="1" si="16"/>
        <v>0</v>
      </c>
      <c r="R185" s="30" t="str">
        <f t="shared" si="17"/>
        <v>REALIZADA</v>
      </c>
      <c r="S185" s="33" t="str">
        <f>IFERROR(VLOOKUP($A185,Maestro_Equipos!$A$4:$AG$247,33,FALSE()),"")</f>
        <v>Monitorear próximo vencimiento</v>
      </c>
    </row>
    <row r="186" spans="1:19" ht="15.75" customHeight="1">
      <c r="A186" t="str" cm="1">
        <f t="array" ref="A186">IFERROR(INDEX(_xlfn._xlws.FILTER(Maestro_Equipos!$A$4:$A$247,Maestro_Equipos!$A$4:$A$247&lt;&gt;""),ROWS($A$4:A186)),"")</f>
        <v>MD-62</v>
      </c>
      <c r="B186" t="str">
        <f>IFERROR(_xlfn.XLOOKUP($A186,Maestro_Equipos!$A$4:$A$247,Maestro_Equipos!$B$4:$B$247,""),"")</f>
        <v>Excavadora con Ruedas</v>
      </c>
      <c r="C186" t="str">
        <f>IFERROR(_xlfn.XLOOKUP($A186,Maestro_Equipos!$A$4:$A$247,Maestro_Equipos!$C$4:$C$247,""),"")</f>
        <v>Maquinaria Pesada</v>
      </c>
      <c r="D186" t="str">
        <f>IFERROR(_xlfn.XLOOKUP($A186,Maestro_Equipos!$A:$A,Maestro_Equipos!$I:$I,""),"")</f>
        <v>HORAS</v>
      </c>
      <c r="E186">
        <f>IFERROR(IF($D186="KM",_xlfn.XLOOKUP($A186,Maestro_Equipos!$A:$A,Maestro_Equipos!$N:$N,""),_xlfn.XLOOKUP($A186,Maestro_Equipos!$A:$A,Maestro_Equipos!$M:$M,"")),"")</f>
        <v>48716</v>
      </c>
      <c r="F186">
        <f>IFERROR(_xlfn.XLOOKUP($A186,Maestro_Equipos!$A:$A,Maestro_Equipos!$R:$R,"")+_xlfn.XLOOKUP($A186,Maestro_Equipos!$A:$A,Maestro_Equipos!$J:$J,""),"")</f>
        <v>17402</v>
      </c>
      <c r="G186">
        <f>IFERROR(_xlfn.XLOOKUP($A186,Maestro_Equipos!$A:$A,Maestro_Equipos!$K:$K,""),"")</f>
        <v>47.2</v>
      </c>
      <c r="H186">
        <f t="shared" si="12"/>
        <v>-663</v>
      </c>
      <c r="I186" s="41">
        <f t="shared" ca="1" si="13"/>
        <v>45482</v>
      </c>
      <c r="J186" s="5" t="str">
        <f>IFERROR(INDEX(Maestro_Equipos!$V$4:$V$247,MATCH($A186,Maestro_Equipos!$A$4:$A$247,0)),"")</f>
        <v>Operativo</v>
      </c>
      <c r="K186" s="37">
        <f>IFERROR(
   SUMIFS(Mantenciones!$I:$I,Mantenciones!$B:$B,$A186)
 + SUMIFS('Compras PM'!$F:$F,'Compras PM'!$C:$C,$A186),0)</f>
        <v>277000</v>
      </c>
      <c r="L186" s="30" t="str">
        <f t="shared" si="14"/>
        <v>VENCIDA</v>
      </c>
      <c r="M186" s="58" cm="1">
        <f t="array" ref="M186">IFERROR(_xlfn.AGGREGATE(14,6,Mantenciones!$A$2:$A$9997/(Mantenciones!$B$2:$B$9997=$A186),1),"")</f>
        <v>46094</v>
      </c>
      <c r="N186" s="31" t="str" cm="1">
        <f t="array" ref="N186">IFERROR(_xlfn.AGGREGATE(14,6,'Compras PM'!$A$4:$A$10014/('Compras PM'!$C$4:$C$10014=$A186),1),"")</f>
        <v/>
      </c>
      <c r="O186" s="31">
        <f>IFERROR(VLOOKUP($A186,Maestro_Equipos!$A$4:$AG$247,27,FALSE()),"")</f>
        <v>46079</v>
      </c>
      <c r="P186" s="32" t="str">
        <f t="shared" ca="1" si="15"/>
        <v/>
      </c>
      <c r="Q186" s="32">
        <f t="shared" ca="1" si="16"/>
        <v>15</v>
      </c>
      <c r="R186" s="30" t="str">
        <f t="shared" si="17"/>
        <v>REALIZADA</v>
      </c>
      <c r="S186" s="33" t="str">
        <f>IFERROR(VLOOKUP($A186,Maestro_Equipos!$A$4:$AG$247,33,FALSE()),"")</f>
        <v>Monitorear próximo vencimiento</v>
      </c>
    </row>
    <row r="187" spans="1:19" ht="15.75" customHeight="1">
      <c r="A187" t="str" cm="1">
        <f t="array" ref="A187">IFERROR(INDEX(_xlfn._xlws.FILTER(Maestro_Equipos!$A$4:$A$247,Maestro_Equipos!$A$4:$A$247&lt;&gt;""),ROWS($A$4:A187)),"")</f>
        <v>VD-121</v>
      </c>
      <c r="B187" t="str">
        <f>IFERROR(_xlfn.XLOOKUP($A187,Maestro_Equipos!$A$4:$A$247,Maestro_Equipos!$B$4:$B$247,""),"")</f>
        <v>Furgon</v>
      </c>
      <c r="C187" t="str">
        <f>IFERROR(_xlfn.XLOOKUP($A187,Maestro_Equipos!$A$4:$A$247,Maestro_Equipos!$C$4:$C$247,""),"")</f>
        <v>Vehículos Livianos</v>
      </c>
      <c r="D187" t="str">
        <f>IFERROR(_xlfn.XLOOKUP($A187,Maestro_Equipos!$A:$A,Maestro_Equipos!$I:$I,""),"")</f>
        <v>KM</v>
      </c>
      <c r="E187">
        <f>IFERROR(IF($D187="KM",_xlfn.XLOOKUP($A187,Maestro_Equipos!$A:$A,Maestro_Equipos!$N:$N,""),_xlfn.XLOOKUP($A187,Maestro_Equipos!$A:$A,Maestro_Equipos!$M:$M,"")),"")</f>
        <v>175279</v>
      </c>
      <c r="F187">
        <f>IFERROR(_xlfn.XLOOKUP($A187,Maestro_Equipos!$A:$A,Maestro_Equipos!$R:$R,"")+_xlfn.XLOOKUP($A187,Maestro_Equipos!$A:$A,Maestro_Equipos!$J:$J,""),"")</f>
        <v>81838</v>
      </c>
      <c r="G187">
        <f>IFERROR(_xlfn.XLOOKUP($A187,Maestro_Equipos!$A:$A,Maestro_Equipos!$K:$K,""),"")</f>
        <v>871.5</v>
      </c>
      <c r="H187">
        <f t="shared" si="12"/>
        <v>-107</v>
      </c>
      <c r="I187" s="41">
        <f t="shared" ca="1" si="13"/>
        <v>46038</v>
      </c>
      <c r="J187" s="5" t="str">
        <f>IFERROR(INDEX(Maestro_Equipos!$V$4:$V$247,MATCH($A187,Maestro_Equipos!$A$4:$A$247,0)),"")</f>
        <v>Operativo</v>
      </c>
      <c r="K187" s="37">
        <f>IFERROR(
   SUMIFS(Mantenciones!$I:$I,Mantenciones!$B:$B,$A187)
 + SUMIFS('Compras PM'!$F:$F,'Compras PM'!$C:$C,$A187),0)</f>
        <v>24399.973999999998</v>
      </c>
      <c r="L187" s="30" t="str">
        <f t="shared" si="14"/>
        <v>VENCIDA</v>
      </c>
      <c r="M187" s="58" cm="1">
        <f t="array" ref="M187">IFERROR(_xlfn.AGGREGATE(14,6,Mantenciones!$A$2:$A$9997/(Mantenciones!$B$2:$B$9997=$A187),1),"")</f>
        <v>46087</v>
      </c>
      <c r="N187" s="31" cm="1">
        <f t="array" ref="N187">IFERROR(_xlfn.AGGREGATE(14,6,'Compras PM'!$A$4:$A$10014/('Compras PM'!$C$4:$C$10014=$A187),1),"")</f>
        <v>46118</v>
      </c>
      <c r="O187" s="31">
        <f>IFERROR(VLOOKUP($A187,Maestro_Equipos!$A$4:$AG$247,27,FALSE()),"")</f>
        <v>46087</v>
      </c>
      <c r="P187" s="32">
        <f t="shared" ca="1" si="15"/>
        <v>27</v>
      </c>
      <c r="Q187" s="32">
        <f t="shared" ca="1" si="16"/>
        <v>0</v>
      </c>
      <c r="R187" s="30" t="str">
        <f t="shared" si="17"/>
        <v>REALIZADA</v>
      </c>
      <c r="S187" s="33" t="str">
        <f>IFERROR(VLOOKUP($A187,Maestro_Equipos!$A$4:$AG$247,33,FALSE()),"")</f>
        <v>Monitorear próximo vencimiento</v>
      </c>
    </row>
    <row r="188" spans="1:19" ht="15.75" customHeight="1">
      <c r="A188" t="str" cm="1">
        <f t="array" ref="A188">IFERROR(INDEX(_xlfn._xlws.FILTER(Maestro_Equipos!$A$4:$A$247,Maestro_Equipos!$A$4:$A$247&lt;&gt;""),ROWS($A$4:A188)),"")</f>
        <v>CD-119</v>
      </c>
      <c r="B188" t="str">
        <f>IFERROR(_xlfn.XLOOKUP($A188,Maestro_Equipos!$A$4:$A$247,Maestro_Equipos!$B$4:$B$247,""),"")</f>
        <v>Camión Combustible</v>
      </c>
      <c r="C188" t="str">
        <f>IFERROR(_xlfn.XLOOKUP($A188,Maestro_Equipos!$A$4:$A$247,Maestro_Equipos!$C$4:$C$247,""),"")</f>
        <v>Camiones de Ruta</v>
      </c>
      <c r="D188" t="str">
        <f>IFERROR(_xlfn.XLOOKUP($A188,Maestro_Equipos!$A:$A,Maestro_Equipos!$I:$I,""),"")</f>
        <v>KM</v>
      </c>
      <c r="E188">
        <f>IFERROR(IF($D188="KM",_xlfn.XLOOKUP($A188,Maestro_Equipos!$A:$A,Maestro_Equipos!$N:$N,""),_xlfn.XLOOKUP($A188,Maestro_Equipos!$A:$A,Maestro_Equipos!$M:$M,"")),"")</f>
        <v>195800</v>
      </c>
      <c r="F188">
        <f>IFERROR(_xlfn.XLOOKUP($A188,Maestro_Equipos!$A:$A,Maestro_Equipos!$R:$R,"")+_xlfn.XLOOKUP($A188,Maestro_Equipos!$A:$A,Maestro_Equipos!$J:$J,""),"")</f>
        <v>205600</v>
      </c>
      <c r="G188">
        <f>IFERROR(_xlfn.XLOOKUP($A188,Maestro_Equipos!$A:$A,Maestro_Equipos!$K:$K,""),"")</f>
        <v>645.79999999999995</v>
      </c>
      <c r="H188">
        <f t="shared" si="12"/>
        <v>15</v>
      </c>
      <c r="I188" s="41">
        <f t="shared" ca="1" si="13"/>
        <v>46160</v>
      </c>
      <c r="J188" s="5" t="str">
        <f>IFERROR(INDEX(Maestro_Equipos!$V$4:$V$247,MATCH($A188,Maestro_Equipos!$A$4:$A$247,0)),"")</f>
        <v>Operativo</v>
      </c>
      <c r="K188" s="37">
        <f>IFERROR(
   SUMIFS(Mantenciones!$I:$I,Mantenciones!$B:$B,$A188)
 + SUMIFS('Compras PM'!$F:$F,'Compras PM'!$C:$C,$A188),0)</f>
        <v>685750.33</v>
      </c>
      <c r="L188" s="30" t="str">
        <f t="shared" si="14"/>
        <v>ALTA</v>
      </c>
      <c r="M188" s="58" cm="1">
        <f t="array" ref="M188">IFERROR(_xlfn.AGGREGATE(14,6,Mantenciones!$A$2:$A$9997/(Mantenciones!$B$2:$B$9997=$A188),1),"")</f>
        <v>46099</v>
      </c>
      <c r="N188" s="31" cm="1">
        <f t="array" ref="N188">IFERROR(_xlfn.AGGREGATE(14,6,'Compras PM'!$A$4:$A$10014/('Compras PM'!$C$4:$C$10014=$A188),1),"")</f>
        <v>46093.364912696801</v>
      </c>
      <c r="O188" s="31">
        <f>IFERROR(VLOOKUP($A188,Maestro_Equipos!$A$4:$AG$247,27,FALSE()),"")</f>
        <v>46099</v>
      </c>
      <c r="P188" s="32">
        <f t="shared" ca="1" si="15"/>
        <v>5.6350873031988158</v>
      </c>
      <c r="Q188" s="32">
        <f t="shared" ca="1" si="16"/>
        <v>0</v>
      </c>
      <c r="R188" s="30" t="str">
        <f t="shared" si="17"/>
        <v>REALIZADA</v>
      </c>
      <c r="S188" s="33" t="str">
        <f>IFERROR(VLOOKUP($A188,Maestro_Equipos!$A$4:$AG$247,33,FALSE()),"")</f>
        <v>Monitorear próximo vencimiento</v>
      </c>
    </row>
    <row r="189" spans="1:19" ht="15.75" customHeight="1">
      <c r="A189" t="str" cm="1">
        <f t="array" ref="A189">IFERROR(INDEX(_xlfn._xlws.FILTER(Maestro_Equipos!$A$4:$A$247,Maestro_Equipos!$A$4:$A$247&lt;&gt;""),ROWS($A$4:A189)),"")</f>
        <v>EQP-18</v>
      </c>
      <c r="B189" t="str">
        <f>IFERROR(_xlfn.XLOOKUP($A189,Maestro_Equipos!$A$4:$A$247,Maestro_Equipos!$B$4:$B$247,""),"")</f>
        <v>Planta aridos</v>
      </c>
      <c r="C189" t="str">
        <f>IFERROR(_xlfn.XLOOKUP($A189,Maestro_Equipos!$A$4:$A$247,Maestro_Equipos!$C$4:$C$247,""),"")</f>
        <v>Maquinaria Pesada</v>
      </c>
      <c r="D189" t="str">
        <f>IFERROR(_xlfn.XLOOKUP($A189,Maestro_Equipos!$A:$A,Maestro_Equipos!$I:$I,""),"")</f>
        <v>HORAS</v>
      </c>
      <c r="E189">
        <f>IFERROR(IF($D189="KM",_xlfn.XLOOKUP($A189,Maestro_Equipos!$A:$A,Maestro_Equipos!$N:$N,""),_xlfn.XLOOKUP($A189,Maestro_Equipos!$A:$A,Maestro_Equipos!$M:$M,"")),"")</f>
        <v>7453</v>
      </c>
      <c r="F189">
        <f>IFERROR(_xlfn.XLOOKUP($A189,Maestro_Equipos!$A:$A,Maestro_Equipos!$R:$R,"")+_xlfn.XLOOKUP($A189,Maestro_Equipos!$A:$A,Maestro_Equipos!$J:$J,""),"")</f>
        <v>5174</v>
      </c>
      <c r="G189">
        <f>IFERROR(_xlfn.XLOOKUP($A189,Maestro_Equipos!$A:$A,Maestro_Equipos!$K:$K,""),"")</f>
        <v>24.2</v>
      </c>
      <c r="H189">
        <f t="shared" si="12"/>
        <v>-94</v>
      </c>
      <c r="I189" s="41">
        <f t="shared" ca="1" si="13"/>
        <v>46051</v>
      </c>
      <c r="J189" s="5" t="str">
        <f>IFERROR(INDEX(Maestro_Equipos!$V$4:$V$247,MATCH($A189,Maestro_Equipos!$A$4:$A$247,0)),"")</f>
        <v>Operativo</v>
      </c>
      <c r="K189" s="37">
        <f>IFERROR(
   SUMIFS(Mantenciones!$I:$I,Mantenciones!$B:$B,$A189)
 + SUMIFS('Compras PM'!$F:$F,'Compras PM'!$C:$C,$A189),0)</f>
        <v>319799.99310000002</v>
      </c>
      <c r="L189" s="30" t="str">
        <f t="shared" si="14"/>
        <v>VENCIDA</v>
      </c>
      <c r="M189" s="58" cm="1">
        <f t="array" ref="M189">IFERROR(_xlfn.AGGREGATE(14,6,Mantenciones!$A$2:$A$9997/(Mantenciones!$B$2:$B$9997=$A189),1),"")</f>
        <v>46111</v>
      </c>
      <c r="N189" s="31" cm="1">
        <f t="array" ref="N189">IFERROR(_xlfn.AGGREGATE(14,6,'Compras PM'!$A$4:$A$10014/('Compras PM'!$C$4:$C$10014=$A189),1),"")</f>
        <v>46114</v>
      </c>
      <c r="O189" s="31">
        <f>IFERROR(VLOOKUP($A189,Maestro_Equipos!$A$4:$AG$247,27,FALSE()),"")</f>
        <v>46105</v>
      </c>
      <c r="P189" s="32">
        <f t="shared" ca="1" si="15"/>
        <v>31</v>
      </c>
      <c r="Q189" s="32">
        <f t="shared" ca="1" si="16"/>
        <v>6</v>
      </c>
      <c r="R189" s="30" t="str">
        <f t="shared" si="17"/>
        <v>REALIZADA</v>
      </c>
      <c r="S189" s="33" t="str">
        <f>IFERROR(VLOOKUP($A189,Maestro_Equipos!$A$4:$AG$247,33,FALSE()),"")</f>
        <v>Monitorear próximo vencimiento</v>
      </c>
    </row>
    <row r="190" spans="1:19" ht="15.75" hidden="1" customHeight="1">
      <c r="A190" t="str" cm="1">
        <f t="array" ref="A190">IFERROR(INDEX(_xlfn._xlws.FILTER(Maestro_Equipos!$A$4:$A$247,Maestro_Equipos!$A$4:$A$247&lt;&gt;""),ROWS($A$4:A190)),"")</f>
        <v>EQP-15</v>
      </c>
      <c r="B190" t="str">
        <f>IFERROR(_xlfn.XLOOKUP($A190,Maestro_Equipos!$A$4:$A$247,Maestro_Equipos!$B$4:$B$247,""),"")</f>
        <v>Planta Aridos seleccionadora</v>
      </c>
      <c r="C190" t="str">
        <f>IFERROR(_xlfn.XLOOKUP($A190,Maestro_Equipos!$A$4:$A$247,Maestro_Equipos!$C$4:$C$247,""),"")</f>
        <v>Maquinaria Pesada</v>
      </c>
      <c r="D190" t="str">
        <f>IFERROR(VLOOKUP($A187,Maestro_Equipos!$A$4:$Z$247,9,FALSE),"")</f>
        <v>KM</v>
      </c>
      <c r="E190">
        <f>IFERROR(IF($D190="KM",_xlfn.XLOOKUP($A190,Maestro_Equipos!$A:$A,Maestro_Equipos!$N:$N,""),_xlfn.XLOOKUP($A190,Maestro_Equipos!$A:$A,Maestro_Equipos!$M:$M,"")),"")</f>
        <v>0</v>
      </c>
      <c r="F190" t="str">
        <f>IFERROR(_xlfn.XLOOKUP($A190,Maestro_Equipos!$A:$A,Maestro_Equipos!$R:$R,"")+_xlfn.XLOOKUP($A190,Maestro_Equipos!$A:$A,Maestro_Equipos!$J:$J,""),"")</f>
        <v/>
      </c>
      <c r="G190">
        <f>IFERROR(_xlfn.XLOOKUP($A190,Maestro_Equipos!$A:$A,Maestro_Equipos!$K:$K,""),"")</f>
        <v>4739.6000000000004</v>
      </c>
      <c r="H190" t="str">
        <f t="shared" si="12"/>
        <v/>
      </c>
      <c r="I190" s="41" t="str">
        <f t="shared" ca="1" si="13"/>
        <v/>
      </c>
      <c r="J190" s="5" t="str">
        <f>IFERROR(INDEX(Maestro_Equipos!$V$4:$V$247,MATCH($A190,Maestro_Equipos!$A$4:$A$247,0)),"")</f>
        <v>Fuera de Servicio</v>
      </c>
      <c r="K190" s="37">
        <f>IFERROR(
   SUMIFS(Mantenciones!$I:$I,Mantenciones!$B:$B,$A190)
 + SUMIFS('Compras PM'!$F:$F,'Compras PM'!$C:$C,$A190),0)</f>
        <v>0</v>
      </c>
      <c r="L190" s="30" t="str">
        <f t="shared" si="14"/>
        <v>NO PROGRAMAR</v>
      </c>
      <c r="M190" s="58" t="str" cm="1">
        <f t="array" ref="M190">IFERROR(_xlfn.AGGREGATE(14,6,Mantenciones!$A$2:$A$9997/(Mantenciones!$B$2:$B$9997=$A190),1),"")</f>
        <v/>
      </c>
      <c r="N190" s="31" t="str" cm="1">
        <f t="array" ref="N190">IFERROR(_xlfn.AGGREGATE(14,6,'Compras PM'!$A$4:$A$10014/('Compras PM'!$C$4:$C$10014=$A190),1),"")</f>
        <v/>
      </c>
      <c r="O190" s="31" t="str">
        <f>IFERROR(VLOOKUP($A190,Maestro_Equipos!$A$4:$AG$247,27,FALSE()),"")</f>
        <v/>
      </c>
      <c r="P190" s="32" t="str">
        <f t="shared" ca="1" si="15"/>
        <v/>
      </c>
      <c r="Q190" s="32" t="str">
        <f t="shared" ca="1" si="16"/>
        <v/>
      </c>
      <c r="R190" s="30" t="str">
        <f t="shared" si="17"/>
        <v>SIN SALIDA</v>
      </c>
      <c r="S190" s="33" t="str">
        <f>IFERROR(VLOOKUP($A190,Maestro_Equipos!$A$4:$AG$247,33,FALSE()),"")</f>
        <v>No programar compra</v>
      </c>
    </row>
    <row r="191" spans="1:19" ht="15.75" customHeight="1">
      <c r="A191" t="str" cm="1">
        <f t="array" ref="A191">IFERROR(INDEX(_xlfn._xlws.FILTER(Maestro_Equipos!$A$4:$A$247,Maestro_Equipos!$A$4:$A$247&lt;&gt;""),ROWS($A$4:A191)),"")</f>
        <v>VD-123</v>
      </c>
      <c r="B191" t="str">
        <f>IFERROR(_xlfn.XLOOKUP($A191,Maestro_Equipos!$A$4:$A$247,Maestro_Equipos!$B$4:$B$247,""),"")</f>
        <v>Furgon</v>
      </c>
      <c r="C191" t="str">
        <f>IFERROR(_xlfn.XLOOKUP($A191,Maestro_Equipos!$A$4:$A$247,Maestro_Equipos!$C$4:$C$247,""),"")</f>
        <v>Vehículos Livianos</v>
      </c>
      <c r="D191" t="str">
        <f>IFERROR(_xlfn.XLOOKUP($A191,Maestro_Equipos!$A:$A,Maestro_Equipos!$I:$I,""),"")</f>
        <v>KM</v>
      </c>
      <c r="E191">
        <f>IFERROR(IF($D191="KM",_xlfn.XLOOKUP($A191,Maestro_Equipos!$A:$A,Maestro_Equipos!$N:$N,""),_xlfn.XLOOKUP($A191,Maestro_Equipos!$A:$A,Maestro_Equipos!$M:$M,"")),"")</f>
        <v>812781</v>
      </c>
      <c r="F191">
        <f>IFERROR(_xlfn.XLOOKUP($A191,Maestro_Equipos!$A:$A,Maestro_Equipos!$R:$R,"")+_xlfn.XLOOKUP($A191,Maestro_Equipos!$A:$A,Maestro_Equipos!$J:$J,""),"")</f>
        <v>88795</v>
      </c>
      <c r="G191">
        <f>IFERROR(_xlfn.XLOOKUP($A191,Maestro_Equipos!$A:$A,Maestro_Equipos!$K:$K,""),"")</f>
        <v>5424.9</v>
      </c>
      <c r="H191">
        <f t="shared" si="12"/>
        <v>-133</v>
      </c>
      <c r="I191" s="41">
        <f t="shared" ca="1" si="13"/>
        <v>46012</v>
      </c>
      <c r="J191" s="5" t="str">
        <f>IFERROR(INDEX(Maestro_Equipos!$V$4:$V$247,MATCH($A191,Maestro_Equipos!$A$4:$A$247,0)),"")</f>
        <v>Operativo</v>
      </c>
      <c r="K191" s="37">
        <f>IFERROR(
   SUMIFS(Mantenciones!$I:$I,Mantenciones!$B:$B,$A191)
 + SUMIFS('Compras PM'!$F:$F,'Compras PM'!$C:$C,$A191),0)</f>
        <v>56413.974000000002</v>
      </c>
      <c r="L191" s="30" t="str">
        <f t="shared" si="14"/>
        <v>VENCIDA</v>
      </c>
      <c r="M191" s="58" cm="1">
        <f t="array" ref="M191">IFERROR(_xlfn.AGGREGATE(14,6,Mantenciones!$A$2:$A$9997/(Mantenciones!$B$2:$B$9997=$A191),1),"")</f>
        <v>46099</v>
      </c>
      <c r="N191" s="31" cm="1">
        <f t="array" ref="N191">IFERROR(_xlfn.AGGREGATE(14,6,'Compras PM'!$A$4:$A$10014/('Compras PM'!$C$4:$C$10014=$A191),1),"")</f>
        <v>46118</v>
      </c>
      <c r="O191" s="31">
        <f>IFERROR(VLOOKUP($A191,Maestro_Equipos!$A$4:$AG$247,27,FALSE()),"")</f>
        <v>46099</v>
      </c>
      <c r="P191" s="32">
        <f t="shared" ca="1" si="15"/>
        <v>27</v>
      </c>
      <c r="Q191" s="32">
        <f t="shared" ca="1" si="16"/>
        <v>0</v>
      </c>
      <c r="R191" s="30" t="str">
        <f t="shared" si="17"/>
        <v>REALIZADA</v>
      </c>
      <c r="S191" s="33" t="str">
        <f>IFERROR(VLOOKUP($A191,Maestro_Equipos!$A$4:$AG$247,33,FALSE()),"")</f>
        <v>Monitorear próximo vencimiento</v>
      </c>
    </row>
    <row r="192" spans="1:19" ht="15.75" customHeight="1">
      <c r="A192" t="str" cm="1">
        <f t="array" ref="A192">IFERROR(INDEX(_xlfn._xlws.FILTER(Maestro_Equipos!$A$4:$A$247,Maestro_Equipos!$A$4:$A$247&lt;&gt;""),ROWS($A$4:A192)),"")</f>
        <v>VD-130</v>
      </c>
      <c r="B192" t="str">
        <f>IFERROR(_xlfn.XLOOKUP($A192,Maestro_Equipos!$A$4:$A$247,Maestro_Equipos!$B$4:$B$247,""),"")</f>
        <v>Camioneta</v>
      </c>
      <c r="C192" t="str">
        <f>IFERROR(_xlfn.XLOOKUP($A192,Maestro_Equipos!$A$4:$A$247,Maestro_Equipos!$C$4:$C$247,""),"")</f>
        <v>Vehículos Livianos</v>
      </c>
      <c r="D192" t="str">
        <f>IFERROR(_xlfn.XLOOKUP($A192,Maestro_Equipos!$A:$A,Maestro_Equipos!$I:$I,""),"")</f>
        <v>KM</v>
      </c>
      <c r="E192">
        <f>IFERROR(IF($D192="KM",_xlfn.XLOOKUP($A192,Maestro_Equipos!$A:$A,Maestro_Equipos!$N:$N,""),_xlfn.XLOOKUP($A192,Maestro_Equipos!$A:$A,Maestro_Equipos!$M:$M,"")),"")</f>
        <v>820891</v>
      </c>
      <c r="F192">
        <f>IFERROR(_xlfn.XLOOKUP($A192,Maestro_Equipos!$A:$A,Maestro_Equipos!$R:$R,"")+_xlfn.XLOOKUP($A192,Maestro_Equipos!$A:$A,Maestro_Equipos!$J:$J,""),"")</f>
        <v>93670</v>
      </c>
      <c r="G192">
        <f>IFERROR(_xlfn.XLOOKUP($A192,Maestro_Equipos!$A:$A,Maestro_Equipos!$K:$K,""),"")</f>
        <v>5507.1</v>
      </c>
      <c r="H192">
        <f t="shared" si="12"/>
        <v>-132</v>
      </c>
      <c r="I192" s="41">
        <f t="shared" ca="1" si="13"/>
        <v>46013</v>
      </c>
      <c r="J192" s="5" t="str">
        <f>IFERROR(INDEX(Maestro_Equipos!$V$4:$V$247,MATCH($A192,Maestro_Equipos!$A$4:$A$247,0)),"")</f>
        <v>Operativo</v>
      </c>
      <c r="K192" s="37">
        <f>IFERROR(
   SUMIFS(Mantenciones!$I:$I,Mantenciones!$B:$B,$A192)
 + SUMIFS('Compras PM'!$F:$F,'Compras PM'!$C:$C,$A192),0)</f>
        <v>1068104.6099999999</v>
      </c>
      <c r="L192" s="30" t="str">
        <f t="shared" si="14"/>
        <v>VENCIDA</v>
      </c>
      <c r="M192" s="58" cm="1">
        <f t="array" ref="M192">IFERROR(_xlfn.AGGREGATE(14,6,Mantenciones!$A$2:$A$9997/(Mantenciones!$B$2:$B$9997=$A192),1),"")</f>
        <v>46099</v>
      </c>
      <c r="N192" s="31" cm="1">
        <f t="array" ref="N192">IFERROR(_xlfn.AGGREGATE(14,6,'Compras PM'!$A$4:$A$10014/('Compras PM'!$C$4:$C$10014=$A192),1),"")</f>
        <v>46100</v>
      </c>
      <c r="O192" s="31" t="str">
        <f>IFERROR(VLOOKUP($A192,Maestro_Equipos!$A$4:$AG$247,27,FALSE()),"")</f>
        <v/>
      </c>
      <c r="P192" s="32">
        <f t="shared" ca="1" si="15"/>
        <v>45</v>
      </c>
      <c r="Q192" s="32" t="str">
        <f t="shared" ca="1" si="16"/>
        <v/>
      </c>
      <c r="R192" s="30" t="str">
        <f t="shared" si="17"/>
        <v>SIN SALIDA</v>
      </c>
      <c r="S192" s="33" t="str">
        <f>IFERROR(VLOOKUP($A192,Maestro_Equipos!$A$4:$AG$247,33,FALSE()),"")</f>
        <v>Hacer seguimiento al taller y cerrar report</v>
      </c>
    </row>
    <row r="193" spans="1:19" ht="15.75" customHeight="1">
      <c r="A193" t="str" cm="1">
        <f t="array" ref="A193">IFERROR(INDEX(_xlfn._xlws.FILTER(Maestro_Equipos!$A$4:$A$247,Maestro_Equipos!$A$4:$A$247&lt;&gt;""),ROWS($A$4:A193)),"")</f>
        <v>VD-92</v>
      </c>
      <c r="B193" t="str">
        <f>IFERROR(_xlfn.XLOOKUP($A193,Maestro_Equipos!$A$4:$A$247,Maestro_Equipos!$B$4:$B$247,""),"")</f>
        <v>Camioneta</v>
      </c>
      <c r="C193" t="str">
        <f>IFERROR(_xlfn.XLOOKUP($A193,Maestro_Equipos!$A$4:$A$247,Maestro_Equipos!$C$4:$C$247,""),"")</f>
        <v>Vehículos Livianos</v>
      </c>
      <c r="D193" t="str">
        <f>IFERROR(_xlfn.XLOOKUP($A193,Maestro_Equipos!$A:$A,Maestro_Equipos!$I:$I,""),"")</f>
        <v>KM</v>
      </c>
      <c r="E193">
        <f>IFERROR(IF($D193="KM",_xlfn.XLOOKUP($A193,Maestro_Equipos!$A:$A,Maestro_Equipos!$N:$N,""),_xlfn.XLOOKUP($A193,Maestro_Equipos!$A:$A,Maestro_Equipos!$M:$M,"")),"")</f>
        <v>953095</v>
      </c>
      <c r="F193">
        <f>IFERROR(_xlfn.XLOOKUP($A193,Maestro_Equipos!$A:$A,Maestro_Equipos!$R:$R,"")+_xlfn.XLOOKUP($A193,Maestro_Equipos!$A:$A,Maestro_Equipos!$J:$J,""),"")</f>
        <v>113151</v>
      </c>
      <c r="G193">
        <f>IFERROR(_xlfn.XLOOKUP($A193,Maestro_Equipos!$A:$A,Maestro_Equipos!$K:$K,""),"")</f>
        <v>7946.7</v>
      </c>
      <c r="H193">
        <f t="shared" si="12"/>
        <v>-106</v>
      </c>
      <c r="I193" s="41">
        <f t="shared" ca="1" si="13"/>
        <v>46039</v>
      </c>
      <c r="J193" s="5" t="str">
        <f>IFERROR(INDEX(Maestro_Equipos!$V$4:$V$247,MATCH($A193,Maestro_Equipos!$A$4:$A$247,0)),"")</f>
        <v>Operativo</v>
      </c>
      <c r="K193" s="37">
        <f>IFERROR(
   SUMIFS(Mantenciones!$I:$I,Mantenciones!$B:$B,$A193)
 + SUMIFS('Compras PM'!$F:$F,'Compras PM'!$C:$C,$A193),0)</f>
        <v>24499.97</v>
      </c>
      <c r="L193" s="30" t="str">
        <f t="shared" si="14"/>
        <v>VENCIDA</v>
      </c>
      <c r="M193" s="58" cm="1">
        <f t="array" ref="M193">IFERROR(_xlfn.AGGREGATE(14,6,Mantenciones!$A$2:$A$9997/(Mantenciones!$B$2:$B$9997=$A193),1),"")</f>
        <v>46126</v>
      </c>
      <c r="N193" s="31" cm="1">
        <f t="array" ref="N193">IFERROR(_xlfn.AGGREGATE(14,6,'Compras PM'!$A$4:$A$10014/('Compras PM'!$C$4:$C$10014=$A193),1),"")</f>
        <v>46127</v>
      </c>
      <c r="O193" s="31">
        <f>IFERROR(VLOOKUP($A193,Maestro_Equipos!$A$4:$AG$247,27,FALSE()),"")</f>
        <v>46126</v>
      </c>
      <c r="P193" s="32">
        <f t="shared" ca="1" si="15"/>
        <v>18</v>
      </c>
      <c r="Q193" s="32">
        <f t="shared" ca="1" si="16"/>
        <v>0</v>
      </c>
      <c r="R193" s="30" t="str">
        <f t="shared" si="17"/>
        <v>REALIZADA</v>
      </c>
      <c r="S193" s="33" t="str">
        <f>IFERROR(VLOOKUP($A193,Maestro_Equipos!$A$4:$AG$247,33,FALSE()),"")</f>
        <v>Monitorear próximo vencimiento</v>
      </c>
    </row>
    <row r="194" spans="1:19" ht="15.75" hidden="1" customHeight="1">
      <c r="A194" t="str" cm="1">
        <f t="array" ref="A194">IFERROR(INDEX(_xlfn._xlws.FILTER(Maestro_Equipos!$A$4:$A$247,Maestro_Equipos!$A$4:$A$247&lt;&gt;""),ROWS($A$4:A194)),"")</f>
        <v>EQP-16</v>
      </c>
      <c r="B194" t="str">
        <f>IFERROR(_xlfn.XLOOKUP($A194,Maestro_Equipos!$A$4:$A$247,Maestro_Equipos!$B$4:$B$247,""),"")</f>
        <v>Planta aridos</v>
      </c>
      <c r="C194" t="str">
        <f>IFERROR(_xlfn.XLOOKUP($A194,Maestro_Equipos!$A$4:$A$247,Maestro_Equipos!$C$4:$C$247,""),"")</f>
        <v>Maquinaria Pesada</v>
      </c>
      <c r="D194" t="str">
        <f>IFERROR(VLOOKUP($A191,Maestro_Equipos!$A$4:$Z$247,9,FALSE),"")</f>
        <v>KM</v>
      </c>
      <c r="E194">
        <f>IFERROR(IF($D194="KM",_xlfn.XLOOKUP($A194,Maestro_Equipos!$A:$A,Maestro_Equipos!$N:$N,""),_xlfn.XLOOKUP($A194,Maestro_Equipos!$A:$A,Maestro_Equipos!$M:$M,"")),"")</f>
        <v>0</v>
      </c>
      <c r="F194" t="str">
        <f>IFERROR(_xlfn.XLOOKUP($A194,Maestro_Equipos!$A:$A,Maestro_Equipos!$R:$R,"")+_xlfn.XLOOKUP($A194,Maestro_Equipos!$A:$A,Maestro_Equipos!$J:$J,""),"")</f>
        <v/>
      </c>
      <c r="G194">
        <f>IFERROR(_xlfn.XLOOKUP($A194,Maestro_Equipos!$A:$A,Maestro_Equipos!$K:$K,""),"")</f>
        <v>89.4</v>
      </c>
      <c r="H194" t="str">
        <f t="shared" si="12"/>
        <v/>
      </c>
      <c r="I194" s="41" t="str">
        <f t="shared" ca="1" si="13"/>
        <v/>
      </c>
      <c r="J194" s="5" t="str">
        <f>IFERROR(INDEX(Maestro_Equipos!$V$4:$V$247,MATCH($A194,Maestro_Equipos!$A$4:$A$247,0)),"")</f>
        <v>Fuera de Servicio</v>
      </c>
      <c r="K194" s="37">
        <f>IFERROR(
   SUMIFS(Mantenciones!$I:$I,Mantenciones!$B:$B,$A194)
 + SUMIFS('Compras PM'!$F:$F,'Compras PM'!$C:$C,$A194),0)</f>
        <v>77369.039999999994</v>
      </c>
      <c r="L194" s="30" t="str">
        <f t="shared" si="14"/>
        <v>NO PROGRAMAR</v>
      </c>
      <c r="M194" s="58" t="str" cm="1">
        <f t="array" ref="M194">IFERROR(_xlfn.AGGREGATE(14,6,Mantenciones!$A$2:$A$9997/(Mantenciones!$B$2:$B$9997=$A194),1),"")</f>
        <v/>
      </c>
      <c r="N194" s="31" cm="1">
        <f t="array" ref="N194">IFERROR(_xlfn.AGGREGATE(14,6,'Compras PM'!$A$4:$A$10014/('Compras PM'!$C$4:$C$10014=$A194),1),"")</f>
        <v>46104.729813854203</v>
      </c>
      <c r="O194" s="31" t="str">
        <f>IFERROR(VLOOKUP($A194,Maestro_Equipos!$A$4:$AG$247,27,FALSE()),"")</f>
        <v/>
      </c>
      <c r="P194" s="32">
        <f t="shared" ca="1" si="15"/>
        <v>40.270186145797197</v>
      </c>
      <c r="Q194" s="32" t="str">
        <f t="shared" ca="1" si="16"/>
        <v/>
      </c>
      <c r="R194" s="30" t="str">
        <f t="shared" si="17"/>
        <v>SIN SALIDA</v>
      </c>
      <c r="S194" s="33" t="str">
        <f>IFERROR(VLOOKUP($A194,Maestro_Equipos!$A$4:$AG$247,33,FALSE()),"")</f>
        <v>No programar compra</v>
      </c>
    </row>
    <row r="195" spans="1:19" ht="15.75" customHeight="1">
      <c r="A195" t="str" cm="1">
        <f t="array" ref="A195">IFERROR(INDEX(_xlfn._xlws.FILTER(Maestro_Equipos!$A$4:$A$247,Maestro_Equipos!$A$4:$A$247&lt;&gt;""),ROWS($A$4:A195)),"")</f>
        <v>VD-84</v>
      </c>
      <c r="B195" t="str">
        <f>IFERROR(_xlfn.XLOOKUP($A195,Maestro_Equipos!$A$4:$A$247,Maestro_Equipos!$B$4:$B$247,""),"")</f>
        <v>Furgon</v>
      </c>
      <c r="C195" t="str">
        <f>IFERROR(_xlfn.XLOOKUP($A195,Maestro_Equipos!$A$4:$A$247,Maestro_Equipos!$C$4:$C$247,""),"")</f>
        <v>Vehículos Livianos</v>
      </c>
      <c r="D195" t="str">
        <f>IFERROR(_xlfn.XLOOKUP($A195,Maestro_Equipos!$A:$A,Maestro_Equipos!$I:$I,""),"")</f>
        <v>KM</v>
      </c>
      <c r="E195">
        <f>IFERROR(IF($D195="KM",_xlfn.XLOOKUP($A195,Maestro_Equipos!$A:$A,Maestro_Equipos!$N:$N,""),_xlfn.XLOOKUP($A195,Maestro_Equipos!$A:$A,Maestro_Equipos!$M:$M,"")),"")</f>
        <v>306341</v>
      </c>
      <c r="F195">
        <f>IFERROR(_xlfn.XLOOKUP($A195,Maestro_Equipos!$A:$A,Maestro_Equipos!$R:$R,"")+_xlfn.XLOOKUP($A195,Maestro_Equipos!$A:$A,Maestro_Equipos!$J:$J,""),"")</f>
        <v>133530</v>
      </c>
      <c r="G195">
        <f>IFERROR(_xlfn.XLOOKUP($A195,Maestro_Equipos!$A:$A,Maestro_Equipos!$K:$K,""),"")</f>
        <v>139.30000000000001</v>
      </c>
      <c r="H195">
        <f t="shared" si="12"/>
        <v>-1241</v>
      </c>
      <c r="I195" s="41">
        <f t="shared" ca="1" si="13"/>
        <v>44904</v>
      </c>
      <c r="J195" s="5" t="str">
        <f>IFERROR(INDEX(Maestro_Equipos!$V$4:$V$247,MATCH($A195,Maestro_Equipos!$A$4:$A$247,0)),"")</f>
        <v>Operativo</v>
      </c>
      <c r="K195" s="37">
        <f>IFERROR(
   SUMIFS(Mantenciones!$I:$I,Mantenciones!$B:$B,$A195)
 + SUMIFS('Compras PM'!$F:$F,'Compras PM'!$C:$C,$A195),0)</f>
        <v>71949.510999999999</v>
      </c>
      <c r="L195" s="30" t="str">
        <f t="shared" si="14"/>
        <v>VENCIDA</v>
      </c>
      <c r="M195" s="58" cm="1">
        <f t="array" ref="M195">IFERROR(_xlfn.AGGREGATE(14,6,Mantenciones!$A$2:$A$9997/(Mantenciones!$B$2:$B$9997=$A195),1),"")</f>
        <v>46034</v>
      </c>
      <c r="N195" s="31" cm="1">
        <f t="array" ref="N195">IFERROR(_xlfn.AGGREGATE(14,6,'Compras PM'!$A$4:$A$10014/('Compras PM'!$C$4:$C$10014=$A195),1),"")</f>
        <v>46122.500261539397</v>
      </c>
      <c r="O195" s="31">
        <f>IFERROR(VLOOKUP($A195,Maestro_Equipos!$A$4:$AG$247,27,FALSE()),"")</f>
        <v>46118</v>
      </c>
      <c r="P195" s="32">
        <f t="shared" ca="1" si="15"/>
        <v>22.499738460603112</v>
      </c>
      <c r="Q195" s="32">
        <f t="shared" ca="1" si="16"/>
        <v>27</v>
      </c>
      <c r="R195" s="30" t="str">
        <f t="shared" si="17"/>
        <v>PENDIENTE</v>
      </c>
      <c r="S195" s="33" t="str">
        <f>IFERROR(VLOOKUP($A195,Maestro_Equipos!$A$4:$AG$247,33,FALSE()),"")</f>
        <v>Monitorear próximo vencimiento</v>
      </c>
    </row>
    <row r="196" spans="1:19" ht="15.75" customHeight="1">
      <c r="A196" t="str" cm="1">
        <f t="array" ref="A196">IFERROR(INDEX(_xlfn._xlws.FILTER(Maestro_Equipos!$A$4:$A$247,Maestro_Equipos!$A$4:$A$247&lt;&gt;""),ROWS($A$4:A196)),"")</f>
        <v>VD-101</v>
      </c>
      <c r="B196" t="str">
        <f>IFERROR(_xlfn.XLOOKUP($A196,Maestro_Equipos!$A$4:$A$247,Maestro_Equipos!$B$4:$B$247,""),"")</f>
        <v>Camioneta</v>
      </c>
      <c r="C196" t="str">
        <f>IFERROR(_xlfn.XLOOKUP($A196,Maestro_Equipos!$A$4:$A$247,Maestro_Equipos!$C$4:$C$247,""),"")</f>
        <v>Vehículos Livianos</v>
      </c>
      <c r="D196" t="str">
        <f>IFERROR(_xlfn.XLOOKUP($A196,Maestro_Equipos!$A:$A,Maestro_Equipos!$I:$I,""),"")</f>
        <v>KM</v>
      </c>
      <c r="E196">
        <f>IFERROR(IF($D196="KM",_xlfn.XLOOKUP($A196,Maestro_Equipos!$A:$A,Maestro_Equipos!$N:$N,""),_xlfn.XLOOKUP($A196,Maestro_Equipos!$A:$A,Maestro_Equipos!$M:$M,"")),"")</f>
        <v>104779</v>
      </c>
      <c r="F196" t="str">
        <f>IFERROR(_xlfn.XLOOKUP($A196,Maestro_Equipos!$A:$A,Maestro_Equipos!$R:$R,"")+_xlfn.XLOOKUP($A196,Maestro_Equipos!$A:$A,Maestro_Equipos!$J:$J,""),"")</f>
        <v/>
      </c>
      <c r="G196">
        <f>IFERROR(_xlfn.XLOOKUP($A196,Maestro_Equipos!$A:$A,Maestro_Equipos!$K:$K,""),"")</f>
        <v>469</v>
      </c>
      <c r="H196" t="str">
        <f t="shared" ref="H196:H245" si="18">IFERROR(IF(OR($E196="",$F196="",$G196="",$G196&lt;=0),"",ROUND(($F196-$E196)/$G196,0)),"")</f>
        <v/>
      </c>
      <c r="I196" s="41" t="str">
        <f t="shared" ref="I196:I245" ca="1" si="19">IFERROR(IF($H196="","",TODAY()+$H196),"")</f>
        <v/>
      </c>
      <c r="J196" s="5" t="str">
        <f>IFERROR(INDEX(Maestro_Equipos!$V$4:$V$247,MATCH($A196,Maestro_Equipos!$A$4:$A$247,0)),"")</f>
        <v>Operativo</v>
      </c>
      <c r="K196" s="37">
        <f>IFERROR(
   SUMIFS(Mantenciones!$I:$I,Mantenciones!$B:$B,$A196)
 + SUMIFS('Compras PM'!$F:$F,'Compras PM'!$C:$C,$A196),0)</f>
        <v>0</v>
      </c>
      <c r="L196" s="30" t="str">
        <f t="shared" ref="L196:L245" si="20">IF($J196="Fuera de Servicio","NO PROGRAMAR",IF($H196="","SIN DATOS",IF($H196&lt;=0,"VENCIDA",IF($H196&lt;=7,"CRÍTICA",IF($H196&lt;=15,"ALTA",IF($H196&lt;=30,"MEDIA","BAJA"))))))</f>
        <v>SIN DATOS</v>
      </c>
      <c r="M196" s="58" t="str" cm="1">
        <f t="array" ref="M196">IFERROR(_xlfn.AGGREGATE(14,6,Mantenciones!$A$2:$A$9997/(Mantenciones!$B$2:$B$9997=$A196),1),"")</f>
        <v/>
      </c>
      <c r="N196" s="31" t="str" cm="1">
        <f t="array" ref="N196">IFERROR(_xlfn.AGGREGATE(14,6,'Compras PM'!$A$4:$A$10014/('Compras PM'!$C$4:$C$10014=$A196),1),"")</f>
        <v/>
      </c>
      <c r="O196" s="31" t="str">
        <f>IFERROR(VLOOKUP($A196,Maestro_Equipos!$A$4:$AG$247,27,FALSE()),"")</f>
        <v/>
      </c>
      <c r="P196" s="32" t="str">
        <f t="shared" ref="P196:P245" ca="1" si="21">IFERROR(IF($N196="","",IF(OR($M196="",$M196&lt;$N196),TODAY()-$N196,$M196-$N196)),"")</f>
        <v/>
      </c>
      <c r="Q196" s="32" t="str">
        <f t="shared" ref="Q196:Q245" ca="1" si="22">IFERROR(IF($O196="","",IF(OR($M196="",$M196&lt;$O196),TODAY()-$O196,$M196-$O196)),"")</f>
        <v/>
      </c>
      <c r="R196" s="30" t="str">
        <f t="shared" ref="R196:R245" si="23">IF($O196="","SIN SALIDA",IF(OR($M196="",$M196&lt;$O196),"PENDIENTE","REALIZADA"))</f>
        <v>SIN SALIDA</v>
      </c>
      <c r="S196" s="33" t="str">
        <f>IFERROR(VLOOKUP($A196,Maestro_Equipos!$A$4:$AG$247,33,FALSE()),"")</f>
        <v>Monitorear próximo vencimiento</v>
      </c>
    </row>
    <row r="197" spans="1:19" ht="15.75" customHeight="1">
      <c r="A197" t="str" cm="1">
        <f t="array" ref="A197">IFERROR(INDEX(_xlfn._xlws.FILTER(Maestro_Equipos!$A$4:$A$247,Maestro_Equipos!$A$4:$A$247&lt;&gt;""),ROWS($A$4:A197)),"")</f>
        <v>VD-132</v>
      </c>
      <c r="B197" t="str">
        <f>IFERROR(_xlfn.XLOOKUP($A197,Maestro_Equipos!$A$4:$A$247,Maestro_Equipos!$B$4:$B$247,""),"")</f>
        <v>Camioneta</v>
      </c>
      <c r="C197" t="str">
        <f>IFERROR(_xlfn.XLOOKUP($A197,Maestro_Equipos!$A$4:$A$247,Maestro_Equipos!$C$4:$C$247,""),"")</f>
        <v>Vehículos Livianos</v>
      </c>
      <c r="D197" t="str">
        <f>IFERROR(_xlfn.XLOOKUP($A197,Maestro_Equipos!$A:$A,Maestro_Equipos!$I:$I,""),"")</f>
        <v>KM</v>
      </c>
      <c r="E197">
        <f>IFERROR(IF($D197="KM",_xlfn.XLOOKUP($A197,Maestro_Equipos!$A:$A,Maestro_Equipos!$N:$N,""),_xlfn.XLOOKUP($A197,Maestro_Equipos!$A:$A,Maestro_Equipos!$M:$M,"")),"")</f>
        <v>52162</v>
      </c>
      <c r="F197" t="str">
        <f>IFERROR(_xlfn.XLOOKUP($A197,Maestro_Equipos!$A:$A,Maestro_Equipos!$R:$R,"")+_xlfn.XLOOKUP($A197,Maestro_Equipos!$A:$A,Maestro_Equipos!$J:$J,""),"")</f>
        <v/>
      </c>
      <c r="G197">
        <f>IFERROR(_xlfn.XLOOKUP($A197,Maestro_Equipos!$A:$A,Maestro_Equipos!$K:$K,""),"")</f>
        <v>143.4</v>
      </c>
      <c r="H197" t="str">
        <f t="shared" si="18"/>
        <v/>
      </c>
      <c r="I197" s="41" t="str">
        <f t="shared" ca="1" si="19"/>
        <v/>
      </c>
      <c r="J197" s="5" t="str">
        <f>IFERROR(INDEX(Maestro_Equipos!$V$4:$V$247,MATCH($A197,Maestro_Equipos!$A$4:$A$247,0)),"")</f>
        <v>Operativo</v>
      </c>
      <c r="K197" s="37">
        <f>IFERROR(
   SUMIFS(Mantenciones!$I:$I,Mantenciones!$B:$B,$A197)
 + SUMIFS('Compras PM'!$F:$F,'Compras PM'!$C:$C,$A197),0)</f>
        <v>0</v>
      </c>
      <c r="L197" s="30" t="str">
        <f t="shared" si="20"/>
        <v>SIN DATOS</v>
      </c>
      <c r="M197" s="58" t="str" cm="1">
        <f t="array" ref="M197">IFERROR(_xlfn.AGGREGATE(14,6,Mantenciones!$A$2:$A$9997/(Mantenciones!$B$2:$B$9997=$A197),1),"")</f>
        <v/>
      </c>
      <c r="N197" s="31" t="str" cm="1">
        <f t="array" ref="N197">IFERROR(_xlfn.AGGREGATE(14,6,'Compras PM'!$A$4:$A$10014/('Compras PM'!$C$4:$C$10014=$A197),1),"")</f>
        <v/>
      </c>
      <c r="O197" s="31" t="str">
        <f>IFERROR(VLOOKUP($A197,Maestro_Equipos!$A$4:$AG$247,27,FALSE()),"")</f>
        <v/>
      </c>
      <c r="P197" s="32" t="str">
        <f t="shared" ca="1" si="21"/>
        <v/>
      </c>
      <c r="Q197" s="32" t="str">
        <f t="shared" ca="1" si="22"/>
        <v/>
      </c>
      <c r="R197" s="30" t="str">
        <f t="shared" si="23"/>
        <v>SIN SALIDA</v>
      </c>
      <c r="S197" s="33" t="str">
        <f>IFERROR(VLOOKUP($A197,Maestro_Equipos!$A$4:$AG$247,33,FALSE()),"")</f>
        <v>Monitorear próximo vencimiento</v>
      </c>
    </row>
    <row r="198" spans="1:19" ht="15.75" hidden="1" customHeight="1">
      <c r="A198" t="str" cm="1">
        <f t="array" ref="A198">IFERROR(INDEX(_xlfn._xlws.FILTER(Maestro_Equipos!$A$4:$A$247,Maestro_Equipos!$A$4:$A$247&lt;&gt;""),ROWS($A$4:A198)),"")</f>
        <v>VD-98</v>
      </c>
      <c r="B198" t="str">
        <f>IFERROR(_xlfn.XLOOKUP($A198,Maestro_Equipos!$A$4:$A$247,Maestro_Equipos!$B$4:$B$247,""),"")</f>
        <v>Camioneta</v>
      </c>
      <c r="C198" t="str">
        <f>IFERROR(_xlfn.XLOOKUP($A198,Maestro_Equipos!$A$4:$A$247,Maestro_Equipos!$C$4:$C$247,""),"")</f>
        <v>Vehículos Livianos</v>
      </c>
      <c r="D198" t="str">
        <f>IFERROR(VLOOKUP($A195,Maestro_Equipos!$A$4:$Z$247,9,FALSE),"")</f>
        <v>KM</v>
      </c>
      <c r="E198">
        <f>IFERROR(IF($D198="KM",_xlfn.XLOOKUP($A198,Maestro_Equipos!$A:$A,Maestro_Equipos!$N:$N,""),_xlfn.XLOOKUP($A198,Maestro_Equipos!$A:$A,Maestro_Equipos!$M:$M,"")),"")</f>
        <v>110259</v>
      </c>
      <c r="F198" t="str">
        <f>IFERROR(_xlfn.XLOOKUP($A198,Maestro_Equipos!$A:$A,Maestro_Equipos!$R:$R,"")+_xlfn.XLOOKUP($A198,Maestro_Equipos!$A:$A,Maestro_Equipos!$J:$J,""),"")</f>
        <v/>
      </c>
      <c r="G198">
        <f>IFERROR(_xlfn.XLOOKUP($A198,Maestro_Equipos!$A:$A,Maestro_Equipos!$K:$K,""),"")</f>
        <v>446.2</v>
      </c>
      <c r="H198" t="str">
        <f t="shared" si="18"/>
        <v/>
      </c>
      <c r="I198" s="41" t="str">
        <f t="shared" ca="1" si="19"/>
        <v/>
      </c>
      <c r="J198" s="5" t="str">
        <f>IFERROR(INDEX(Maestro_Equipos!$V$4:$V$247,MATCH($A198,Maestro_Equipos!$A$4:$A$247,0)),"")</f>
        <v>Fuera de Servicio</v>
      </c>
      <c r="K198" s="37">
        <f>IFERROR(
   SUMIFS(Mantenciones!$I:$I,Mantenciones!$B:$B,$A198)
 + SUMIFS('Compras PM'!$F:$F,'Compras PM'!$C:$C,$A198),0)</f>
        <v>0</v>
      </c>
      <c r="L198" s="30" t="str">
        <f t="shared" si="20"/>
        <v>NO PROGRAMAR</v>
      </c>
      <c r="M198" s="58" t="str" cm="1">
        <f t="array" ref="M198">IFERROR(_xlfn.AGGREGATE(14,6,Mantenciones!$A$2:$A$9997/(Mantenciones!$B$2:$B$9997=$A198),1),"")</f>
        <v/>
      </c>
      <c r="N198" s="31" t="str" cm="1">
        <f t="array" ref="N198">IFERROR(_xlfn.AGGREGATE(14,6,'Compras PM'!$A$4:$A$10014/('Compras PM'!$C$4:$C$10014=$A198),1),"")</f>
        <v/>
      </c>
      <c r="O198" s="31" t="str">
        <f>IFERROR(VLOOKUP($A198,Maestro_Equipos!$A$4:$AG$247,27,FALSE()),"")</f>
        <v/>
      </c>
      <c r="P198" s="32" t="str">
        <f t="shared" ca="1" si="21"/>
        <v/>
      </c>
      <c r="Q198" s="32" t="str">
        <f t="shared" ca="1" si="22"/>
        <v/>
      </c>
      <c r="R198" s="30" t="str">
        <f t="shared" si="23"/>
        <v>SIN SALIDA</v>
      </c>
      <c r="S198" s="33" t="str">
        <f>IFERROR(VLOOKUP($A198,Maestro_Equipos!$A$4:$AG$247,33,FALSE()),"")</f>
        <v>No programar compra</v>
      </c>
    </row>
    <row r="199" spans="1:19" ht="15.75" hidden="1" customHeight="1">
      <c r="A199" t="str" cm="1">
        <f t="array" ref="A199">IFERROR(INDEX(_xlfn._xlws.FILTER(Maestro_Equipos!$A$4:$A$247,Maestro_Equipos!$A$4:$A$247&lt;&gt;""),ROWS($A$4:A199)),"")</f>
        <v>VD-86</v>
      </c>
      <c r="B199" t="str">
        <f>IFERROR(_xlfn.XLOOKUP($A199,Maestro_Equipos!$A$4:$A$247,Maestro_Equipos!$B$4:$B$247,""),"")</f>
        <v>Furgon</v>
      </c>
      <c r="C199" t="str">
        <f>IFERROR(_xlfn.XLOOKUP($A199,Maestro_Equipos!$A$4:$A$247,Maestro_Equipos!$C$4:$C$247,""),"")</f>
        <v>Vehículos Livianos</v>
      </c>
      <c r="D199" t="str">
        <f>IFERROR(VLOOKUP($A196,Maestro_Equipos!$A$4:$Z$247,9,FALSE),"")</f>
        <v>KM</v>
      </c>
      <c r="E199">
        <f>IFERROR(IF($D199="KM",_xlfn.XLOOKUP($A199,Maestro_Equipos!$A:$A,Maestro_Equipos!$N:$N,""),_xlfn.XLOOKUP($A199,Maestro_Equipos!$A:$A,Maestro_Equipos!$M:$M,"")),"")</f>
        <v>263620</v>
      </c>
      <c r="F199" t="str">
        <f>IFERROR(_xlfn.XLOOKUP($A199,Maestro_Equipos!$A:$A,Maestro_Equipos!$R:$R,"")+_xlfn.XLOOKUP($A199,Maestro_Equipos!$A:$A,Maestro_Equipos!$J:$J,""),"")</f>
        <v/>
      </c>
      <c r="G199">
        <f>IFERROR(_xlfn.XLOOKUP($A199,Maestro_Equipos!$A:$A,Maestro_Equipos!$K:$K,""),"")</f>
        <v>1168.4000000000001</v>
      </c>
      <c r="H199" t="str">
        <f t="shared" si="18"/>
        <v/>
      </c>
      <c r="I199" s="41" t="str">
        <f t="shared" ca="1" si="19"/>
        <v/>
      </c>
      <c r="J199" s="5" t="str">
        <f>IFERROR(INDEX(Maestro_Equipos!$V$4:$V$247,MATCH($A199,Maestro_Equipos!$A$4:$A$247,0)),"")</f>
        <v>Fuera de Servicio</v>
      </c>
      <c r="K199" s="37">
        <f>IFERROR(
   SUMIFS(Mantenciones!$I:$I,Mantenciones!$B:$B,$A199)
 + SUMIFS('Compras PM'!$F:$F,'Compras PM'!$C:$C,$A199),0)</f>
        <v>0</v>
      </c>
      <c r="L199" s="30" t="str">
        <f t="shared" si="20"/>
        <v>NO PROGRAMAR</v>
      </c>
      <c r="M199" s="58" t="str" cm="1">
        <f t="array" ref="M199">IFERROR(_xlfn.AGGREGATE(14,6,Mantenciones!$A$2:$A$9997/(Mantenciones!$B$2:$B$9997=$A199),1),"")</f>
        <v/>
      </c>
      <c r="N199" s="31" t="str" cm="1">
        <f t="array" ref="N199">IFERROR(_xlfn.AGGREGATE(14,6,'Compras PM'!$A$4:$A$10014/('Compras PM'!$C$4:$C$10014=$A199),1),"")</f>
        <v/>
      </c>
      <c r="O199" s="31" t="str">
        <f>IFERROR(VLOOKUP($A199,Maestro_Equipos!$A$4:$AG$247,27,FALSE()),"")</f>
        <v/>
      </c>
      <c r="P199" s="32" t="str">
        <f t="shared" ca="1" si="21"/>
        <v/>
      </c>
      <c r="Q199" s="32" t="str">
        <f t="shared" ca="1" si="22"/>
        <v/>
      </c>
      <c r="R199" s="30" t="str">
        <f t="shared" si="23"/>
        <v>SIN SALIDA</v>
      </c>
      <c r="S199" s="33" t="str">
        <f>IFERROR(VLOOKUP($A199,Maestro_Equipos!$A$4:$AG$247,33,FALSE()),"")</f>
        <v>No programar compra</v>
      </c>
    </row>
    <row r="200" spans="1:19" ht="15.75" customHeight="1">
      <c r="A200" t="str" cm="1">
        <f t="array" ref="A200">IFERROR(INDEX(_xlfn._xlws.FILTER(Maestro_Equipos!$A$4:$A$247,Maestro_Equipos!$A$4:$A$247&lt;&gt;""),ROWS($A$4:A200)),"")</f>
        <v>MD-85</v>
      </c>
      <c r="B200" t="str">
        <f>IFERROR(_xlfn.XLOOKUP($A200,Maestro_Equipos!$A$4:$A$247,Maestro_Equipos!$B$4:$B$247,""),"")</f>
        <v>Motoniveladora</v>
      </c>
      <c r="C200" t="str">
        <f>IFERROR(_xlfn.XLOOKUP($A200,Maestro_Equipos!$A$4:$A$247,Maestro_Equipos!$C$4:$C$247,""),"")</f>
        <v>Maquinaria Pesada</v>
      </c>
      <c r="D200" t="str">
        <f>IFERROR(_xlfn.XLOOKUP($A200,Maestro_Equipos!$A:$A,Maestro_Equipos!$I:$I,""),"")</f>
        <v>HORAS</v>
      </c>
      <c r="E200">
        <f>IFERROR(IF($D200="KM",_xlfn.XLOOKUP($A200,Maestro_Equipos!$A:$A,Maestro_Equipos!$N:$N,""),_xlfn.XLOOKUP($A200,Maestro_Equipos!$A:$A,Maestro_Equipos!$M:$M,"")),"")</f>
        <v>589</v>
      </c>
      <c r="F200" t="str">
        <f>IFERROR(_xlfn.XLOOKUP($A200,Maestro_Equipos!$A:$A,Maestro_Equipos!$R:$R,"")+_xlfn.XLOOKUP($A200,Maestro_Equipos!$A:$A,Maestro_Equipos!$J:$J,""),"")</f>
        <v/>
      </c>
      <c r="G200">
        <f>IFERROR(_xlfn.XLOOKUP($A200,Maestro_Equipos!$A:$A,Maestro_Equipos!$K:$K,""),"")</f>
        <v>1.4</v>
      </c>
      <c r="H200" t="str">
        <f t="shared" si="18"/>
        <v/>
      </c>
      <c r="I200" s="41" t="str">
        <f t="shared" ca="1" si="19"/>
        <v/>
      </c>
      <c r="J200" s="5" t="str">
        <f>IFERROR(INDEX(Maestro_Equipos!$V$4:$V$247,MATCH($A200,Maestro_Equipos!$A$4:$A$247,0)),"")</f>
        <v>Operativo</v>
      </c>
      <c r="K200" s="37">
        <f>IFERROR(
   SUMIFS(Mantenciones!$I:$I,Mantenciones!$B:$B,$A200)
 + SUMIFS('Compras PM'!$F:$F,'Compras PM'!$C:$C,$A200),0)</f>
        <v>306326.23</v>
      </c>
      <c r="L200" s="30" t="str">
        <f t="shared" si="20"/>
        <v>SIN DATOS</v>
      </c>
      <c r="M200" s="58" t="str" cm="1">
        <f t="array" ref="M200">IFERROR(_xlfn.AGGREGATE(14,6,Mantenciones!$A$2:$A$9997/(Mantenciones!$B$2:$B$9997=$A200),1),"")</f>
        <v/>
      </c>
      <c r="N200" s="31" cm="1">
        <f t="array" ref="N200">IFERROR(_xlfn.AGGREGATE(14,6,'Compras PM'!$A$4:$A$10014/('Compras PM'!$C$4:$C$10014=$A200),1),"")</f>
        <v>46104.470781678203</v>
      </c>
      <c r="O200" s="31" t="str">
        <f>IFERROR(VLOOKUP($A200,Maestro_Equipos!$A$4:$AG$247,27,FALSE()),"")</f>
        <v/>
      </c>
      <c r="P200" s="32">
        <f t="shared" ca="1" si="21"/>
        <v>40.529218321797089</v>
      </c>
      <c r="Q200" s="32" t="str">
        <f t="shared" ca="1" si="22"/>
        <v/>
      </c>
      <c r="R200" s="30" t="str">
        <f t="shared" si="23"/>
        <v>SIN SALIDA</v>
      </c>
      <c r="S200" s="33" t="str">
        <f>IFERROR(VLOOKUP($A200,Maestro_Equipos!$A$4:$AG$247,33,FALSE()),"")</f>
        <v>Hacer seguimiento al taller y cerrar report</v>
      </c>
    </row>
    <row r="201" spans="1:19" ht="15.75" hidden="1" customHeight="1">
      <c r="A201" t="str" cm="1">
        <f t="array" ref="A201">IFERROR(INDEX(_xlfn._xlws.FILTER(Maestro_Equipos!$A$4:$A$247,Maestro_Equipos!$A$4:$A$247&lt;&gt;""),ROWS($A$4:A201)),"")</f>
        <v>CD-108</v>
      </c>
      <c r="B201" t="str">
        <f>IFERROR(_xlfn.XLOOKUP($A201,Maestro_Equipos!$A$4:$A$247,Maestro_Equipos!$B$4:$B$247,""),"")</f>
        <v>Camión Slurry</v>
      </c>
      <c r="C201" t="str">
        <f>IFERROR(_xlfn.XLOOKUP($A201,Maestro_Equipos!$A$4:$A$247,Maestro_Equipos!$C$4:$C$247,""),"")</f>
        <v>Camiones de Ruta</v>
      </c>
      <c r="D201" t="str">
        <f>IFERROR(VLOOKUP($A198,Maestro_Equipos!$A$4:$Z$247,9,FALSE),"")</f>
        <v>KM</v>
      </c>
      <c r="E201">
        <f>IFERROR(IF($D201="KM",_xlfn.XLOOKUP($A201,Maestro_Equipos!$A:$A,Maestro_Equipos!$N:$N,""),_xlfn.XLOOKUP($A201,Maestro_Equipos!$A:$A,Maestro_Equipos!$M:$M,"")),"")</f>
        <v>98639</v>
      </c>
      <c r="F201" t="str">
        <f>IFERROR(_xlfn.XLOOKUP($A201,Maestro_Equipos!$A:$A,Maestro_Equipos!$R:$R,"")+_xlfn.XLOOKUP($A201,Maestro_Equipos!$A:$A,Maestro_Equipos!$J:$J,""),"")</f>
        <v/>
      </c>
      <c r="G201">
        <f>IFERROR(_xlfn.XLOOKUP($A201,Maestro_Equipos!$A:$A,Maestro_Equipos!$K:$K,""),"")</f>
        <v>445.3</v>
      </c>
      <c r="H201" t="str">
        <f t="shared" si="18"/>
        <v/>
      </c>
      <c r="I201" s="41" t="str">
        <f t="shared" ca="1" si="19"/>
        <v/>
      </c>
      <c r="J201" s="5" t="str">
        <f>IFERROR(INDEX(Maestro_Equipos!$V$4:$V$247,MATCH($A201,Maestro_Equipos!$A$4:$A$247,0)),"")</f>
        <v>Operativo</v>
      </c>
      <c r="K201" s="37">
        <f>IFERROR(
   SUMIFS(Mantenciones!$I:$I,Mantenciones!$B:$B,$A201)
 + SUMIFS('Compras PM'!$F:$F,'Compras PM'!$C:$C,$A201),0)</f>
        <v>178599.96356999999</v>
      </c>
      <c r="L201" s="30" t="str">
        <f t="shared" si="20"/>
        <v>SIN DATOS</v>
      </c>
      <c r="M201" s="58" t="str" cm="1">
        <f t="array" ref="M201">IFERROR(_xlfn.AGGREGATE(14,6,Mantenciones!$A$2:$A$9997/(Mantenciones!$B$2:$B$9997=$A201),1),"")</f>
        <v/>
      </c>
      <c r="N201" s="31" cm="1">
        <f t="array" ref="N201">IFERROR(_xlfn.AGGREGATE(14,6,'Compras PM'!$A$4:$A$10014/('Compras PM'!$C$4:$C$10014=$A201),1),"")</f>
        <v>46128.371488044002</v>
      </c>
      <c r="O201" s="31" t="str">
        <f>IFERROR(VLOOKUP($A201,Maestro_Equipos!$A$4:$AG$247,27,FALSE()),"")</f>
        <v/>
      </c>
      <c r="P201" s="32">
        <f t="shared" ca="1" si="21"/>
        <v>16.628511955997965</v>
      </c>
      <c r="Q201" s="32" t="str">
        <f t="shared" ca="1" si="22"/>
        <v/>
      </c>
      <c r="R201" s="30" t="str">
        <f t="shared" si="23"/>
        <v>SIN SALIDA</v>
      </c>
      <c r="S201" s="33" t="str">
        <f>IFERROR(VLOOKUP($A201,Maestro_Equipos!$A$4:$AG$247,33,FALSE()),"")</f>
        <v>Hacer seguimiento al taller y cerrar report</v>
      </c>
    </row>
    <row r="202" spans="1:19" ht="15.75" customHeight="1">
      <c r="A202" t="str" cm="1">
        <f t="array" ref="A202">IFERROR(INDEX(_xlfn._xlws.FILTER(Maestro_Equipos!$A$4:$A$247,Maestro_Equipos!$A$4:$A$247&lt;&gt;""),ROWS($A$4:A202)),"")</f>
        <v>MD-53</v>
      </c>
      <c r="B202" t="str">
        <f>IFERROR(_xlfn.XLOOKUP($A202,Maestro_Equipos!$A$4:$A$247,Maestro_Equipos!$B$4:$B$247,""),"")</f>
        <v>Rodillo Doble Tambor</v>
      </c>
      <c r="C202" t="str">
        <f>IFERROR(_xlfn.XLOOKUP($A202,Maestro_Equipos!$A$4:$A$247,Maestro_Equipos!$C$4:$C$247,""),"")</f>
        <v>Maquinaria Pesada</v>
      </c>
      <c r="D202" t="str">
        <f>IFERROR(_xlfn.XLOOKUP($A202,Maestro_Equipos!$A:$A,Maestro_Equipos!$I:$I,""),"")</f>
        <v>HORAS</v>
      </c>
      <c r="E202">
        <f>IFERROR(IF($D202="KM",_xlfn.XLOOKUP($A202,Maestro_Equipos!$A:$A,Maestro_Equipos!$N:$N,""),_xlfn.XLOOKUP($A202,Maestro_Equipos!$A:$A,Maestro_Equipos!$M:$M,"")),"")</f>
        <v>8282</v>
      </c>
      <c r="F202" t="str">
        <f>IFERROR(_xlfn.XLOOKUP($A202,Maestro_Equipos!$A:$A,Maestro_Equipos!$R:$R,"")+_xlfn.XLOOKUP($A202,Maestro_Equipos!$A:$A,Maestro_Equipos!$J:$J,""),"")</f>
        <v/>
      </c>
      <c r="G202">
        <f>IFERROR(_xlfn.XLOOKUP($A202,Maestro_Equipos!$A:$A,Maestro_Equipos!$K:$K,""),"")</f>
        <v>31.5</v>
      </c>
      <c r="H202" t="str">
        <f t="shared" si="18"/>
        <v/>
      </c>
      <c r="I202" s="41" t="str">
        <f t="shared" ca="1" si="19"/>
        <v/>
      </c>
      <c r="J202" s="5" t="str">
        <f>IFERROR(INDEX(Maestro_Equipos!$V$4:$V$247,MATCH($A202,Maestro_Equipos!$A$4:$A$247,0)),"")</f>
        <v>Operativo</v>
      </c>
      <c r="K202" s="37">
        <f>IFERROR(
   SUMIFS(Mantenciones!$I:$I,Mantenciones!$B:$B,$A202)
 + SUMIFS('Compras PM'!$F:$F,'Compras PM'!$C:$C,$A202),0)</f>
        <v>536723.31999999995</v>
      </c>
      <c r="L202" s="30" t="str">
        <f t="shared" si="20"/>
        <v>SIN DATOS</v>
      </c>
      <c r="M202" s="58" t="str" cm="1">
        <f t="array" ref="M202">IFERROR(_xlfn.AGGREGATE(14,6,Mantenciones!$A$2:$A$9997/(Mantenciones!$B$2:$B$9997=$A202),1),"")</f>
        <v/>
      </c>
      <c r="N202" s="31" cm="1">
        <f t="array" ref="N202">IFERROR(_xlfn.AGGREGATE(14,6,'Compras PM'!$A$4:$A$10014/('Compras PM'!$C$4:$C$10014=$A202),1),"")</f>
        <v>46118.426777118097</v>
      </c>
      <c r="O202" s="31" t="str">
        <f>IFERROR(VLOOKUP($A202,Maestro_Equipos!$A$4:$AG$247,27,FALSE()),"")</f>
        <v/>
      </c>
      <c r="P202" s="32">
        <f t="shared" ca="1" si="21"/>
        <v>26.573222881903348</v>
      </c>
      <c r="Q202" s="32" t="str">
        <f t="shared" ca="1" si="22"/>
        <v/>
      </c>
      <c r="R202" s="30" t="str">
        <f t="shared" si="23"/>
        <v>SIN SALIDA</v>
      </c>
      <c r="S202" s="33" t="str">
        <f>IFERROR(VLOOKUP($A202,Maestro_Equipos!$A$4:$AG$247,33,FALSE()),"")</f>
        <v>Hacer seguimiento al taller y cerrar report</v>
      </c>
    </row>
    <row r="203" spans="1:19" ht="15.75" customHeight="1">
      <c r="A203" t="str" cm="1">
        <f t="array" ref="A203">IFERROR(INDEX(_xlfn._xlws.FILTER(Maestro_Equipos!$A$4:$A$247,Maestro_Equipos!$A$4:$A$247&lt;&gt;""),ROWS($A$4:A203)),"")</f>
        <v>MD-105</v>
      </c>
      <c r="B203" t="str">
        <f>IFERROR(_xlfn.XLOOKUP($A203,Maestro_Equipos!$A$4:$A$247,Maestro_Equipos!$B$4:$B$247,""),"")</f>
        <v>Cargador Frontal</v>
      </c>
      <c r="C203" t="str">
        <f>IFERROR(_xlfn.XLOOKUP($A203,Maestro_Equipos!$A$4:$A$247,Maestro_Equipos!$C$4:$C$247,""),"")</f>
        <v>Maquinaria Pesada</v>
      </c>
      <c r="D203" t="str">
        <f>IFERROR(_xlfn.XLOOKUP($A203,Maestro_Equipos!$A:$A,Maestro_Equipos!$I:$I,""),"")</f>
        <v>HORAS</v>
      </c>
      <c r="E203">
        <f>IFERROR(IF($D203="KM",_xlfn.XLOOKUP($A203,Maestro_Equipos!$A:$A,Maestro_Equipos!$N:$N,""),_xlfn.XLOOKUP($A203,Maestro_Equipos!$A:$A,Maestro_Equipos!$M:$M,"")),"")</f>
        <v>761</v>
      </c>
      <c r="F203" t="str">
        <f>IFERROR(_xlfn.XLOOKUP($A203,Maestro_Equipos!$A:$A,Maestro_Equipos!$R:$R,"")+_xlfn.XLOOKUP($A203,Maestro_Equipos!$A:$A,Maestro_Equipos!$J:$J,""),"")</f>
        <v/>
      </c>
      <c r="G203">
        <f>IFERROR(_xlfn.XLOOKUP($A203,Maestro_Equipos!$A:$A,Maestro_Equipos!$K:$K,""),"")</f>
        <v>2</v>
      </c>
      <c r="H203" t="str">
        <f t="shared" si="18"/>
        <v/>
      </c>
      <c r="I203" s="41" t="str">
        <f t="shared" ca="1" si="19"/>
        <v/>
      </c>
      <c r="J203" s="5" t="str">
        <f>IFERROR(INDEX(Maestro_Equipos!$V$4:$V$247,MATCH($A203,Maestro_Equipos!$A$4:$A$247,0)),"")</f>
        <v>Operativo</v>
      </c>
      <c r="K203" s="37">
        <f>IFERROR(
   SUMIFS(Mantenciones!$I:$I,Mantenciones!$B:$B,$A203)
 + SUMIFS('Compras PM'!$F:$F,'Compras PM'!$C:$C,$A203),0)</f>
        <v>365383.6214</v>
      </c>
      <c r="L203" s="30" t="str">
        <f t="shared" si="20"/>
        <v>SIN DATOS</v>
      </c>
      <c r="M203" s="58" t="str" cm="1">
        <f t="array" ref="M203">IFERROR(_xlfn.AGGREGATE(14,6,Mantenciones!$A$2:$A$9997/(Mantenciones!$B$2:$B$9997=$A203),1),"")</f>
        <v/>
      </c>
      <c r="N203" s="31" cm="1">
        <f t="array" ref="N203">IFERROR(_xlfn.AGGREGATE(14,6,'Compras PM'!$A$4:$A$10014/('Compras PM'!$C$4:$C$10014=$A203),1),"")</f>
        <v>46104.379210416701</v>
      </c>
      <c r="O203" s="31" t="str">
        <f>IFERROR(VLOOKUP($A203,Maestro_Equipos!$A$4:$AG$247,27,FALSE()),"")</f>
        <v/>
      </c>
      <c r="P203" s="32">
        <f t="shared" ca="1" si="21"/>
        <v>40.620789583299484</v>
      </c>
      <c r="Q203" s="32" t="str">
        <f t="shared" ca="1" si="22"/>
        <v/>
      </c>
      <c r="R203" s="30" t="str">
        <f t="shared" si="23"/>
        <v>SIN SALIDA</v>
      </c>
      <c r="S203" s="33" t="str">
        <f>IFERROR(VLOOKUP($A203,Maestro_Equipos!$A$4:$AG$247,33,FALSE()),"")</f>
        <v>Hacer seguimiento al taller y cerrar report</v>
      </c>
    </row>
    <row r="204" spans="1:19" ht="15.75" customHeight="1">
      <c r="A204" t="str" cm="1">
        <f t="array" ref="A204">IFERROR(INDEX(_xlfn._xlws.FILTER(Maestro_Equipos!$A$4:$A$247,Maestro_Equipos!$A$4:$A$247&lt;&gt;""),ROWS($A$4:A204)),"")</f>
        <v>VD-58</v>
      </c>
      <c r="B204" t="str">
        <f>IFERROR(_xlfn.XLOOKUP($A204,Maestro_Equipos!$A$4:$A$247,Maestro_Equipos!$B$4:$B$247,""),"")</f>
        <v>Camioneta</v>
      </c>
      <c r="C204" t="str">
        <f>IFERROR(_xlfn.XLOOKUP($A204,Maestro_Equipos!$A$4:$A$247,Maestro_Equipos!$C$4:$C$247,""),"")</f>
        <v>Vehículos Livianos</v>
      </c>
      <c r="D204" t="str">
        <f>IFERROR(_xlfn.XLOOKUP($A204,Maestro_Equipos!$A:$A,Maestro_Equipos!$I:$I,""),"")</f>
        <v>KM</v>
      </c>
      <c r="E204">
        <f>IFERROR(IF($D204="KM",_xlfn.XLOOKUP($A204,Maestro_Equipos!$A:$A,Maestro_Equipos!$N:$N,""),_xlfn.XLOOKUP($A204,Maestro_Equipos!$A:$A,Maestro_Equipos!$M:$M,"")),"")</f>
        <v>172378</v>
      </c>
      <c r="F204" t="str">
        <f>IFERROR(_xlfn.XLOOKUP($A204,Maestro_Equipos!$A:$A,Maestro_Equipos!$R:$R,"")+_xlfn.XLOOKUP($A204,Maestro_Equipos!$A:$A,Maestro_Equipos!$J:$J,""),"")</f>
        <v/>
      </c>
      <c r="G204">
        <f>IFERROR(_xlfn.XLOOKUP($A204,Maestro_Equipos!$A:$A,Maestro_Equipos!$K:$K,""),"")</f>
        <v>550</v>
      </c>
      <c r="H204" t="str">
        <f t="shared" si="18"/>
        <v/>
      </c>
      <c r="I204" s="41" t="str">
        <f t="shared" ca="1" si="19"/>
        <v/>
      </c>
      <c r="J204" s="5" t="str">
        <f>IFERROR(INDEX(Maestro_Equipos!$V$4:$V$247,MATCH($A204,Maestro_Equipos!$A$4:$A$247,0)),"")</f>
        <v>Operativo</v>
      </c>
      <c r="K204" s="37">
        <f>IFERROR(
   SUMIFS(Mantenciones!$I:$I,Mantenciones!$B:$B,$A204)
 + SUMIFS('Compras PM'!$F:$F,'Compras PM'!$C:$C,$A204),0)</f>
        <v>0</v>
      </c>
      <c r="L204" s="30" t="str">
        <f t="shared" si="20"/>
        <v>SIN DATOS</v>
      </c>
      <c r="M204" s="58" t="str" cm="1">
        <f t="array" ref="M204">IFERROR(_xlfn.AGGREGATE(14,6,Mantenciones!$A$2:$A$9997/(Mantenciones!$B$2:$B$9997=$A204),1),"")</f>
        <v/>
      </c>
      <c r="N204" s="31" t="str" cm="1">
        <f t="array" ref="N204">IFERROR(_xlfn.AGGREGATE(14,6,'Compras PM'!$A$4:$A$10014/('Compras PM'!$C$4:$C$10014=$A204),1),"")</f>
        <v/>
      </c>
      <c r="O204" s="31" t="str">
        <f>IFERROR(VLOOKUP($A204,Maestro_Equipos!$A$4:$AG$247,27,FALSE()),"")</f>
        <v/>
      </c>
      <c r="P204" s="32" t="str">
        <f t="shared" ca="1" si="21"/>
        <v/>
      </c>
      <c r="Q204" s="32" t="str">
        <f t="shared" ca="1" si="22"/>
        <v/>
      </c>
      <c r="R204" s="30" t="str">
        <f t="shared" si="23"/>
        <v>SIN SALIDA</v>
      </c>
      <c r="S204" s="33" t="str">
        <f>IFERROR(VLOOKUP($A204,Maestro_Equipos!$A$4:$AG$247,33,FALSE()),"")</f>
        <v>Monitorear próximo vencimiento</v>
      </c>
    </row>
    <row r="205" spans="1:19" ht="15.75" customHeight="1">
      <c r="A205" t="str" cm="1">
        <f t="array" ref="A205">IFERROR(INDEX(_xlfn._xlws.FILTER(Maestro_Equipos!$A$4:$A$247,Maestro_Equipos!$A$4:$A$247&lt;&gt;""),ROWS($A$4:A205)),"")</f>
        <v>MD-98</v>
      </c>
      <c r="B205" t="str">
        <f>IFERROR(_xlfn.XLOOKUP($A205,Maestro_Equipos!$A$4:$A$247,Maestro_Equipos!$B$4:$B$247,""),"")</f>
        <v>Rodillo Neumaticos</v>
      </c>
      <c r="C205" t="str">
        <f>IFERROR(_xlfn.XLOOKUP($A205,Maestro_Equipos!$A$4:$A$247,Maestro_Equipos!$C$4:$C$247,""),"")</f>
        <v>Maquinaria Pesada</v>
      </c>
      <c r="D205" t="str">
        <f>IFERROR(_xlfn.XLOOKUP($A205,Maestro_Equipos!$A:$A,Maestro_Equipos!$I:$I,""),"")</f>
        <v>HORAS</v>
      </c>
      <c r="E205">
        <f>IFERROR(IF($D205="KM",_xlfn.XLOOKUP($A205,Maestro_Equipos!$A:$A,Maestro_Equipos!$N:$N,""),_xlfn.XLOOKUP($A205,Maestro_Equipos!$A:$A,Maestro_Equipos!$M:$M,"")),"")</f>
        <v>2405</v>
      </c>
      <c r="F205" t="str">
        <f>IFERROR(_xlfn.XLOOKUP($A205,Maestro_Equipos!$A:$A,Maestro_Equipos!$R:$R,"")+_xlfn.XLOOKUP($A205,Maestro_Equipos!$A:$A,Maestro_Equipos!$J:$J,""),"")</f>
        <v/>
      </c>
      <c r="G205">
        <f>IFERROR(_xlfn.XLOOKUP($A205,Maestro_Equipos!$A:$A,Maestro_Equipos!$K:$K,""),"")</f>
        <v>6.8</v>
      </c>
      <c r="H205" t="str">
        <f t="shared" si="18"/>
        <v/>
      </c>
      <c r="I205" s="41" t="str">
        <f t="shared" ca="1" si="19"/>
        <v/>
      </c>
      <c r="J205" s="5" t="str">
        <f>IFERROR(INDEX(Maestro_Equipos!$V$4:$V$247,MATCH($A205,Maestro_Equipos!$A$4:$A$247,0)),"")</f>
        <v>Operativo</v>
      </c>
      <c r="K205" s="37">
        <f>IFERROR(
   SUMIFS(Mantenciones!$I:$I,Mantenciones!$B:$B,$A205)
 + SUMIFS('Compras PM'!$F:$F,'Compras PM'!$C:$C,$A205),0)</f>
        <v>0</v>
      </c>
      <c r="L205" s="30" t="str">
        <f t="shared" si="20"/>
        <v>SIN DATOS</v>
      </c>
      <c r="M205" s="58" t="str" cm="1">
        <f t="array" ref="M205">IFERROR(_xlfn.AGGREGATE(14,6,Mantenciones!$A$2:$A$9997/(Mantenciones!$B$2:$B$9997=$A205),1),"")</f>
        <v/>
      </c>
      <c r="N205" s="31" t="str" cm="1">
        <f t="array" ref="N205">IFERROR(_xlfn.AGGREGATE(14,6,'Compras PM'!$A$4:$A$10014/('Compras PM'!$C$4:$C$10014=$A205),1),"")</f>
        <v/>
      </c>
      <c r="O205" s="31">
        <f>IFERROR(VLOOKUP($A205,Maestro_Equipos!$A$4:$AG$247,27,FALSE()),"")</f>
        <v>46083</v>
      </c>
      <c r="P205" s="32" t="str">
        <f t="shared" ca="1" si="21"/>
        <v/>
      </c>
      <c r="Q205" s="32">
        <f t="shared" ca="1" si="22"/>
        <v>62</v>
      </c>
      <c r="R205" s="30" t="str">
        <f t="shared" si="23"/>
        <v>PENDIENTE</v>
      </c>
      <c r="S205" s="33" t="str">
        <f>IFERROR(VLOOKUP($A205,Maestro_Equipos!$A$4:$AG$247,33,FALSE()),"")</f>
        <v>Monitorear próximo vencimiento</v>
      </c>
    </row>
    <row r="206" spans="1:19" ht="15.75" customHeight="1">
      <c r="A206" t="str" cm="1">
        <f t="array" ref="A206">IFERROR(INDEX(_xlfn._xlws.FILTER(Maestro_Equipos!$A$4:$A$247,Maestro_Equipos!$A$4:$A$247&lt;&gt;""),ROWS($A$4:A206)),"")</f>
        <v>VD-124</v>
      </c>
      <c r="B206" t="str">
        <f>IFERROR(_xlfn.XLOOKUP($A206,Maestro_Equipos!$A$4:$A$247,Maestro_Equipos!$B$4:$B$247,""),"")</f>
        <v>Furgon</v>
      </c>
      <c r="C206" t="str">
        <f>IFERROR(_xlfn.XLOOKUP($A206,Maestro_Equipos!$A$4:$A$247,Maestro_Equipos!$C$4:$C$247,""),"")</f>
        <v>Vehículos Livianos</v>
      </c>
      <c r="D206" t="str">
        <f>IFERROR(_xlfn.XLOOKUP($A206,Maestro_Equipos!$A:$A,Maestro_Equipos!$I:$I,""),"")</f>
        <v>KM</v>
      </c>
      <c r="E206">
        <f>IFERROR(IF($D206="KM",_xlfn.XLOOKUP($A206,Maestro_Equipos!$A:$A,Maestro_Equipos!$N:$N,""),_xlfn.XLOOKUP($A206,Maestro_Equipos!$A:$A,Maestro_Equipos!$M:$M,"")),"")</f>
        <v>55477</v>
      </c>
      <c r="F206" t="str">
        <f>IFERROR(_xlfn.XLOOKUP($A206,Maestro_Equipos!$A:$A,Maestro_Equipos!$R:$R,"")+_xlfn.XLOOKUP($A206,Maestro_Equipos!$A:$A,Maestro_Equipos!$J:$J,""),"")</f>
        <v/>
      </c>
      <c r="G206">
        <f>IFERROR(_xlfn.XLOOKUP($A206,Maestro_Equipos!$A:$A,Maestro_Equipos!$K:$K,""),"")</f>
        <v>139.9</v>
      </c>
      <c r="H206" t="str">
        <f t="shared" si="18"/>
        <v/>
      </c>
      <c r="I206" s="41" t="str">
        <f t="shared" ca="1" si="19"/>
        <v/>
      </c>
      <c r="J206" s="5" t="str">
        <f>IFERROR(INDEX(Maestro_Equipos!$V$4:$V$247,MATCH($A206,Maestro_Equipos!$A$4:$A$247,0)),"")</f>
        <v>Operativo</v>
      </c>
      <c r="K206" s="37">
        <f>IFERROR(
   SUMIFS(Mantenciones!$I:$I,Mantenciones!$B:$B,$A206)
 + SUMIFS('Compras PM'!$F:$F,'Compras PM'!$C:$C,$A206),0)</f>
        <v>24399.973999999998</v>
      </c>
      <c r="L206" s="30" t="str">
        <f t="shared" si="20"/>
        <v>SIN DATOS</v>
      </c>
      <c r="M206" s="58" t="str" cm="1">
        <f t="array" ref="M206">IFERROR(_xlfn.AGGREGATE(14,6,Mantenciones!$A$2:$A$9997/(Mantenciones!$B$2:$B$9997=$A206),1),"")</f>
        <v/>
      </c>
      <c r="N206" s="31" cm="1">
        <f t="array" ref="N206">IFERROR(_xlfn.AGGREGATE(14,6,'Compras PM'!$A$4:$A$10014/('Compras PM'!$C$4:$C$10014=$A206),1),"")</f>
        <v>46118.408281215299</v>
      </c>
      <c r="O206" s="31">
        <f>IFERROR(VLOOKUP($A206,Maestro_Equipos!$A$4:$AG$247,27,FALSE()),"")</f>
        <v>46080</v>
      </c>
      <c r="P206" s="32">
        <f t="shared" ca="1" si="21"/>
        <v>26.591718784700788</v>
      </c>
      <c r="Q206" s="32">
        <f t="shared" ca="1" si="22"/>
        <v>65</v>
      </c>
      <c r="R206" s="30" t="str">
        <f t="shared" si="23"/>
        <v>PENDIENTE</v>
      </c>
      <c r="S206" s="33" t="str">
        <f>IFERROR(VLOOKUP($A206,Maestro_Equipos!$A$4:$AG$247,33,FALSE()),"")</f>
        <v>Monitorear próximo vencimiento</v>
      </c>
    </row>
    <row r="207" spans="1:19" ht="15.75" customHeight="1">
      <c r="A207" t="str" cm="1">
        <f t="array" ref="A207">IFERROR(INDEX(_xlfn._xlws.FILTER(Maestro_Equipos!$A$4:$A$247,Maestro_Equipos!$A$4:$A$247&lt;&gt;""),ROWS($A$4:A207)),"")</f>
        <v>VD-119</v>
      </c>
      <c r="B207" t="str">
        <f>IFERROR(_xlfn.XLOOKUP($A207,Maestro_Equipos!$A$4:$A$247,Maestro_Equipos!$B$4:$B$247,""),"")</f>
        <v>Furgon</v>
      </c>
      <c r="C207" t="str">
        <f>IFERROR(_xlfn.XLOOKUP($A207,Maestro_Equipos!$A$4:$A$247,Maestro_Equipos!$C$4:$C$247,""),"")</f>
        <v>Vehículos Livianos</v>
      </c>
      <c r="D207" t="str">
        <f>IFERROR(_xlfn.XLOOKUP($A207,Maestro_Equipos!$A:$A,Maestro_Equipos!$I:$I,""),"")</f>
        <v>KM</v>
      </c>
      <c r="E207">
        <f>IFERROR(IF($D207="KM",_xlfn.XLOOKUP($A207,Maestro_Equipos!$A:$A,Maestro_Equipos!$N:$N,""),_xlfn.XLOOKUP($A207,Maestro_Equipos!$A:$A,Maestro_Equipos!$M:$M,"")),"")</f>
        <v>60235</v>
      </c>
      <c r="F207" t="str">
        <f>IFERROR(_xlfn.XLOOKUP($A207,Maestro_Equipos!$A:$A,Maestro_Equipos!$R:$R,"")+_xlfn.XLOOKUP($A207,Maestro_Equipos!$A:$A,Maestro_Equipos!$J:$J,""),"")</f>
        <v/>
      </c>
      <c r="G207">
        <f>IFERROR(_xlfn.XLOOKUP($A207,Maestro_Equipos!$A:$A,Maestro_Equipos!$K:$K,""),"")</f>
        <v>144.6</v>
      </c>
      <c r="H207" t="str">
        <f t="shared" si="18"/>
        <v/>
      </c>
      <c r="I207" s="41" t="str">
        <f t="shared" ca="1" si="19"/>
        <v/>
      </c>
      <c r="J207" s="5" t="str">
        <f>IFERROR(INDEX(Maestro_Equipos!$V$4:$V$247,MATCH($A207,Maestro_Equipos!$A$4:$A$247,0)),"")</f>
        <v>Operativo</v>
      </c>
      <c r="K207" s="37">
        <f>IFERROR(
   SUMIFS(Mantenciones!$I:$I,Mantenciones!$B:$B,$A207)
 + SUMIFS('Compras PM'!$F:$F,'Compras PM'!$C:$C,$A207),0)</f>
        <v>24399.973999999998</v>
      </c>
      <c r="L207" s="30" t="str">
        <f t="shared" si="20"/>
        <v>SIN DATOS</v>
      </c>
      <c r="M207" s="58" cm="1">
        <f t="array" ref="M207">IFERROR(_xlfn.AGGREGATE(14,6,Mantenciones!$A$2:$A$9997/(Mantenciones!$B$2:$B$9997=$A207),1),"")</f>
        <v>46034</v>
      </c>
      <c r="N207" s="31" cm="1">
        <f t="array" ref="N207">IFERROR(_xlfn.AGGREGATE(14,6,'Compras PM'!$A$4:$A$10014/('Compras PM'!$C$4:$C$10014=$A207),1),"")</f>
        <v>46118</v>
      </c>
      <c r="O207" s="31">
        <f>IFERROR(VLOOKUP($A207,Maestro_Equipos!$A$4:$AG$247,27,FALSE()),"")</f>
        <v>46099</v>
      </c>
      <c r="P207" s="32">
        <f t="shared" ca="1" si="21"/>
        <v>27</v>
      </c>
      <c r="Q207" s="32">
        <f t="shared" ca="1" si="22"/>
        <v>46</v>
      </c>
      <c r="R207" s="30" t="str">
        <f t="shared" si="23"/>
        <v>PENDIENTE</v>
      </c>
      <c r="S207" s="33" t="str">
        <f>IFERROR(VLOOKUP($A207,Maestro_Equipos!$A$4:$AG$247,33,FALSE()),"")</f>
        <v>Monitorear próximo vencimiento</v>
      </c>
    </row>
    <row r="208" spans="1:19" ht="15.75" customHeight="1">
      <c r="A208" t="str" cm="1">
        <f t="array" ref="A208">IFERROR(INDEX(_xlfn._xlws.FILTER(Maestro_Equipos!$A$4:$A$247,Maestro_Equipos!$A$4:$A$247&lt;&gt;""),ROWS($A$4:A208)),"")</f>
        <v>VD-96</v>
      </c>
      <c r="B208" t="str">
        <f>IFERROR(_xlfn.XLOOKUP($A208,Maestro_Equipos!$A$4:$A$247,Maestro_Equipos!$B$4:$B$247,""),"")</f>
        <v>Camioneta</v>
      </c>
      <c r="C208" t="str">
        <f>IFERROR(_xlfn.XLOOKUP($A208,Maestro_Equipos!$A$4:$A$247,Maestro_Equipos!$C$4:$C$247,""),"")</f>
        <v>Vehículos Livianos</v>
      </c>
      <c r="D208" t="str">
        <f>IFERROR(_xlfn.XLOOKUP($A208,Maestro_Equipos!$A:$A,Maestro_Equipos!$I:$I,""),"")</f>
        <v>KM</v>
      </c>
      <c r="E208">
        <f>IFERROR(IF($D208="KM",_xlfn.XLOOKUP($A208,Maestro_Equipos!$A:$A,Maestro_Equipos!$N:$N,""),_xlfn.XLOOKUP($A208,Maestro_Equipos!$A:$A,Maestro_Equipos!$M:$M,"")),"")</f>
        <v>133636</v>
      </c>
      <c r="F208" t="str">
        <f>IFERROR(_xlfn.XLOOKUP($A208,Maestro_Equipos!$A:$A,Maestro_Equipos!$R:$R,"")+_xlfn.XLOOKUP($A208,Maestro_Equipos!$A:$A,Maestro_Equipos!$J:$J,""),"")</f>
        <v/>
      </c>
      <c r="G208">
        <f>IFERROR(_xlfn.XLOOKUP($A208,Maestro_Equipos!$A:$A,Maestro_Equipos!$K:$K,""),"")</f>
        <v>301.7</v>
      </c>
      <c r="H208" t="str">
        <f t="shared" si="18"/>
        <v/>
      </c>
      <c r="I208" s="41" t="str">
        <f t="shared" ca="1" si="19"/>
        <v/>
      </c>
      <c r="J208" s="5" t="str">
        <f>IFERROR(INDEX(Maestro_Equipos!$V$4:$V$247,MATCH($A208,Maestro_Equipos!$A$4:$A$247,0)),"")</f>
        <v>Operativo</v>
      </c>
      <c r="K208" s="37">
        <f>IFERROR(
   SUMIFS(Mantenciones!$I:$I,Mantenciones!$B:$B,$A208)
 + SUMIFS('Compras PM'!$F:$F,'Compras PM'!$C:$C,$A208),0)</f>
        <v>24499.97</v>
      </c>
      <c r="L208" s="30" t="str">
        <f t="shared" si="20"/>
        <v>SIN DATOS</v>
      </c>
      <c r="M208" s="58" t="str" cm="1">
        <f t="array" ref="M208">IFERROR(_xlfn.AGGREGATE(14,6,Mantenciones!$A$2:$A$9997/(Mantenciones!$B$2:$B$9997=$A208),1),"")</f>
        <v/>
      </c>
      <c r="N208" s="31" cm="1">
        <f t="array" ref="N208">IFERROR(_xlfn.AGGREGATE(14,6,'Compras PM'!$A$4:$A$10014/('Compras PM'!$C$4:$C$10014=$A208),1),"")</f>
        <v>46127</v>
      </c>
      <c r="O208" s="31" t="str">
        <f>IFERROR(VLOOKUP($A208,Maestro_Equipos!$A$4:$AG$247,27,FALSE()),"")</f>
        <v/>
      </c>
      <c r="P208" s="32">
        <f t="shared" ca="1" si="21"/>
        <v>18</v>
      </c>
      <c r="Q208" s="32" t="str">
        <f t="shared" ca="1" si="22"/>
        <v/>
      </c>
      <c r="R208" s="30" t="str">
        <f t="shared" si="23"/>
        <v>SIN SALIDA</v>
      </c>
      <c r="S208" s="33" t="str">
        <f>IFERROR(VLOOKUP($A208,Maestro_Equipos!$A$4:$AG$247,33,FALSE()),"")</f>
        <v>Hacer seguimiento al taller y cerrar report</v>
      </c>
    </row>
    <row r="209" spans="1:19" ht="15.75" customHeight="1">
      <c r="A209" t="str" cm="1">
        <f t="array" ref="A209">IFERROR(INDEX(_xlfn._xlws.FILTER(Maestro_Equipos!$A$4:$A$247,Maestro_Equipos!$A$4:$A$247&lt;&gt;""),ROWS($A$4:A209)),"")</f>
        <v>VD-117</v>
      </c>
      <c r="B209" t="str">
        <f>IFERROR(_xlfn.XLOOKUP($A209,Maestro_Equipos!$A$4:$A$247,Maestro_Equipos!$B$4:$B$247,""),"")</f>
        <v>Furgon</v>
      </c>
      <c r="C209" t="str">
        <f>IFERROR(_xlfn.XLOOKUP($A209,Maestro_Equipos!$A$4:$A$247,Maestro_Equipos!$C$4:$C$247,""),"")</f>
        <v>Vehículos Livianos</v>
      </c>
      <c r="D209" t="str">
        <f>IFERROR(_xlfn.XLOOKUP($A209,Maestro_Equipos!$A:$A,Maestro_Equipos!$I:$I,""),"")</f>
        <v>KM</v>
      </c>
      <c r="E209">
        <f>IFERROR(IF($D209="KM",_xlfn.XLOOKUP($A209,Maestro_Equipos!$A:$A,Maestro_Equipos!$N:$N,""),_xlfn.XLOOKUP($A209,Maestro_Equipos!$A:$A,Maestro_Equipos!$M:$M,"")),"")</f>
        <v>54674</v>
      </c>
      <c r="F209" t="str">
        <f>IFERROR(_xlfn.XLOOKUP($A209,Maestro_Equipos!$A:$A,Maestro_Equipos!$R:$R,"")+_xlfn.XLOOKUP($A209,Maestro_Equipos!$A:$A,Maestro_Equipos!$J:$J,""),"")</f>
        <v/>
      </c>
      <c r="G209">
        <f>IFERROR(_xlfn.XLOOKUP($A209,Maestro_Equipos!$A:$A,Maestro_Equipos!$K:$K,""),"")</f>
        <v>122.5</v>
      </c>
      <c r="H209" t="str">
        <f t="shared" si="18"/>
        <v/>
      </c>
      <c r="I209" s="41" t="str">
        <f t="shared" ca="1" si="19"/>
        <v/>
      </c>
      <c r="J209" s="5" t="str">
        <f>IFERROR(INDEX(Maestro_Equipos!$V$4:$V$247,MATCH($A209,Maestro_Equipos!$A$4:$A$247,0)),"")</f>
        <v>Operativo</v>
      </c>
      <c r="K209" s="37">
        <f>IFERROR(
   SUMIFS(Mantenciones!$I:$I,Mantenciones!$B:$B,$A209)
 + SUMIFS('Compras PM'!$F:$F,'Compras PM'!$C:$C,$A209),0)</f>
        <v>24399.973999999998</v>
      </c>
      <c r="L209" s="30" t="str">
        <f t="shared" si="20"/>
        <v>SIN DATOS</v>
      </c>
      <c r="M209" s="58" t="str" cm="1">
        <f t="array" ref="M209">IFERROR(_xlfn.AGGREGATE(14,6,Mantenciones!$A$2:$A$9997/(Mantenciones!$B$2:$B$9997=$A209),1),"")</f>
        <v/>
      </c>
      <c r="N209" s="31" cm="1">
        <f t="array" ref="N209">IFERROR(_xlfn.AGGREGATE(14,6,'Compras PM'!$A$4:$A$10014/('Compras PM'!$C$4:$C$10014=$A209),1),"")</f>
        <v>46118.408281215299</v>
      </c>
      <c r="O209" s="31">
        <f>IFERROR(VLOOKUP($A209,Maestro_Equipos!$A$4:$AG$247,27,FALSE()),"")</f>
        <v>46118</v>
      </c>
      <c r="P209" s="32">
        <f t="shared" ca="1" si="21"/>
        <v>26.591718784700788</v>
      </c>
      <c r="Q209" s="32">
        <f t="shared" ca="1" si="22"/>
        <v>27</v>
      </c>
      <c r="R209" s="30" t="str">
        <f t="shared" si="23"/>
        <v>PENDIENTE</v>
      </c>
      <c r="S209" s="33" t="str">
        <f>IFERROR(VLOOKUP($A209,Maestro_Equipos!$A$4:$AG$247,33,FALSE()),"")</f>
        <v>Monitorear próximo vencimiento</v>
      </c>
    </row>
    <row r="210" spans="1:19" ht="15.75" customHeight="1">
      <c r="A210" t="str" cm="1">
        <f t="array" ref="A210">IFERROR(INDEX(_xlfn._xlws.FILTER(Maestro_Equipos!$A$4:$A$247,Maestro_Equipos!$A$4:$A$247&lt;&gt;""),ROWS($A$4:A210)),"")</f>
        <v>VD-134</v>
      </c>
      <c r="B210" t="str">
        <f>IFERROR(_xlfn.XLOOKUP($A210,Maestro_Equipos!$A$4:$A$247,Maestro_Equipos!$B$4:$B$247,""),"")</f>
        <v>Camioneta</v>
      </c>
      <c r="C210" t="str">
        <f>IFERROR(_xlfn.XLOOKUP($A210,Maestro_Equipos!$A$4:$A$247,Maestro_Equipos!$C$4:$C$247,""),"")</f>
        <v>Vehículos Livianos</v>
      </c>
      <c r="D210" t="str">
        <f>IFERROR(_xlfn.XLOOKUP($A210,Maestro_Equipos!$A:$A,Maestro_Equipos!$I:$I,""),"")</f>
        <v>KM</v>
      </c>
      <c r="E210">
        <f>IFERROR(IF($D210="KM",_xlfn.XLOOKUP($A210,Maestro_Equipos!$A:$A,Maestro_Equipos!$N:$N,""),_xlfn.XLOOKUP($A210,Maestro_Equipos!$A:$A,Maestro_Equipos!$M:$M,"")),"")</f>
        <v>93371</v>
      </c>
      <c r="F210" t="str">
        <f>IFERROR(_xlfn.XLOOKUP($A210,Maestro_Equipos!$A:$A,Maestro_Equipos!$R:$R,"")+_xlfn.XLOOKUP($A210,Maestro_Equipos!$A:$A,Maestro_Equipos!$J:$J,""),"")</f>
        <v/>
      </c>
      <c r="G210">
        <f>IFERROR(_xlfn.XLOOKUP($A210,Maestro_Equipos!$A:$A,Maestro_Equipos!$K:$K,""),"")</f>
        <v>213.6</v>
      </c>
      <c r="H210" t="str">
        <f t="shared" si="18"/>
        <v/>
      </c>
      <c r="I210" s="41" t="str">
        <f t="shared" ca="1" si="19"/>
        <v/>
      </c>
      <c r="J210" s="5" t="str">
        <f>IFERROR(INDEX(Maestro_Equipos!$V$4:$V$247,MATCH($A210,Maestro_Equipos!$A$4:$A$247,0)),"")</f>
        <v>Operativo</v>
      </c>
      <c r="K210" s="37">
        <f>IFERROR(
   SUMIFS(Mantenciones!$I:$I,Mantenciones!$B:$B,$A210)
 + SUMIFS('Compras PM'!$F:$F,'Compras PM'!$C:$C,$A210),0)</f>
        <v>0</v>
      </c>
      <c r="L210" s="30" t="str">
        <f t="shared" si="20"/>
        <v>SIN DATOS</v>
      </c>
      <c r="M210" s="58" cm="1">
        <f t="array" ref="M210">IFERROR(_xlfn.AGGREGATE(14,6,Mantenciones!$A$2:$A$9997/(Mantenciones!$B$2:$B$9997=$A210),1),"")</f>
        <v>46120</v>
      </c>
      <c r="N210" s="31" t="str" cm="1">
        <f t="array" ref="N210">IFERROR(_xlfn.AGGREGATE(14,6,'Compras PM'!$A$4:$A$10014/('Compras PM'!$C$4:$C$10014=$A210),1),"")</f>
        <v/>
      </c>
      <c r="O210" s="31" t="str">
        <f>IFERROR(VLOOKUP($A210,Maestro_Equipos!$A$4:$AG$247,27,FALSE()),"")</f>
        <v/>
      </c>
      <c r="P210" s="32" t="str">
        <f t="shared" ca="1" si="21"/>
        <v/>
      </c>
      <c r="Q210" s="32" t="str">
        <f t="shared" ca="1" si="22"/>
        <v/>
      </c>
      <c r="R210" s="30" t="str">
        <f t="shared" si="23"/>
        <v>SIN SALIDA</v>
      </c>
      <c r="S210" s="33" t="str">
        <f>IFERROR(VLOOKUP($A210,Maestro_Equipos!$A$4:$AG$247,33,FALSE()),"")</f>
        <v>Monitorear próximo vencimiento</v>
      </c>
    </row>
    <row r="211" spans="1:19" ht="15.75" customHeight="1">
      <c r="A211" t="str" cm="1">
        <f t="array" ref="A211">IFERROR(INDEX(_xlfn._xlws.FILTER(Maestro_Equipos!$A$4:$A$247,Maestro_Equipos!$A$4:$A$247&lt;&gt;""),ROWS($A$4:A211)),"")</f>
        <v>VD-79</v>
      </c>
      <c r="B211" t="str">
        <f>IFERROR(_xlfn.XLOOKUP($A211,Maestro_Equipos!$A$4:$A$247,Maestro_Equipos!$B$4:$B$247,""),"")</f>
        <v>Camioneta</v>
      </c>
      <c r="C211" t="str">
        <f>IFERROR(_xlfn.XLOOKUP($A211,Maestro_Equipos!$A$4:$A$247,Maestro_Equipos!$C$4:$C$247,""),"")</f>
        <v>Vehículos Livianos</v>
      </c>
      <c r="D211" t="str">
        <f>IFERROR(_xlfn.XLOOKUP($A211,Maestro_Equipos!$A:$A,Maestro_Equipos!$I:$I,""),"")</f>
        <v>KM</v>
      </c>
      <c r="E211">
        <f>IFERROR(IF($D211="KM",_xlfn.XLOOKUP($A211,Maestro_Equipos!$A:$A,Maestro_Equipos!$N:$N,""),_xlfn.XLOOKUP($A211,Maestro_Equipos!$A:$A,Maestro_Equipos!$M:$M,"")),"")</f>
        <v>143354</v>
      </c>
      <c r="F211" t="str">
        <f>IFERROR(_xlfn.XLOOKUP($A211,Maestro_Equipos!$A:$A,Maestro_Equipos!$R:$R,"")+_xlfn.XLOOKUP($A211,Maestro_Equipos!$A:$A,Maestro_Equipos!$J:$J,""),"")</f>
        <v/>
      </c>
      <c r="G211">
        <f>IFERROR(_xlfn.XLOOKUP($A211,Maestro_Equipos!$A:$A,Maestro_Equipos!$K:$K,""),"")</f>
        <v>342.6</v>
      </c>
      <c r="H211" t="str">
        <f t="shared" si="18"/>
        <v/>
      </c>
      <c r="I211" s="41" t="str">
        <f t="shared" ca="1" si="19"/>
        <v/>
      </c>
      <c r="J211" s="5" t="str">
        <f>IFERROR(INDEX(Maestro_Equipos!$V$4:$V$247,MATCH($A211,Maestro_Equipos!$A$4:$A$247,0)),"")</f>
        <v>Operativo</v>
      </c>
      <c r="K211" s="37">
        <f>IFERROR(
   SUMIFS(Mantenciones!$I:$I,Mantenciones!$B:$B,$A211)
 + SUMIFS('Compras PM'!$F:$F,'Compras PM'!$C:$C,$A211),0)</f>
        <v>0</v>
      </c>
      <c r="L211" s="30" t="str">
        <f t="shared" si="20"/>
        <v>SIN DATOS</v>
      </c>
      <c r="M211" s="58" t="str" cm="1">
        <f t="array" ref="M211">IFERROR(_xlfn.AGGREGATE(14,6,Mantenciones!$A$2:$A$9997/(Mantenciones!$B$2:$B$9997=$A211),1),"")</f>
        <v/>
      </c>
      <c r="N211" s="31" t="str" cm="1">
        <f t="array" ref="N211">IFERROR(_xlfn.AGGREGATE(14,6,'Compras PM'!$A$4:$A$10014/('Compras PM'!$C$4:$C$10014=$A211),1),"")</f>
        <v/>
      </c>
      <c r="O211" s="31">
        <f>IFERROR(VLOOKUP($A211,Maestro_Equipos!$A$4:$AG$247,27,FALSE()),"")</f>
        <v>46118</v>
      </c>
      <c r="P211" s="32" t="str">
        <f t="shared" ca="1" si="21"/>
        <v/>
      </c>
      <c r="Q211" s="32">
        <f t="shared" ca="1" si="22"/>
        <v>27</v>
      </c>
      <c r="R211" s="30" t="str">
        <f t="shared" si="23"/>
        <v>PENDIENTE</v>
      </c>
      <c r="S211" s="33" t="str">
        <f>IFERROR(VLOOKUP($A211,Maestro_Equipos!$A$4:$AG$247,33,FALSE()),"")</f>
        <v>Monitorear próximo vencimiento</v>
      </c>
    </row>
    <row r="212" spans="1:19" ht="15.75" customHeight="1">
      <c r="A212" t="str" cm="1">
        <f t="array" ref="A212">IFERROR(INDEX(_xlfn._xlws.FILTER(Maestro_Equipos!$A$4:$A$247,Maestro_Equipos!$A$4:$A$247&lt;&gt;""),ROWS($A$4:A212)),"")</f>
        <v>VD-108</v>
      </c>
      <c r="B212" t="str">
        <f>IFERROR(_xlfn.XLOOKUP($A212,Maestro_Equipos!$A$4:$A$247,Maestro_Equipos!$B$4:$B$247,""),"")</f>
        <v>Camioneta</v>
      </c>
      <c r="C212" t="str">
        <f>IFERROR(_xlfn.XLOOKUP($A212,Maestro_Equipos!$A$4:$A$247,Maestro_Equipos!$C$4:$C$247,""),"")</f>
        <v>Vehículos Livianos</v>
      </c>
      <c r="D212" t="str">
        <f>IFERROR(_xlfn.XLOOKUP($A212,Maestro_Equipos!$A:$A,Maestro_Equipos!$I:$I,""),"")</f>
        <v>KM</v>
      </c>
      <c r="E212">
        <f>IFERROR(IF($D212="KM",_xlfn.XLOOKUP($A212,Maestro_Equipos!$A:$A,Maestro_Equipos!$N:$N,""),_xlfn.XLOOKUP($A212,Maestro_Equipos!$A:$A,Maestro_Equipos!$M:$M,"")),"")</f>
        <v>88308</v>
      </c>
      <c r="F212" t="str">
        <f>IFERROR(_xlfn.XLOOKUP($A212,Maestro_Equipos!$A:$A,Maestro_Equipos!$R:$R,"")+_xlfn.XLOOKUP($A212,Maestro_Equipos!$A:$A,Maestro_Equipos!$J:$J,""),"")</f>
        <v/>
      </c>
      <c r="G212">
        <f>IFERROR(_xlfn.XLOOKUP($A212,Maestro_Equipos!$A:$A,Maestro_Equipos!$K:$K,""),"")</f>
        <v>178.5</v>
      </c>
      <c r="H212" t="str">
        <f t="shared" si="18"/>
        <v/>
      </c>
      <c r="I212" s="41" t="str">
        <f t="shared" ca="1" si="19"/>
        <v/>
      </c>
      <c r="J212" s="5" t="str">
        <f>IFERROR(INDEX(Maestro_Equipos!$V$4:$V$247,MATCH($A212,Maestro_Equipos!$A$4:$A$247,0)),"")</f>
        <v>Operativo</v>
      </c>
      <c r="K212" s="37">
        <f>IFERROR(
   SUMIFS(Mantenciones!$I:$I,Mantenciones!$B:$B,$A212)
 + SUMIFS('Compras PM'!$F:$F,'Compras PM'!$C:$C,$A212),0)</f>
        <v>387603.23</v>
      </c>
      <c r="L212" s="30" t="str">
        <f t="shared" si="20"/>
        <v>SIN DATOS</v>
      </c>
      <c r="M212" s="58" cm="1">
        <f t="array" ref="M212">IFERROR(_xlfn.AGGREGATE(14,6,Mantenciones!$A$2:$A$9997/(Mantenciones!$B$2:$B$9997=$A212),1),"")</f>
        <v>46118</v>
      </c>
      <c r="N212" s="31" cm="1">
        <f t="array" ref="N212">IFERROR(_xlfn.AGGREGATE(14,6,'Compras PM'!$A$4:$A$10014/('Compras PM'!$C$4:$C$10014=$A212),1),"")</f>
        <v>46105</v>
      </c>
      <c r="O212" s="31" t="str">
        <f>IFERROR(VLOOKUP($A212,Maestro_Equipos!$A$4:$AG$247,27,FALSE()),"")</f>
        <v/>
      </c>
      <c r="P212" s="32">
        <f t="shared" ca="1" si="21"/>
        <v>13</v>
      </c>
      <c r="Q212" s="32" t="str">
        <f t="shared" ca="1" si="22"/>
        <v/>
      </c>
      <c r="R212" s="30" t="str">
        <f t="shared" si="23"/>
        <v>SIN SALIDA</v>
      </c>
      <c r="S212" s="33" t="str">
        <f>IFERROR(VLOOKUP($A212,Maestro_Equipos!$A$4:$AG$247,33,FALSE()),"")</f>
        <v>Hacer seguimiento al taller y cerrar report</v>
      </c>
    </row>
    <row r="213" spans="1:19" ht="15.75" hidden="1" customHeight="1">
      <c r="A213" t="str" cm="1">
        <f t="array" ref="A213">IFERROR(INDEX(_xlfn._xlws.FILTER(Maestro_Equipos!$A$4:$A$247,Maestro_Equipos!$A$4:$A$247&lt;&gt;""),ROWS($A$4:A213)),"")</f>
        <v>VD-75</v>
      </c>
      <c r="B213" t="str">
        <f>IFERROR(_xlfn.XLOOKUP($A213,Maestro_Equipos!$A$4:$A$247,Maestro_Equipos!$B$4:$B$247,""),"")</f>
        <v>Camioneta</v>
      </c>
      <c r="C213" t="str">
        <f>IFERROR(_xlfn.XLOOKUP($A213,Maestro_Equipos!$A$4:$A$247,Maestro_Equipos!$C$4:$C$247,""),"")</f>
        <v>Vehículos Livianos</v>
      </c>
      <c r="D213" t="str">
        <f>IFERROR(VLOOKUP($A210,Maestro_Equipos!$A$4:$Z$247,9,FALSE),"")</f>
        <v>KM</v>
      </c>
      <c r="E213">
        <f>IFERROR(IF($D213="KM",_xlfn.XLOOKUP($A213,Maestro_Equipos!$A:$A,Maestro_Equipos!$N:$N,""),_xlfn.XLOOKUP($A213,Maestro_Equipos!$A:$A,Maestro_Equipos!$M:$M,"")),"")</f>
        <v>137077</v>
      </c>
      <c r="F213">
        <f>IFERROR(_xlfn.XLOOKUP($A213,Maestro_Equipos!$A:$A,Maestro_Equipos!$R:$R,"")+_xlfn.XLOOKUP($A213,Maestro_Equipos!$A:$A,Maestro_Equipos!$J:$J,""),"")</f>
        <v>185002</v>
      </c>
      <c r="G213">
        <f>IFERROR(_xlfn.XLOOKUP($A213,Maestro_Equipos!$A:$A,Maestro_Equipos!$K:$K,""),"")</f>
        <v>263.7</v>
      </c>
      <c r="H213">
        <f t="shared" si="18"/>
        <v>182</v>
      </c>
      <c r="I213" s="41">
        <f t="shared" ca="1" si="19"/>
        <v>46327</v>
      </c>
      <c r="J213" s="5" t="str">
        <f>IFERROR(INDEX(Maestro_Equipos!$V$4:$V$247,MATCH($A213,Maestro_Equipos!$A$4:$A$247,0)),"")</f>
        <v>Fuera de Servicio</v>
      </c>
      <c r="K213" s="37">
        <f>IFERROR(
   SUMIFS(Mantenciones!$I:$I,Mantenciones!$B:$B,$A213)
 + SUMIFS('Compras PM'!$F:$F,'Compras PM'!$C:$C,$A213),0)</f>
        <v>0</v>
      </c>
      <c r="L213" s="30" t="str">
        <f t="shared" si="20"/>
        <v>NO PROGRAMAR</v>
      </c>
      <c r="M213" s="58" cm="1">
        <f t="array" ref="M213">IFERROR(_xlfn.AGGREGATE(14,6,Mantenciones!$A$2:$A$9997/(Mantenciones!$B$2:$B$9997=$A213),1),"")</f>
        <v>46129</v>
      </c>
      <c r="N213" s="31" t="str" cm="1">
        <f t="array" ref="N213">IFERROR(_xlfn.AGGREGATE(14,6,'Compras PM'!$A$4:$A$10014/('Compras PM'!$C$4:$C$10014=$A213),1),"")</f>
        <v/>
      </c>
      <c r="O213" s="31" t="str">
        <f>IFERROR(VLOOKUP($A213,Maestro_Equipos!$A$4:$AG$247,27,FALSE()),"")</f>
        <v/>
      </c>
      <c r="P213" s="32" t="str">
        <f t="shared" ca="1" si="21"/>
        <v/>
      </c>
      <c r="Q213" s="32" t="str">
        <f t="shared" ca="1" si="22"/>
        <v/>
      </c>
      <c r="R213" s="30" t="str">
        <f t="shared" si="23"/>
        <v>SIN SALIDA</v>
      </c>
      <c r="S213" s="33" t="str">
        <f>IFERROR(VLOOKUP($A213,Maestro_Equipos!$A$4:$AG$247,33,FALSE()),"")</f>
        <v>No programar compra</v>
      </c>
    </row>
    <row r="214" spans="1:19" ht="15.75" customHeight="1">
      <c r="A214" t="str" cm="1">
        <f t="array" ref="A214">IFERROR(INDEX(_xlfn._xlws.FILTER(Maestro_Equipos!$A$4:$A$247,Maestro_Equipos!$A$4:$A$247&lt;&gt;""),ROWS($A$4:A214)),"")</f>
        <v>VD-63</v>
      </c>
      <c r="B214" t="str">
        <f>IFERROR(_xlfn.XLOOKUP($A214,Maestro_Equipos!$A$4:$A$247,Maestro_Equipos!$B$4:$B$247,""),"")</f>
        <v>Camioneta</v>
      </c>
      <c r="C214" t="str">
        <f>IFERROR(_xlfn.XLOOKUP($A214,Maestro_Equipos!$A$4:$A$247,Maestro_Equipos!$C$4:$C$247,""),"")</f>
        <v>Vehículos Livianos</v>
      </c>
      <c r="D214" t="str">
        <f>IFERROR(_xlfn.XLOOKUP($A214,Maestro_Equipos!$A:$A,Maestro_Equipos!$I:$I,""),"")</f>
        <v>KM</v>
      </c>
      <c r="E214">
        <f>IFERROR(IF($D214="KM",_xlfn.XLOOKUP($A214,Maestro_Equipos!$A:$A,Maestro_Equipos!$N:$N,""),_xlfn.XLOOKUP($A214,Maestro_Equipos!$A:$A,Maestro_Equipos!$M:$M,"")),"")</f>
        <v>227000</v>
      </c>
      <c r="F214" t="str">
        <f>IFERROR(_xlfn.XLOOKUP($A214,Maestro_Equipos!$A:$A,Maestro_Equipos!$R:$R,"")+_xlfn.XLOOKUP($A214,Maestro_Equipos!$A:$A,Maestro_Equipos!$J:$J,""),"")</f>
        <v/>
      </c>
      <c r="G214">
        <f>IFERROR(_xlfn.XLOOKUP($A214,Maestro_Equipos!$A:$A,Maestro_Equipos!$K:$K,""),"")</f>
        <v>349.6</v>
      </c>
      <c r="H214" t="str">
        <f t="shared" si="18"/>
        <v/>
      </c>
      <c r="I214" s="41" t="str">
        <f t="shared" ca="1" si="19"/>
        <v/>
      </c>
      <c r="J214" s="5" t="str">
        <f>IFERROR(INDEX(Maestro_Equipos!$V$4:$V$247,MATCH($A214,Maestro_Equipos!$A$4:$A$247,0)),"")</f>
        <v>Operativo</v>
      </c>
      <c r="K214" s="37">
        <f>IFERROR(
   SUMIFS(Mantenciones!$I:$I,Mantenciones!$B:$B,$A214)
 + SUMIFS('Compras PM'!$F:$F,'Compras PM'!$C:$C,$A214),0)</f>
        <v>0</v>
      </c>
      <c r="L214" s="30" t="str">
        <f t="shared" si="20"/>
        <v>SIN DATOS</v>
      </c>
      <c r="M214" s="58" t="str" cm="1">
        <f t="array" ref="M214">IFERROR(_xlfn.AGGREGATE(14,6,Mantenciones!$A$2:$A$9997/(Mantenciones!$B$2:$B$9997=$A214),1),"")</f>
        <v/>
      </c>
      <c r="N214" s="31" t="str" cm="1">
        <f t="array" ref="N214">IFERROR(_xlfn.AGGREGATE(14,6,'Compras PM'!$A$4:$A$10014/('Compras PM'!$C$4:$C$10014=$A214),1),"")</f>
        <v/>
      </c>
      <c r="O214" s="31">
        <f>IFERROR(VLOOKUP($A214,Maestro_Equipos!$A$4:$AG$247,27,FALSE()),"")</f>
        <v>46118</v>
      </c>
      <c r="P214" s="32" t="str">
        <f t="shared" ca="1" si="21"/>
        <v/>
      </c>
      <c r="Q214" s="32">
        <f t="shared" ca="1" si="22"/>
        <v>27</v>
      </c>
      <c r="R214" s="30" t="str">
        <f t="shared" si="23"/>
        <v>PENDIENTE</v>
      </c>
      <c r="S214" s="33" t="str">
        <f>IFERROR(VLOOKUP($A214,Maestro_Equipos!$A$4:$AG$247,33,FALSE()),"")</f>
        <v>Monitorear próximo vencimiento</v>
      </c>
    </row>
    <row r="215" spans="1:19" ht="15.75" hidden="1" customHeight="1">
      <c r="A215" t="str" cm="1">
        <f t="array" ref="A215">IFERROR(INDEX(_xlfn._xlws.FILTER(Maestro_Equipos!$A$4:$A$247,Maestro_Equipos!$A$4:$A$247&lt;&gt;""),ROWS($A$4:A215)),"")</f>
        <v>EQP-17</v>
      </c>
      <c r="B215" t="str">
        <f>IFERROR(_xlfn.XLOOKUP($A215,Maestro_Equipos!$A$4:$A$247,Maestro_Equipos!$B$4:$B$247,""),"")</f>
        <v>Planta Aridos seleccionadora</v>
      </c>
      <c r="C215" t="str">
        <f>IFERROR(_xlfn.XLOOKUP($A215,Maestro_Equipos!$A$4:$A$247,Maestro_Equipos!$C$4:$C$247,""),"")</f>
        <v>Maquinaria Pesada</v>
      </c>
      <c r="D215" t="str">
        <f>IFERROR(VLOOKUP($A212,Maestro_Equipos!$A$4:$Z$247,9,FALSE),"")</f>
        <v>KM</v>
      </c>
      <c r="E215">
        <f>IFERROR(IF($D215="KM",_xlfn.XLOOKUP($A215,Maestro_Equipos!$A:$A,Maestro_Equipos!$N:$N,""),_xlfn.XLOOKUP($A215,Maestro_Equipos!$A:$A,Maestro_Equipos!$M:$M,"")),"")</f>
        <v>0</v>
      </c>
      <c r="F215" t="str">
        <f>IFERROR(_xlfn.XLOOKUP($A215,Maestro_Equipos!$A:$A,Maestro_Equipos!$R:$R,"")+_xlfn.XLOOKUP($A215,Maestro_Equipos!$A:$A,Maestro_Equipos!$J:$J,""),"")</f>
        <v/>
      </c>
      <c r="G215">
        <f>IFERROR(_xlfn.XLOOKUP($A215,Maestro_Equipos!$A:$A,Maestro_Equipos!$K:$K,""),"")</f>
        <v>7.2</v>
      </c>
      <c r="H215" t="str">
        <f t="shared" si="18"/>
        <v/>
      </c>
      <c r="I215" s="41" t="str">
        <f t="shared" ca="1" si="19"/>
        <v/>
      </c>
      <c r="J215" s="5" t="str">
        <f>IFERROR(INDEX(Maestro_Equipos!$V$4:$V$247,MATCH($A215,Maestro_Equipos!$A$4:$A$247,0)),"")</f>
        <v>Fuera de Servicio</v>
      </c>
      <c r="K215" s="37">
        <f>IFERROR(
   SUMIFS(Mantenciones!$I:$I,Mantenciones!$B:$B,$A215)
 + SUMIFS('Compras PM'!$F:$F,'Compras PM'!$C:$C,$A215),0)</f>
        <v>0</v>
      </c>
      <c r="L215" s="30" t="str">
        <f t="shared" si="20"/>
        <v>NO PROGRAMAR</v>
      </c>
      <c r="M215" s="58" t="str" cm="1">
        <f t="array" ref="M215">IFERROR(_xlfn.AGGREGATE(14,6,Mantenciones!$A$2:$A$9997/(Mantenciones!$B$2:$B$9997=$A215),1),"")</f>
        <v/>
      </c>
      <c r="N215" s="31" t="str" cm="1">
        <f t="array" ref="N215">IFERROR(_xlfn.AGGREGATE(14,6,'Compras PM'!$A$4:$A$10014/('Compras PM'!$C$4:$C$10014=$A215),1),"")</f>
        <v/>
      </c>
      <c r="O215" s="31" t="str">
        <f>IFERROR(VLOOKUP($A215,Maestro_Equipos!$A$4:$AG$247,27,FALSE()),"")</f>
        <v/>
      </c>
      <c r="P215" s="32" t="str">
        <f t="shared" ca="1" si="21"/>
        <v/>
      </c>
      <c r="Q215" s="32" t="str">
        <f t="shared" ca="1" si="22"/>
        <v/>
      </c>
      <c r="R215" s="30" t="str">
        <f t="shared" si="23"/>
        <v>SIN SALIDA</v>
      </c>
      <c r="S215" s="33" t="str">
        <f>IFERROR(VLOOKUP($A215,Maestro_Equipos!$A$4:$AG$247,33,FALSE()),"")</f>
        <v>No programar compra</v>
      </c>
    </row>
    <row r="216" spans="1:19" ht="15.75" customHeight="1">
      <c r="A216" t="str" cm="1">
        <f t="array" ref="A216">IFERROR(INDEX(_xlfn._xlws.FILTER(Maestro_Equipos!$A$4:$A$247,Maestro_Equipos!$A$4:$A$247&lt;&gt;""),ROWS($A$4:A216)),"")</f>
        <v>MD-25</v>
      </c>
      <c r="B216" t="str">
        <f>IFERROR(_xlfn.XLOOKUP($A216,Maestro_Equipos!$A$4:$A$247,Maestro_Equipos!$B$4:$B$247,""),"")</f>
        <v>Motoniveladora</v>
      </c>
      <c r="C216" t="str">
        <f>IFERROR(_xlfn.XLOOKUP($A216,Maestro_Equipos!$A$4:$A$247,Maestro_Equipos!$C$4:$C$247,""),"")</f>
        <v>Maquinaria Pesada</v>
      </c>
      <c r="D216" t="str">
        <f>IFERROR(_xlfn.XLOOKUP($A216,Maestro_Equipos!$A:$A,Maestro_Equipos!$I:$I,""),"")</f>
        <v>HORAS</v>
      </c>
      <c r="E216">
        <f>IFERROR(IF($D216="KM",_xlfn.XLOOKUP($A216,Maestro_Equipos!$A:$A,Maestro_Equipos!$N:$N,""),_xlfn.XLOOKUP($A216,Maestro_Equipos!$A:$A,Maestro_Equipos!$M:$M,"")),"")</f>
        <v>14925</v>
      </c>
      <c r="F216" t="str">
        <f>IFERROR(_xlfn.XLOOKUP($A216,Maestro_Equipos!$A:$A,Maestro_Equipos!$R:$R,"")+_xlfn.XLOOKUP($A216,Maestro_Equipos!$A:$A,Maestro_Equipos!$J:$J,""),"")</f>
        <v/>
      </c>
      <c r="G216">
        <f>IFERROR(_xlfn.XLOOKUP($A216,Maestro_Equipos!$A:$A,Maestro_Equipos!$K:$K,""),"")</f>
        <v>1.8</v>
      </c>
      <c r="H216" t="str">
        <f t="shared" si="18"/>
        <v/>
      </c>
      <c r="I216" s="41" t="str">
        <f t="shared" ca="1" si="19"/>
        <v/>
      </c>
      <c r="J216" s="5" t="str">
        <f>IFERROR(INDEX(Maestro_Equipos!$V$4:$V$247,MATCH($A216,Maestro_Equipos!$A$4:$A$247,0)),"")</f>
        <v>Operativo</v>
      </c>
      <c r="K216" s="37">
        <f>IFERROR(
   SUMIFS(Mantenciones!$I:$I,Mantenciones!$B:$B,$A216)
 + SUMIFS('Compras PM'!$F:$F,'Compras PM'!$C:$C,$A216),0)</f>
        <v>763402.85</v>
      </c>
      <c r="L216" s="30" t="str">
        <f t="shared" si="20"/>
        <v>SIN DATOS</v>
      </c>
      <c r="M216" s="58" cm="1">
        <f t="array" ref="M216">IFERROR(_xlfn.AGGREGATE(14,6,Mantenciones!$A$2:$A$9997/(Mantenciones!$B$2:$B$9997=$A216),1),"")</f>
        <v>46037</v>
      </c>
      <c r="N216" s="31" cm="1">
        <f t="array" ref="N216">IFERROR(_xlfn.AGGREGATE(14,6,'Compras PM'!$A$4:$A$10014/('Compras PM'!$C$4:$C$10014=$A216),1),"")</f>
        <v>46086.422014780102</v>
      </c>
      <c r="O216" s="31">
        <f>IFERROR(VLOOKUP($A216,Maestro_Equipos!$A$4:$AG$247,27,FALSE()),"")</f>
        <v>46087</v>
      </c>
      <c r="P216" s="32">
        <f t="shared" ca="1" si="21"/>
        <v>58.577985219897528</v>
      </c>
      <c r="Q216" s="32">
        <f t="shared" ca="1" si="22"/>
        <v>58</v>
      </c>
      <c r="R216" s="30" t="str">
        <f t="shared" si="23"/>
        <v>PENDIENTE</v>
      </c>
      <c r="S216" s="33" t="str">
        <f>IFERROR(VLOOKUP($A216,Maestro_Equipos!$A$4:$AG$247,33,FALSE()),"")</f>
        <v>Monitorear próximo vencimiento</v>
      </c>
    </row>
    <row r="217" spans="1:19" ht="15.75" customHeight="1">
      <c r="A217" t="str" cm="1">
        <f t="array" ref="A217">IFERROR(INDEX(_xlfn._xlws.FILTER(Maestro_Equipos!$A$4:$A$247,Maestro_Equipos!$A$4:$A$247&lt;&gt;""),ROWS($A$4:A217)),"")</f>
        <v>MD-55</v>
      </c>
      <c r="B217" t="str">
        <f>IFERROR(_xlfn.XLOOKUP($A217,Maestro_Equipos!$A$4:$A$247,Maestro_Equipos!$B$4:$B$247,""),"")</f>
        <v>Rodillo</v>
      </c>
      <c r="C217" t="str">
        <f>IFERROR(_xlfn.XLOOKUP($A217,Maestro_Equipos!$A$4:$A$247,Maestro_Equipos!$C$4:$C$247,""),"")</f>
        <v>Maquinaria Pesada</v>
      </c>
      <c r="D217" t="str">
        <f>IFERROR(_xlfn.XLOOKUP($A217,Maestro_Equipos!$A:$A,Maestro_Equipos!$I:$I,""),"")</f>
        <v>HORAS</v>
      </c>
      <c r="E217">
        <f>IFERROR(IF($D217="KM",_xlfn.XLOOKUP($A217,Maestro_Equipos!$A:$A,Maestro_Equipos!$N:$N,""),_xlfn.XLOOKUP($A217,Maestro_Equipos!$A:$A,Maestro_Equipos!$M:$M,"")),"")</f>
        <v>8293</v>
      </c>
      <c r="F217">
        <f>IFERROR(_xlfn.XLOOKUP($A217,Maestro_Equipos!$A:$A,Maestro_Equipos!$R:$R,"")+_xlfn.XLOOKUP($A217,Maestro_Equipos!$A:$A,Maestro_Equipos!$J:$J,""),"")</f>
        <v>7363</v>
      </c>
      <c r="G217">
        <f>IFERROR(_xlfn.XLOOKUP($A217,Maestro_Equipos!$A:$A,Maestro_Equipos!$K:$K,""),"")</f>
        <v>10.8</v>
      </c>
      <c r="H217">
        <f t="shared" si="18"/>
        <v>-86</v>
      </c>
      <c r="I217" s="41">
        <f t="shared" ca="1" si="19"/>
        <v>46059</v>
      </c>
      <c r="J217" s="5" t="str">
        <f>IFERROR(INDEX(Maestro_Equipos!$V$4:$V$247,MATCH($A217,Maestro_Equipos!$A$4:$A$247,0)),"")</f>
        <v>Operativo</v>
      </c>
      <c r="K217" s="37">
        <f>IFERROR(
   SUMIFS(Mantenciones!$I:$I,Mantenciones!$B:$B,$A217)
 + SUMIFS('Compras PM'!$F:$F,'Compras PM'!$C:$C,$A217),0)</f>
        <v>0</v>
      </c>
      <c r="L217" s="30" t="str">
        <f t="shared" si="20"/>
        <v>VENCIDA</v>
      </c>
      <c r="M217" s="58" cm="1">
        <f t="array" ref="M217">IFERROR(_xlfn.AGGREGATE(14,6,Mantenciones!$A$2:$A$9997/(Mantenciones!$B$2:$B$9997=$A217),1),"")</f>
        <v>46133</v>
      </c>
      <c r="N217" s="31" t="str" cm="1">
        <f t="array" ref="N217">IFERROR(_xlfn.AGGREGATE(14,6,'Compras PM'!$A$4:$A$10014/('Compras PM'!$C$4:$C$10014=$A217),1),"")</f>
        <v/>
      </c>
      <c r="O217" s="31">
        <f>IFERROR(VLOOKUP($A217,Maestro_Equipos!$A$4:$AG$247,27,FALSE()),"")</f>
        <v>46133</v>
      </c>
      <c r="P217" s="32" t="str">
        <f t="shared" ca="1" si="21"/>
        <v/>
      </c>
      <c r="Q217" s="32">
        <f t="shared" ca="1" si="22"/>
        <v>0</v>
      </c>
      <c r="R217" s="30" t="str">
        <f t="shared" si="23"/>
        <v>REALIZADA</v>
      </c>
      <c r="S217" s="33" t="str">
        <f>IFERROR(VLOOKUP($A217,Maestro_Equipos!$A$4:$AG$247,33,FALSE()),"")</f>
        <v>Monitorear próximo vencimiento</v>
      </c>
    </row>
    <row r="218" spans="1:19" ht="15.75" customHeight="1">
      <c r="A218" t="str" cm="1">
        <f t="array" ref="A218">IFERROR(INDEX(_xlfn._xlws.FILTER(Maestro_Equipos!$A$4:$A$247,Maestro_Equipos!$A$4:$A$247&lt;&gt;""),ROWS($A$4:A218)),"")</f>
        <v>MD-93</v>
      </c>
      <c r="B218" t="str">
        <f>IFERROR(_xlfn.XLOOKUP($A218,Maestro_Equipos!$A$4:$A$247,Maestro_Equipos!$B$4:$B$247,""),"")</f>
        <v>Retroexcavadora</v>
      </c>
      <c r="C218" t="str">
        <f>IFERROR(_xlfn.XLOOKUP($A218,Maestro_Equipos!$A$4:$A$247,Maestro_Equipos!$C$4:$C$247,""),"")</f>
        <v>Maquinaria Pesada</v>
      </c>
      <c r="D218" t="str">
        <f>IFERROR(_xlfn.XLOOKUP($A218,Maestro_Equipos!$A:$A,Maestro_Equipos!$I:$I,""),"")</f>
        <v>HORAS</v>
      </c>
      <c r="E218">
        <f>IFERROR(IF($D218="KM",_xlfn.XLOOKUP($A218,Maestro_Equipos!$A:$A,Maestro_Equipos!$N:$N,""),_xlfn.XLOOKUP($A218,Maestro_Equipos!$A:$A,Maestro_Equipos!$M:$M,"")),"")</f>
        <v>2054</v>
      </c>
      <c r="F218" t="str">
        <f>IFERROR(_xlfn.XLOOKUP($A218,Maestro_Equipos!$A:$A,Maestro_Equipos!$R:$R,"")+_xlfn.XLOOKUP($A218,Maestro_Equipos!$A:$A,Maestro_Equipos!$J:$J,""),"")</f>
        <v/>
      </c>
      <c r="G218">
        <f>IFERROR(_xlfn.XLOOKUP($A218,Maestro_Equipos!$A:$A,Maestro_Equipos!$K:$K,""),"")</f>
        <v>2.8</v>
      </c>
      <c r="H218" t="str">
        <f t="shared" si="18"/>
        <v/>
      </c>
      <c r="I218" s="41" t="str">
        <f t="shared" ca="1" si="19"/>
        <v/>
      </c>
      <c r="J218" s="5" t="str">
        <f>IFERROR(INDEX(Maestro_Equipos!$V$4:$V$247,MATCH($A218,Maestro_Equipos!$A$4:$A$247,0)),"")</f>
        <v>Operativo</v>
      </c>
      <c r="K218" s="37">
        <f>IFERROR(
   SUMIFS(Mantenciones!$I:$I,Mantenciones!$B:$B,$A218)
 + SUMIFS('Compras PM'!$F:$F,'Compras PM'!$C:$C,$A218),0)</f>
        <v>0</v>
      </c>
      <c r="L218" s="30" t="str">
        <f t="shared" si="20"/>
        <v>SIN DATOS</v>
      </c>
      <c r="M218" s="58" t="str" cm="1">
        <f t="array" ref="M218">IFERROR(_xlfn.AGGREGATE(14,6,Mantenciones!$A$2:$A$9997/(Mantenciones!$B$2:$B$9997=$A218),1),"")</f>
        <v/>
      </c>
      <c r="N218" s="31" cm="1">
        <f t="array" ref="N218">IFERROR(_xlfn.AGGREGATE(14,6,'Compras PM'!$A$4:$A$10014/('Compras PM'!$C$4:$C$10014=$A218),1),"")</f>
        <v>46106</v>
      </c>
      <c r="O218" s="31" t="str">
        <f>IFERROR(VLOOKUP($A218,Maestro_Equipos!$A$4:$AG$247,27,FALSE()),"")</f>
        <v/>
      </c>
      <c r="P218" s="32">
        <f t="shared" ca="1" si="21"/>
        <v>39</v>
      </c>
      <c r="Q218" s="32" t="str">
        <f t="shared" ca="1" si="22"/>
        <v/>
      </c>
      <c r="R218" s="30" t="str">
        <f t="shared" si="23"/>
        <v>SIN SALIDA</v>
      </c>
      <c r="S218" s="33" t="str">
        <f>IFERROR(VLOOKUP($A218,Maestro_Equipos!$A$4:$AG$247,33,FALSE()),"")</f>
        <v>Hacer seguimiento al taller y cerrar report</v>
      </c>
    </row>
    <row r="219" spans="1:19" ht="15.75" customHeight="1">
      <c r="A219" t="str" cm="1">
        <f t="array" ref="A219">IFERROR(INDEX(_xlfn._xlws.FILTER(Maestro_Equipos!$A$4:$A$247,Maestro_Equipos!$A$4:$A$247&lt;&gt;""),ROWS($A$4:A219)),"")</f>
        <v>VD-93</v>
      </c>
      <c r="B219" t="str">
        <f>IFERROR(_xlfn.XLOOKUP($A219,Maestro_Equipos!$A$4:$A$247,Maestro_Equipos!$B$4:$B$247,""),"")</f>
        <v>Camioneta</v>
      </c>
      <c r="C219" t="str">
        <f>IFERROR(_xlfn.XLOOKUP($A219,Maestro_Equipos!$A$4:$A$247,Maestro_Equipos!$C$4:$C$247,""),"")</f>
        <v>Vehículos Livianos</v>
      </c>
      <c r="D219" t="str">
        <f>IFERROR(_xlfn.XLOOKUP($A219,Maestro_Equipos!$A:$A,Maestro_Equipos!$I:$I,""),"")</f>
        <v>KM</v>
      </c>
      <c r="E219">
        <f>IFERROR(IF($D219="KM",_xlfn.XLOOKUP($A219,Maestro_Equipos!$A:$A,Maestro_Equipos!$N:$N,""),_xlfn.XLOOKUP($A219,Maestro_Equipos!$A:$A,Maestro_Equipos!$M:$M,"")),"")</f>
        <v>110977</v>
      </c>
      <c r="F219" t="str">
        <f>IFERROR(_xlfn.XLOOKUP($A219,Maestro_Equipos!$A:$A,Maestro_Equipos!$R:$R,"")+_xlfn.XLOOKUP($A219,Maestro_Equipos!$A:$A,Maestro_Equipos!$J:$J,""),"")</f>
        <v/>
      </c>
      <c r="G219">
        <f>IFERROR(_xlfn.XLOOKUP($A219,Maestro_Equipos!$A:$A,Maestro_Equipos!$K:$K,""),"")</f>
        <v>148.6</v>
      </c>
      <c r="H219" t="str">
        <f t="shared" si="18"/>
        <v/>
      </c>
      <c r="I219" s="41" t="str">
        <f t="shared" ca="1" si="19"/>
        <v/>
      </c>
      <c r="J219" s="5" t="str">
        <f>IFERROR(INDEX(Maestro_Equipos!$V$4:$V$247,MATCH($A219,Maestro_Equipos!$A$4:$A$247,0)),"")</f>
        <v>Operativo</v>
      </c>
      <c r="K219" s="37">
        <f>IFERROR(
   SUMIFS(Mantenciones!$I:$I,Mantenciones!$B:$B,$A219)
 + SUMIFS('Compras PM'!$F:$F,'Compras PM'!$C:$C,$A219),0)</f>
        <v>24499.97</v>
      </c>
      <c r="L219" s="30" t="str">
        <f t="shared" si="20"/>
        <v>SIN DATOS</v>
      </c>
      <c r="M219" s="58" t="str" cm="1">
        <f t="array" ref="M219">IFERROR(_xlfn.AGGREGATE(14,6,Mantenciones!$A$2:$A$9997/(Mantenciones!$B$2:$B$9997=$A219),1),"")</f>
        <v/>
      </c>
      <c r="N219" s="31" cm="1">
        <f t="array" ref="N219">IFERROR(_xlfn.AGGREGATE(14,6,'Compras PM'!$A$4:$A$10014/('Compras PM'!$C$4:$C$10014=$A219),1),"")</f>
        <v>46127</v>
      </c>
      <c r="O219" s="31" t="str">
        <f>IFERROR(VLOOKUP($A219,Maestro_Equipos!$A$4:$AG$247,27,FALSE()),"")</f>
        <v/>
      </c>
      <c r="P219" s="32">
        <f t="shared" ca="1" si="21"/>
        <v>18</v>
      </c>
      <c r="Q219" s="32" t="str">
        <f t="shared" ca="1" si="22"/>
        <v/>
      </c>
      <c r="R219" s="30" t="str">
        <f t="shared" si="23"/>
        <v>SIN SALIDA</v>
      </c>
      <c r="S219" s="33" t="str">
        <f>IFERROR(VLOOKUP($A219,Maestro_Equipos!$A$4:$AG$247,33,FALSE()),"")</f>
        <v>Hacer seguimiento al taller y cerrar report</v>
      </c>
    </row>
    <row r="220" spans="1:19" ht="15.75" customHeight="1">
      <c r="A220" t="str" cm="1">
        <f t="array" ref="A220">IFERROR(INDEX(_xlfn._xlws.FILTER(Maestro_Equipos!$A$4:$A$247,Maestro_Equipos!$A$4:$A$247&lt;&gt;""),ROWS($A$4:A220)),"")</f>
        <v>VD-113</v>
      </c>
      <c r="B220" t="str">
        <f>IFERROR(_xlfn.XLOOKUP($A220,Maestro_Equipos!$A$4:$A$247,Maestro_Equipos!$B$4:$B$247,""),"")</f>
        <v>Camioneta</v>
      </c>
      <c r="C220" t="str">
        <f>IFERROR(_xlfn.XLOOKUP($A220,Maestro_Equipos!$A$4:$A$247,Maestro_Equipos!$C$4:$C$247,""),"")</f>
        <v>Vehículos Livianos</v>
      </c>
      <c r="D220" t="str">
        <f>IFERROR(_xlfn.XLOOKUP($A220,Maestro_Equipos!$A:$A,Maestro_Equipos!$I:$I,""),"")</f>
        <v>KM</v>
      </c>
      <c r="E220">
        <f>IFERROR(IF($D220="KM",_xlfn.XLOOKUP($A220,Maestro_Equipos!$A:$A,Maestro_Equipos!$N:$N,""),_xlfn.XLOOKUP($A220,Maestro_Equipos!$A:$A,Maestro_Equipos!$M:$M,"")),"")</f>
        <v>122790</v>
      </c>
      <c r="F220" t="str">
        <f>IFERROR(_xlfn.XLOOKUP($A220,Maestro_Equipos!$A:$A,Maestro_Equipos!$R:$R,"")+_xlfn.XLOOKUP($A220,Maestro_Equipos!$A:$A,Maestro_Equipos!$J:$J,""),"")</f>
        <v/>
      </c>
      <c r="G220">
        <f>IFERROR(_xlfn.XLOOKUP($A220,Maestro_Equipos!$A:$A,Maestro_Equipos!$K:$K,""),"")</f>
        <v>139.80000000000001</v>
      </c>
      <c r="H220" t="str">
        <f t="shared" si="18"/>
        <v/>
      </c>
      <c r="I220" s="41" t="str">
        <f t="shared" ca="1" si="19"/>
        <v/>
      </c>
      <c r="J220" s="5" t="str">
        <f>IFERROR(INDEX(Maestro_Equipos!$V$4:$V$247,MATCH($A220,Maestro_Equipos!$A$4:$A$247,0)),"")</f>
        <v>Operativo</v>
      </c>
      <c r="K220" s="37">
        <f>IFERROR(
   SUMIFS(Mantenciones!$I:$I,Mantenciones!$B:$B,$A220)
 + SUMIFS('Compras PM'!$F:$F,'Compras PM'!$C:$C,$A220),0)</f>
        <v>0</v>
      </c>
      <c r="L220" s="30" t="str">
        <f t="shared" si="20"/>
        <v>SIN DATOS</v>
      </c>
      <c r="M220" s="58" t="str" cm="1">
        <f t="array" ref="M220">IFERROR(_xlfn.AGGREGATE(14,6,Mantenciones!$A$2:$A$9997/(Mantenciones!$B$2:$B$9997=$A220),1),"")</f>
        <v/>
      </c>
      <c r="N220" s="31" t="str" cm="1">
        <f t="array" ref="N220">IFERROR(_xlfn.AGGREGATE(14,6,'Compras PM'!$A$4:$A$10014/('Compras PM'!$C$4:$C$10014=$A220),1),"")</f>
        <v/>
      </c>
      <c r="O220" s="31">
        <f>IFERROR(VLOOKUP($A220,Maestro_Equipos!$A$4:$AG$247,27,FALSE()),"")</f>
        <v>46085</v>
      </c>
      <c r="P220" s="32" t="str">
        <f t="shared" ca="1" si="21"/>
        <v/>
      </c>
      <c r="Q220" s="32">
        <f t="shared" ca="1" si="22"/>
        <v>60</v>
      </c>
      <c r="R220" s="30" t="str">
        <f t="shared" si="23"/>
        <v>PENDIENTE</v>
      </c>
      <c r="S220" s="33" t="str">
        <f>IFERROR(VLOOKUP($A220,Maestro_Equipos!$A$4:$AG$247,33,FALSE()),"")</f>
        <v>Monitorear próximo vencimiento</v>
      </c>
    </row>
    <row r="221" spans="1:19" ht="15.75" hidden="1" customHeight="1">
      <c r="A221" t="str" cm="1">
        <f t="array" ref="A221">IFERROR(INDEX(_xlfn._xlws.FILTER(Maestro_Equipos!$A$4:$A$247,Maestro_Equipos!$A$4:$A$247&lt;&gt;""),ROWS($A$4:A221)),"")</f>
        <v>VD-69</v>
      </c>
      <c r="B221" t="str">
        <f>IFERROR(_xlfn.XLOOKUP($A221,Maestro_Equipos!$A$4:$A$247,Maestro_Equipos!$B$4:$B$247,""),"")</f>
        <v>Camioneta</v>
      </c>
      <c r="C221" t="str">
        <f>IFERROR(_xlfn.XLOOKUP($A221,Maestro_Equipos!$A$4:$A$247,Maestro_Equipos!$C$4:$C$247,""),"")</f>
        <v>Vehículos Livianos</v>
      </c>
      <c r="D221" t="str">
        <f>IFERROR(VLOOKUP($A218,Maestro_Equipos!$A$4:$Z$247,9,FALSE),"")</f>
        <v>HORAS</v>
      </c>
      <c r="E221">
        <f>IFERROR(IF($D221="KM",_xlfn.XLOOKUP($A221,Maestro_Equipos!$A:$A,Maestro_Equipos!$N:$N,""),_xlfn.XLOOKUP($A221,Maestro_Equipos!$A:$A,Maestro_Equipos!$M:$M,"")),"")</f>
        <v>0</v>
      </c>
      <c r="F221" t="str">
        <f>IFERROR(_xlfn.XLOOKUP($A221,Maestro_Equipos!$A:$A,Maestro_Equipos!$R:$R,"")+_xlfn.XLOOKUP($A221,Maestro_Equipos!$A:$A,Maestro_Equipos!$J:$J,""),"")</f>
        <v/>
      </c>
      <c r="G221">
        <f>IFERROR(_xlfn.XLOOKUP($A221,Maestro_Equipos!$A:$A,Maestro_Equipos!$K:$K,""),"")</f>
        <v>164.5</v>
      </c>
      <c r="H221" t="str">
        <f t="shared" si="18"/>
        <v/>
      </c>
      <c r="I221" s="41" t="str">
        <f t="shared" ca="1" si="19"/>
        <v/>
      </c>
      <c r="J221" s="5" t="str">
        <f>IFERROR(INDEX(Maestro_Equipos!$V$4:$V$247,MATCH($A221,Maestro_Equipos!$A$4:$A$247,0)),"")</f>
        <v>Fuera de Servicio</v>
      </c>
      <c r="K221" s="37">
        <f>IFERROR(
   SUMIFS(Mantenciones!$I:$I,Mantenciones!$B:$B,$A221)
 + SUMIFS('Compras PM'!$F:$F,'Compras PM'!$C:$C,$A221),0)</f>
        <v>0</v>
      </c>
      <c r="L221" s="30" t="str">
        <f t="shared" si="20"/>
        <v>NO PROGRAMAR</v>
      </c>
      <c r="M221" s="58" t="str" cm="1">
        <f t="array" ref="M221">IFERROR(_xlfn.AGGREGATE(14,6,Mantenciones!$A$2:$A$9997/(Mantenciones!$B$2:$B$9997=$A221),1),"")</f>
        <v/>
      </c>
      <c r="N221" s="31" t="str" cm="1">
        <f t="array" ref="N221">IFERROR(_xlfn.AGGREGATE(14,6,'Compras PM'!$A$4:$A$10014/('Compras PM'!$C$4:$C$10014=$A221),1),"")</f>
        <v/>
      </c>
      <c r="O221" s="31" t="str">
        <f>IFERROR(VLOOKUP($A221,Maestro_Equipos!$A$4:$AG$247,27,FALSE()),"")</f>
        <v/>
      </c>
      <c r="P221" s="32" t="str">
        <f t="shared" ca="1" si="21"/>
        <v/>
      </c>
      <c r="Q221" s="32" t="str">
        <f t="shared" ca="1" si="22"/>
        <v/>
      </c>
      <c r="R221" s="30" t="str">
        <f t="shared" si="23"/>
        <v>SIN SALIDA</v>
      </c>
      <c r="S221" s="33" t="str">
        <f>IFERROR(VLOOKUP($A221,Maestro_Equipos!$A$4:$AG$247,33,FALSE()),"")</f>
        <v>No programar compra</v>
      </c>
    </row>
    <row r="222" spans="1:19" ht="15.75" customHeight="1">
      <c r="A222" t="str" cm="1">
        <f t="array" ref="A222">IFERROR(INDEX(_xlfn._xlws.FILTER(Maestro_Equipos!$A$4:$A$247,Maestro_Equipos!$A$4:$A$247&lt;&gt;""),ROWS($A$4:A222)),"")</f>
        <v>CD-94</v>
      </c>
      <c r="B222" t="str">
        <f>IFERROR(_xlfn.XLOOKUP($A222,Maestro_Equipos!$A$4:$A$247,Maestro_Equipos!$B$4:$B$247,""),"")</f>
        <v>Camión Tolva</v>
      </c>
      <c r="C222" t="str">
        <f>IFERROR(_xlfn.XLOOKUP($A222,Maestro_Equipos!$A$4:$A$247,Maestro_Equipos!$C$4:$C$247,""),"")</f>
        <v>Camiones de Ruta</v>
      </c>
      <c r="D222" t="str">
        <f>IFERROR(_xlfn.XLOOKUP($A222,Maestro_Equipos!$A:$A,Maestro_Equipos!$I:$I,""),"")</f>
        <v>HORAS</v>
      </c>
      <c r="E222">
        <f>IFERROR(IF($D222="KM",_xlfn.XLOOKUP($A222,Maestro_Equipos!$A:$A,Maestro_Equipos!$N:$N,""),_xlfn.XLOOKUP($A222,Maestro_Equipos!$A:$A,Maestro_Equipos!$M:$M,"")),"")</f>
        <v>8894</v>
      </c>
      <c r="F222" t="str">
        <f>IFERROR(_xlfn.XLOOKUP($A222,Maestro_Equipos!$A:$A,Maestro_Equipos!$R:$R,"")+_xlfn.XLOOKUP($A222,Maestro_Equipos!$A:$A,Maestro_Equipos!$J:$J,""),"")</f>
        <v/>
      </c>
      <c r="G222">
        <f>IFERROR(_xlfn.XLOOKUP($A222,Maestro_Equipos!$A:$A,Maestro_Equipos!$K:$K,""),"")</f>
        <v>10.199999999999999</v>
      </c>
      <c r="H222" t="str">
        <f t="shared" si="18"/>
        <v/>
      </c>
      <c r="I222" s="41" t="str">
        <f t="shared" ca="1" si="19"/>
        <v/>
      </c>
      <c r="J222" s="5" t="str">
        <f>IFERROR(INDEX(Maestro_Equipos!$V$4:$V$247,MATCH($A222,Maestro_Equipos!$A$4:$A$247,0)),"")</f>
        <v>Operativo</v>
      </c>
      <c r="K222" s="37">
        <f>IFERROR(
   SUMIFS(Mantenciones!$I:$I,Mantenciones!$B:$B,$A222)
 + SUMIFS('Compras PM'!$F:$F,'Compras PM'!$C:$C,$A222),0)</f>
        <v>522261.48589999997</v>
      </c>
      <c r="L222" s="30" t="str">
        <f t="shared" si="20"/>
        <v>SIN DATOS</v>
      </c>
      <c r="M222" s="58" t="str" cm="1">
        <f t="array" ref="M222">IFERROR(_xlfn.AGGREGATE(14,6,Mantenciones!$A$2:$A$9997/(Mantenciones!$B$2:$B$9997=$A222),1),"")</f>
        <v/>
      </c>
      <c r="N222" s="31" cm="1">
        <f t="array" ref="N222">IFERROR(_xlfn.AGGREGATE(14,6,'Compras PM'!$A$4:$A$10014/('Compras PM'!$C$4:$C$10014=$A222),1),"")</f>
        <v>46093.460116550901</v>
      </c>
      <c r="O222" s="31">
        <f>IFERROR(VLOOKUP($A222,Maestro_Equipos!$A$4:$AG$247,27,FALSE()),"")</f>
        <v>46097</v>
      </c>
      <c r="P222" s="32">
        <f t="shared" ca="1" si="21"/>
        <v>51.539883449098852</v>
      </c>
      <c r="Q222" s="32">
        <f t="shared" ca="1" si="22"/>
        <v>48</v>
      </c>
      <c r="R222" s="30" t="str">
        <f t="shared" si="23"/>
        <v>PENDIENTE</v>
      </c>
      <c r="S222" s="33" t="str">
        <f>IFERROR(VLOOKUP($A222,Maestro_Equipos!$A$4:$AG$247,33,FALSE()),"")</f>
        <v>Monitorear próximo vencimiento</v>
      </c>
    </row>
    <row r="223" spans="1:19" ht="15.75" customHeight="1">
      <c r="A223" t="str" cm="1">
        <f t="array" ref="A223">IFERROR(INDEX(_xlfn._xlws.FILTER(Maestro_Equipos!$A$4:$A$247,Maestro_Equipos!$A$4:$A$247&lt;&gt;""),ROWS($A$4:A223)),"")</f>
        <v>VD-87</v>
      </c>
      <c r="B223" t="str">
        <f>IFERROR(_xlfn.XLOOKUP($A223,Maestro_Equipos!$A$4:$A$247,Maestro_Equipos!$B$4:$B$247,""),"")</f>
        <v>Camioneta</v>
      </c>
      <c r="C223" t="str">
        <f>IFERROR(_xlfn.XLOOKUP($A223,Maestro_Equipos!$A$4:$A$247,Maestro_Equipos!$C$4:$C$247,""),"")</f>
        <v>Vehículos Livianos</v>
      </c>
      <c r="D223" t="str">
        <f>IFERROR(_xlfn.XLOOKUP($A223,Maestro_Equipos!$A:$A,Maestro_Equipos!$I:$I,""),"")</f>
        <v>KM</v>
      </c>
      <c r="E223">
        <f>IFERROR(IF($D223="KM",_xlfn.XLOOKUP($A223,Maestro_Equipos!$A:$A,Maestro_Equipos!$N:$N,""),_xlfn.XLOOKUP($A223,Maestro_Equipos!$A:$A,Maestro_Equipos!$M:$M,"")),"")</f>
        <v>155441</v>
      </c>
      <c r="F223" t="str">
        <f>IFERROR(_xlfn.XLOOKUP($A223,Maestro_Equipos!$A:$A,Maestro_Equipos!$R:$R,"")+_xlfn.XLOOKUP($A223,Maestro_Equipos!$A:$A,Maestro_Equipos!$J:$J,""),"")</f>
        <v/>
      </c>
      <c r="G223">
        <f>IFERROR(_xlfn.XLOOKUP($A223,Maestro_Equipos!$A:$A,Maestro_Equipos!$K:$K,""),"")</f>
        <v>152.19999999999999</v>
      </c>
      <c r="H223" t="str">
        <f t="shared" si="18"/>
        <v/>
      </c>
      <c r="I223" s="41" t="str">
        <f t="shared" ca="1" si="19"/>
        <v/>
      </c>
      <c r="J223" s="5" t="str">
        <f>IFERROR(INDEX(Maestro_Equipos!$V$4:$V$247,MATCH($A223,Maestro_Equipos!$A$4:$A$247,0)),"")</f>
        <v>Operativo</v>
      </c>
      <c r="K223" s="37">
        <f>IFERROR(
   SUMIFS(Mantenciones!$I:$I,Mantenciones!$B:$B,$A223)
 + SUMIFS('Compras PM'!$F:$F,'Compras PM'!$C:$C,$A223),0)</f>
        <v>0</v>
      </c>
      <c r="L223" s="30" t="str">
        <f t="shared" si="20"/>
        <v>SIN DATOS</v>
      </c>
      <c r="M223" s="58" t="str" cm="1">
        <f t="array" ref="M223">IFERROR(_xlfn.AGGREGATE(14,6,Mantenciones!$A$2:$A$9997/(Mantenciones!$B$2:$B$9997=$A223),1),"")</f>
        <v/>
      </c>
      <c r="N223" s="31" t="str" cm="1">
        <f t="array" ref="N223">IFERROR(_xlfn.AGGREGATE(14,6,'Compras PM'!$A$4:$A$10014/('Compras PM'!$C$4:$C$10014=$A223),1),"")</f>
        <v/>
      </c>
      <c r="O223" s="31">
        <f>IFERROR(VLOOKUP($A223,Maestro_Equipos!$A$4:$AG$247,27,FALSE()),"")</f>
        <v>46119</v>
      </c>
      <c r="P223" s="32" t="str">
        <f t="shared" ca="1" si="21"/>
        <v/>
      </c>
      <c r="Q223" s="32">
        <f t="shared" ca="1" si="22"/>
        <v>26</v>
      </c>
      <c r="R223" s="30" t="str">
        <f t="shared" si="23"/>
        <v>PENDIENTE</v>
      </c>
      <c r="S223" s="33" t="str">
        <f>IFERROR(VLOOKUP($A223,Maestro_Equipos!$A$4:$AG$247,33,FALSE()),"")</f>
        <v>Monitorear próximo vencimiento</v>
      </c>
    </row>
    <row r="224" spans="1:19" ht="15.75" customHeight="1">
      <c r="A224" t="str" cm="1">
        <f t="array" ref="A224">IFERROR(INDEX(_xlfn._xlws.FILTER(Maestro_Equipos!$A$4:$A$247,Maestro_Equipos!$A$4:$A$247&lt;&gt;""),ROWS($A$4:A224)),"")</f>
        <v>VD-103</v>
      </c>
      <c r="B224" t="str">
        <f>IFERROR(_xlfn.XLOOKUP($A224,Maestro_Equipos!$A$4:$A$247,Maestro_Equipos!$B$4:$B$247,""),"")</f>
        <v>Camioneta</v>
      </c>
      <c r="C224" t="str">
        <f>IFERROR(_xlfn.XLOOKUP($A224,Maestro_Equipos!$A$4:$A$247,Maestro_Equipos!$C$4:$C$247,""),"")</f>
        <v>Vehículos Livianos</v>
      </c>
      <c r="D224" t="str">
        <f>IFERROR(_xlfn.XLOOKUP($A224,Maestro_Equipos!$A:$A,Maestro_Equipos!$I:$I,""),"")</f>
        <v>KM</v>
      </c>
      <c r="E224">
        <f>IFERROR(IF($D224="KM",_xlfn.XLOOKUP($A224,Maestro_Equipos!$A:$A,Maestro_Equipos!$N:$N,""),_xlfn.XLOOKUP($A224,Maestro_Equipos!$A:$A,Maestro_Equipos!$M:$M,"")),"")</f>
        <v>77882</v>
      </c>
      <c r="F224" t="str">
        <f>IFERROR(_xlfn.XLOOKUP($A224,Maestro_Equipos!$A:$A,Maestro_Equipos!$R:$R,"")+_xlfn.XLOOKUP($A224,Maestro_Equipos!$A:$A,Maestro_Equipos!$J:$J,""),"")</f>
        <v/>
      </c>
      <c r="G224">
        <f>IFERROR(_xlfn.XLOOKUP($A224,Maestro_Equipos!$A:$A,Maestro_Equipos!$K:$K,""),"")</f>
        <v>79.400000000000006</v>
      </c>
      <c r="H224" t="str">
        <f t="shared" si="18"/>
        <v/>
      </c>
      <c r="I224" s="41" t="str">
        <f t="shared" ca="1" si="19"/>
        <v/>
      </c>
      <c r="J224" s="5" t="str">
        <f>IFERROR(INDEX(Maestro_Equipos!$V$4:$V$247,MATCH($A224,Maestro_Equipos!$A$4:$A$247,0)),"")</f>
        <v>Operativo</v>
      </c>
      <c r="K224" s="37">
        <f>IFERROR(
   SUMIFS(Mantenciones!$I:$I,Mantenciones!$B:$B,$A224)
 + SUMIFS('Compras PM'!$F:$F,'Compras PM'!$C:$C,$A224),0)</f>
        <v>0</v>
      </c>
      <c r="L224" s="30" t="str">
        <f t="shared" si="20"/>
        <v>SIN DATOS</v>
      </c>
      <c r="M224" s="58" t="str" cm="1">
        <f t="array" ref="M224">IFERROR(_xlfn.AGGREGATE(14,6,Mantenciones!$A$2:$A$9997/(Mantenciones!$B$2:$B$9997=$A224),1),"")</f>
        <v/>
      </c>
      <c r="N224" s="31" t="str" cm="1">
        <f t="array" ref="N224">IFERROR(_xlfn.AGGREGATE(14,6,'Compras PM'!$A$4:$A$10014/('Compras PM'!$C$4:$C$10014=$A224),1),"")</f>
        <v/>
      </c>
      <c r="O224" s="31">
        <f>IFERROR(VLOOKUP($A224,Maestro_Equipos!$A$4:$AG$247,27,FALSE()),"")</f>
        <v>46118</v>
      </c>
      <c r="P224" s="32" t="str">
        <f t="shared" ca="1" si="21"/>
        <v/>
      </c>
      <c r="Q224" s="32">
        <f t="shared" ca="1" si="22"/>
        <v>27</v>
      </c>
      <c r="R224" s="30" t="str">
        <f t="shared" si="23"/>
        <v>PENDIENTE</v>
      </c>
      <c r="S224" s="33" t="str">
        <f>IFERROR(VLOOKUP($A224,Maestro_Equipos!$A$4:$AG$247,33,FALSE()),"")</f>
        <v>Monitorear próximo vencimiento</v>
      </c>
    </row>
    <row r="225" spans="1:19" ht="15.75" customHeight="1">
      <c r="A225" t="str" cm="1">
        <f t="array" ref="A225">IFERROR(INDEX(_xlfn._xlws.FILTER(Maestro_Equipos!$A$4:$A$247,Maestro_Equipos!$A$4:$A$247&lt;&gt;""),ROWS($A$4:A225)),"")</f>
        <v>VD-60</v>
      </c>
      <c r="B225" t="str">
        <f>IFERROR(_xlfn.XLOOKUP($A225,Maestro_Equipos!$A$4:$A$247,Maestro_Equipos!$B$4:$B$247,""),"")</f>
        <v>Camioneta</v>
      </c>
      <c r="C225" t="str">
        <f>IFERROR(_xlfn.XLOOKUP($A225,Maestro_Equipos!$A$4:$A$247,Maestro_Equipos!$C$4:$C$247,""),"")</f>
        <v>Vehículos Livianos</v>
      </c>
      <c r="D225" t="str">
        <f>IFERROR(_xlfn.XLOOKUP($A225,Maestro_Equipos!$A:$A,Maestro_Equipos!$I:$I,""),"")</f>
        <v>KM</v>
      </c>
      <c r="E225">
        <f>IFERROR(IF($D225="KM",_xlfn.XLOOKUP($A225,Maestro_Equipos!$A:$A,Maestro_Equipos!$N:$N,""),_xlfn.XLOOKUP($A225,Maestro_Equipos!$A:$A,Maestro_Equipos!$M:$M,"")),"")</f>
        <v>479779</v>
      </c>
      <c r="F225" t="str">
        <f>IFERROR(_xlfn.XLOOKUP($A225,Maestro_Equipos!$A:$A,Maestro_Equipos!$R:$R,"")+_xlfn.XLOOKUP($A225,Maestro_Equipos!$A:$A,Maestro_Equipos!$J:$J,""),"")</f>
        <v/>
      </c>
      <c r="G225">
        <f>IFERROR(_xlfn.XLOOKUP($A225,Maestro_Equipos!$A:$A,Maestro_Equipos!$K:$K,""),"")</f>
        <v>242.5</v>
      </c>
      <c r="H225" t="str">
        <f t="shared" si="18"/>
        <v/>
      </c>
      <c r="I225" s="41" t="str">
        <f t="shared" ca="1" si="19"/>
        <v/>
      </c>
      <c r="J225" s="5" t="str">
        <f>IFERROR(INDEX(Maestro_Equipos!$V$4:$V$247,MATCH($A225,Maestro_Equipos!$A$4:$A$247,0)),"")</f>
        <v>Operativo</v>
      </c>
      <c r="K225" s="37">
        <f>IFERROR(
   SUMIFS(Mantenciones!$I:$I,Mantenciones!$B:$B,$A225)
 + SUMIFS('Compras PM'!$F:$F,'Compras PM'!$C:$C,$A225),0)</f>
        <v>0</v>
      </c>
      <c r="L225" s="30" t="str">
        <f t="shared" si="20"/>
        <v>SIN DATOS</v>
      </c>
      <c r="M225" s="58" t="str" cm="1">
        <f t="array" ref="M225">IFERROR(_xlfn.AGGREGATE(14,6,Mantenciones!$A$2:$A$9997/(Mantenciones!$B$2:$B$9997=$A225),1),"")</f>
        <v/>
      </c>
      <c r="N225" s="31" t="str" cm="1">
        <f t="array" ref="N225">IFERROR(_xlfn.AGGREGATE(14,6,'Compras PM'!$A$4:$A$10014/('Compras PM'!$C$4:$C$10014=$A225),1),"")</f>
        <v/>
      </c>
      <c r="O225" s="31">
        <f>IFERROR(VLOOKUP($A225,Maestro_Equipos!$A$4:$AG$247,27,FALSE()),"")</f>
        <v>46073</v>
      </c>
      <c r="P225" s="32" t="str">
        <f t="shared" ca="1" si="21"/>
        <v/>
      </c>
      <c r="Q225" s="32">
        <f t="shared" ca="1" si="22"/>
        <v>72</v>
      </c>
      <c r="R225" s="30" t="str">
        <f t="shared" si="23"/>
        <v>PENDIENTE</v>
      </c>
      <c r="S225" s="33" t="str">
        <f>IFERROR(VLOOKUP($A225,Maestro_Equipos!$A$4:$AG$247,33,FALSE()),"")</f>
        <v>Monitorear próximo vencimiento</v>
      </c>
    </row>
    <row r="226" spans="1:19" ht="15.75" customHeight="1">
      <c r="A226" t="str" cm="1">
        <f t="array" ref="A226">IFERROR(INDEX(_xlfn._xlws.FILTER(Maestro_Equipos!$A$4:$A$247,Maestro_Equipos!$A$4:$A$247&lt;&gt;""),ROWS($A$4:A226)),"")</f>
        <v>VD-89</v>
      </c>
      <c r="B226" t="str">
        <f>IFERROR(_xlfn.XLOOKUP($A226,Maestro_Equipos!$A$4:$A$247,Maestro_Equipos!$B$4:$B$247,""),"")</f>
        <v>Camioneta</v>
      </c>
      <c r="C226" t="str">
        <f>IFERROR(_xlfn.XLOOKUP($A226,Maestro_Equipos!$A$4:$A$247,Maestro_Equipos!$C$4:$C$247,""),"")</f>
        <v>Vehículos Livianos</v>
      </c>
      <c r="D226" t="str">
        <f>IFERROR(_xlfn.XLOOKUP($A226,Maestro_Equipos!$A:$A,Maestro_Equipos!$I:$I,""),"")</f>
        <v>KM</v>
      </c>
      <c r="E226">
        <f>IFERROR(IF($D226="KM",_xlfn.XLOOKUP($A226,Maestro_Equipos!$A:$A,Maestro_Equipos!$N:$N,""),_xlfn.XLOOKUP($A226,Maestro_Equipos!$A:$A,Maestro_Equipos!$M:$M,"")),"")</f>
        <v>108975</v>
      </c>
      <c r="F226" t="str">
        <f>IFERROR(_xlfn.XLOOKUP($A226,Maestro_Equipos!$A:$A,Maestro_Equipos!$R:$R,"")+_xlfn.XLOOKUP($A226,Maestro_Equipos!$A:$A,Maestro_Equipos!$J:$J,""),"")</f>
        <v/>
      </c>
      <c r="G226">
        <f>IFERROR(_xlfn.XLOOKUP($A226,Maestro_Equipos!$A:$A,Maestro_Equipos!$K:$K,""),"")</f>
        <v>102.8</v>
      </c>
      <c r="H226" t="str">
        <f t="shared" si="18"/>
        <v/>
      </c>
      <c r="I226" s="41" t="str">
        <f t="shared" ca="1" si="19"/>
        <v/>
      </c>
      <c r="J226" s="5" t="str">
        <f>IFERROR(INDEX(Maestro_Equipos!$V$4:$V$247,MATCH($A226,Maestro_Equipos!$A$4:$A$247,0)),"")</f>
        <v>Operativo</v>
      </c>
      <c r="K226" s="37">
        <f>IFERROR(
   SUMIFS(Mantenciones!$I:$I,Mantenciones!$B:$B,$A226)
 + SUMIFS('Compras PM'!$F:$F,'Compras PM'!$C:$C,$A226),0)</f>
        <v>336529.87</v>
      </c>
      <c r="L226" s="30" t="str">
        <f t="shared" si="20"/>
        <v>SIN DATOS</v>
      </c>
      <c r="M226" s="58" t="str" cm="1">
        <f t="array" ref="M226">IFERROR(_xlfn.AGGREGATE(14,6,Mantenciones!$A$2:$A$9997/(Mantenciones!$B$2:$B$9997=$A226),1),"")</f>
        <v/>
      </c>
      <c r="N226" s="31" cm="1">
        <f t="array" ref="N226">IFERROR(_xlfn.AGGREGATE(14,6,'Compras PM'!$A$4:$A$10014/('Compras PM'!$C$4:$C$10014=$A226),1),"")</f>
        <v>46127</v>
      </c>
      <c r="O226" s="31" t="str">
        <f>IFERROR(VLOOKUP($A226,Maestro_Equipos!$A$4:$AG$247,27,FALSE()),"")</f>
        <v/>
      </c>
      <c r="P226" s="32">
        <f t="shared" ca="1" si="21"/>
        <v>18</v>
      </c>
      <c r="Q226" s="32" t="str">
        <f t="shared" ca="1" si="22"/>
        <v/>
      </c>
      <c r="R226" s="30" t="str">
        <f t="shared" si="23"/>
        <v>SIN SALIDA</v>
      </c>
      <c r="S226" s="33" t="str">
        <f>IFERROR(VLOOKUP($A226,Maestro_Equipos!$A$4:$AG$247,33,FALSE()),"")</f>
        <v>Hacer seguimiento al taller y cerrar report</v>
      </c>
    </row>
    <row r="227" spans="1:19" ht="15.75" hidden="1" customHeight="1">
      <c r="A227" t="str" cm="1">
        <f t="array" ref="A227">IFERROR(INDEX(_xlfn._xlws.FILTER(Maestro_Equipos!$A$4:$A$247,Maestro_Equipos!$A$4:$A$247&lt;&gt;""),ROWS($A$4:A227)),"")</f>
        <v>VD-99</v>
      </c>
      <c r="B227" t="str">
        <f>IFERROR(_xlfn.XLOOKUP($A227,Maestro_Equipos!$A$4:$A$247,Maestro_Equipos!$B$4:$B$247,""),"")</f>
        <v>Camioneta</v>
      </c>
      <c r="C227" t="str">
        <f>IFERROR(_xlfn.XLOOKUP($A227,Maestro_Equipos!$A$4:$A$247,Maestro_Equipos!$C$4:$C$247,""),"")</f>
        <v>Vehículos Livianos</v>
      </c>
      <c r="D227" t="str">
        <f>IFERROR(VLOOKUP($A224,Maestro_Equipos!$A$4:$Z$247,9,FALSE),"")</f>
        <v>KM</v>
      </c>
      <c r="E227">
        <f>IFERROR(IF($D227="KM",_xlfn.XLOOKUP($A227,Maestro_Equipos!$A:$A,Maestro_Equipos!$N:$N,""),_xlfn.XLOOKUP($A227,Maestro_Equipos!$A:$A,Maestro_Equipos!$M:$M,"")),"")</f>
        <v>96800</v>
      </c>
      <c r="F227" t="str">
        <f>IFERROR(_xlfn.XLOOKUP($A227,Maestro_Equipos!$A:$A,Maestro_Equipos!$R:$R,"")+_xlfn.XLOOKUP($A227,Maestro_Equipos!$A:$A,Maestro_Equipos!$J:$J,""),"")</f>
        <v/>
      </c>
      <c r="G227">
        <f>IFERROR(_xlfn.XLOOKUP($A227,Maestro_Equipos!$A:$A,Maestro_Equipos!$K:$K,""),"")</f>
        <v>87.4</v>
      </c>
      <c r="H227" t="str">
        <f t="shared" si="18"/>
        <v/>
      </c>
      <c r="I227" s="41" t="str">
        <f t="shared" ca="1" si="19"/>
        <v/>
      </c>
      <c r="J227" s="5" t="str">
        <f>IFERROR(INDEX(Maestro_Equipos!$V$4:$V$247,MATCH($A227,Maestro_Equipos!$A$4:$A$247,0)),"")</f>
        <v>Fuera de Servicio</v>
      </c>
      <c r="K227" s="37">
        <f>IFERROR(
   SUMIFS(Mantenciones!$I:$I,Mantenciones!$B:$B,$A227)
 + SUMIFS('Compras PM'!$F:$F,'Compras PM'!$C:$C,$A227),0)</f>
        <v>0</v>
      </c>
      <c r="L227" s="30" t="str">
        <f t="shared" si="20"/>
        <v>NO PROGRAMAR</v>
      </c>
      <c r="M227" s="58" t="str" cm="1">
        <f t="array" ref="M227">IFERROR(_xlfn.AGGREGATE(14,6,Mantenciones!$A$2:$A$9997/(Mantenciones!$B$2:$B$9997=$A227),1),"")</f>
        <v/>
      </c>
      <c r="N227" s="31" t="str" cm="1">
        <f t="array" ref="N227">IFERROR(_xlfn.AGGREGATE(14,6,'Compras PM'!$A$4:$A$10014/('Compras PM'!$C$4:$C$10014=$A227),1),"")</f>
        <v/>
      </c>
      <c r="O227" s="31" t="str">
        <f>IFERROR(VLOOKUP($A227,Maestro_Equipos!$A$4:$AG$247,27,FALSE()),"")</f>
        <v/>
      </c>
      <c r="P227" s="32" t="str">
        <f t="shared" ca="1" si="21"/>
        <v/>
      </c>
      <c r="Q227" s="32" t="str">
        <f t="shared" ca="1" si="22"/>
        <v/>
      </c>
      <c r="R227" s="30" t="str">
        <f t="shared" si="23"/>
        <v>SIN SALIDA</v>
      </c>
      <c r="S227" s="33" t="str">
        <f>IFERROR(VLOOKUP($A227,Maestro_Equipos!$A$4:$AG$247,33,FALSE()),"")</f>
        <v>No programar compra</v>
      </c>
    </row>
    <row r="228" spans="1:19" ht="15.75" hidden="1" customHeight="1">
      <c r="A228" t="str" cm="1">
        <f t="array" ref="A228">IFERROR(INDEX(_xlfn._xlws.FILTER(Maestro_Equipos!$A$4:$A$247,Maestro_Equipos!$A$4:$A$247&lt;&gt;""),ROWS($A$4:A228)),"")</f>
        <v>VD-67</v>
      </c>
      <c r="B228" t="str">
        <f>IFERROR(_xlfn.XLOOKUP($A228,Maestro_Equipos!$A$4:$A$247,Maestro_Equipos!$B$4:$B$247,""),"")</f>
        <v>Camioneta</v>
      </c>
      <c r="C228" t="str">
        <f>IFERROR(_xlfn.XLOOKUP($A228,Maestro_Equipos!$A$4:$A$247,Maestro_Equipos!$C$4:$C$247,""),"")</f>
        <v>Vehículos Livianos</v>
      </c>
      <c r="D228" t="str">
        <f>IFERROR(VLOOKUP($A225,Maestro_Equipos!$A$4:$Z$247,9,FALSE),"")</f>
        <v>KM</v>
      </c>
      <c r="E228">
        <f>IFERROR(IF($D228="KM",_xlfn.XLOOKUP($A228,Maestro_Equipos!$A:$A,Maestro_Equipos!$N:$N,""),_xlfn.XLOOKUP($A228,Maestro_Equipos!$A:$A,Maestro_Equipos!$M:$M,"")),"")</f>
        <v>227541</v>
      </c>
      <c r="F228" t="str">
        <f>IFERROR(_xlfn.XLOOKUP($A228,Maestro_Equipos!$A:$A,Maestro_Equipos!$R:$R,"")+_xlfn.XLOOKUP($A228,Maestro_Equipos!$A:$A,Maestro_Equipos!$J:$J,""),"")</f>
        <v/>
      </c>
      <c r="G228">
        <f>IFERROR(_xlfn.XLOOKUP($A228,Maestro_Equipos!$A:$A,Maestro_Equipos!$K:$K,""),"")</f>
        <v>155.69999999999999</v>
      </c>
      <c r="H228" t="str">
        <f t="shared" si="18"/>
        <v/>
      </c>
      <c r="I228" s="41" t="str">
        <f t="shared" ca="1" si="19"/>
        <v/>
      </c>
      <c r="J228" s="5" t="str">
        <f>IFERROR(INDEX(Maestro_Equipos!$V$4:$V$247,MATCH($A228,Maestro_Equipos!$A$4:$A$247,0)),"")</f>
        <v>Fuera de Servicio</v>
      </c>
      <c r="K228" s="37">
        <f>IFERROR(
   SUMIFS(Mantenciones!$I:$I,Mantenciones!$B:$B,$A228)
 + SUMIFS('Compras PM'!$F:$F,'Compras PM'!$C:$C,$A228),0)</f>
        <v>0</v>
      </c>
      <c r="L228" s="30" t="str">
        <f t="shared" si="20"/>
        <v>NO PROGRAMAR</v>
      </c>
      <c r="M228" s="58" t="str" cm="1">
        <f t="array" ref="M228">IFERROR(_xlfn.AGGREGATE(14,6,Mantenciones!$A$2:$A$9997/(Mantenciones!$B$2:$B$9997=$A228),1),"")</f>
        <v/>
      </c>
      <c r="N228" s="31" t="str" cm="1">
        <f t="array" ref="N228">IFERROR(_xlfn.AGGREGATE(14,6,'Compras PM'!$A$4:$A$10014/('Compras PM'!$C$4:$C$10014=$A228),1),"")</f>
        <v/>
      </c>
      <c r="O228" s="31" t="str">
        <f>IFERROR(VLOOKUP($A228,Maestro_Equipos!$A$4:$AG$247,27,FALSE()),"")</f>
        <v/>
      </c>
      <c r="P228" s="32" t="str">
        <f t="shared" ca="1" si="21"/>
        <v/>
      </c>
      <c r="Q228" s="32" t="str">
        <f t="shared" ca="1" si="22"/>
        <v/>
      </c>
      <c r="R228" s="30" t="str">
        <f t="shared" si="23"/>
        <v>SIN SALIDA</v>
      </c>
      <c r="S228" s="33" t="str">
        <f>IFERROR(VLOOKUP($A228,Maestro_Equipos!$A$4:$AG$247,33,FALSE()),"")</f>
        <v>No programar compra</v>
      </c>
    </row>
    <row r="229" spans="1:19" ht="15.75" customHeight="1">
      <c r="A229" t="str" cm="1">
        <f t="array" ref="A229">IFERROR(INDEX(_xlfn._xlws.FILTER(Maestro_Equipos!$A$4:$A$247,Maestro_Equipos!$A$4:$A$247&lt;&gt;""),ROWS($A$4:A229)),"")</f>
        <v>MD-97</v>
      </c>
      <c r="B229" t="str">
        <f>IFERROR(_xlfn.XLOOKUP($A229,Maestro_Equipos!$A$4:$A$247,Maestro_Equipos!$B$4:$B$247,""),"")</f>
        <v>Rodillo Neumaticos</v>
      </c>
      <c r="C229" t="str">
        <f>IFERROR(_xlfn.XLOOKUP($A229,Maestro_Equipos!$A$4:$A$247,Maestro_Equipos!$C$4:$C$247,""),"")</f>
        <v>Maquinaria Pesada</v>
      </c>
      <c r="D229" t="str">
        <f>IFERROR(_xlfn.XLOOKUP($A229,Maestro_Equipos!$A:$A,Maestro_Equipos!$I:$I,""),"")</f>
        <v>HORAS</v>
      </c>
      <c r="E229">
        <f>IFERROR(IF($D229="KM",_xlfn.XLOOKUP($A229,Maestro_Equipos!$A:$A,Maestro_Equipos!$N:$N,""),_xlfn.XLOOKUP($A229,Maestro_Equipos!$A:$A,Maestro_Equipos!$M:$M,"")),"")</f>
        <v>1950</v>
      </c>
      <c r="F229" t="str">
        <f>IFERROR(_xlfn.XLOOKUP($A229,Maestro_Equipos!$A:$A,Maestro_Equipos!$R:$R,"")+_xlfn.XLOOKUP($A229,Maestro_Equipos!$A:$A,Maestro_Equipos!$J:$J,""),"")</f>
        <v/>
      </c>
      <c r="G229">
        <f>IFERROR(_xlfn.XLOOKUP($A229,Maestro_Equipos!$A:$A,Maestro_Equipos!$K:$K,""),"")</f>
        <v>1.2</v>
      </c>
      <c r="H229" t="str">
        <f t="shared" si="18"/>
        <v/>
      </c>
      <c r="I229" s="41" t="str">
        <f t="shared" ca="1" si="19"/>
        <v/>
      </c>
      <c r="J229" s="5" t="str">
        <f>IFERROR(INDEX(Maestro_Equipos!$V$4:$V$247,MATCH($A229,Maestro_Equipos!$A$4:$A$247,0)),"")</f>
        <v>Operativo</v>
      </c>
      <c r="K229" s="37">
        <f>IFERROR(
   SUMIFS(Mantenciones!$I:$I,Mantenciones!$B:$B,$A229)
 + SUMIFS('Compras PM'!$F:$F,'Compras PM'!$C:$C,$A229),0)</f>
        <v>0</v>
      </c>
      <c r="L229" s="30" t="str">
        <f t="shared" si="20"/>
        <v>SIN DATOS</v>
      </c>
      <c r="M229" s="58" t="str" cm="1">
        <f t="array" ref="M229">IFERROR(_xlfn.AGGREGATE(14,6,Mantenciones!$A$2:$A$9997/(Mantenciones!$B$2:$B$9997=$A229),1),"")</f>
        <v/>
      </c>
      <c r="N229" s="31" cm="1">
        <f t="array" ref="N229">IFERROR(_xlfn.AGGREGATE(14,6,'Compras PM'!$A$4:$A$10014/('Compras PM'!$C$4:$C$10014=$A229),1),"")</f>
        <v>46106</v>
      </c>
      <c r="O229" s="31" t="str">
        <f>IFERROR(VLOOKUP($A229,Maestro_Equipos!$A$4:$AG$247,27,FALSE()),"")</f>
        <v/>
      </c>
      <c r="P229" s="32">
        <f t="shared" ca="1" si="21"/>
        <v>39</v>
      </c>
      <c r="Q229" s="32" t="str">
        <f t="shared" ca="1" si="22"/>
        <v/>
      </c>
      <c r="R229" s="30" t="str">
        <f t="shared" si="23"/>
        <v>SIN SALIDA</v>
      </c>
      <c r="S229" s="33" t="str">
        <f>IFERROR(VLOOKUP($A229,Maestro_Equipos!$A$4:$AG$247,33,FALSE()),"")</f>
        <v>Hacer seguimiento al taller y cerrar report</v>
      </c>
    </row>
    <row r="230" spans="1:19" ht="15.75" customHeight="1">
      <c r="A230" t="str" cm="1">
        <f t="array" ref="A230">IFERROR(INDEX(_xlfn._xlws.FILTER(Maestro_Equipos!$A$4:$A$247,Maestro_Equipos!$A$4:$A$247&lt;&gt;""),ROWS($A$4:A230)),"")</f>
        <v>MD-103</v>
      </c>
      <c r="B230" t="str">
        <f>IFERROR(_xlfn.XLOOKUP($A230,Maestro_Equipos!$A$4:$A$247,Maestro_Equipos!$B$4:$B$247,""),"")</f>
        <v>Rodillo</v>
      </c>
      <c r="C230" t="str">
        <f>IFERROR(_xlfn.XLOOKUP($A230,Maestro_Equipos!$A$4:$A$247,Maestro_Equipos!$C$4:$C$247,""),"")</f>
        <v>Maquinaria Pesada</v>
      </c>
      <c r="D230" t="str">
        <f>IFERROR(_xlfn.XLOOKUP($A230,Maestro_Equipos!$A:$A,Maestro_Equipos!$I:$I,""),"")</f>
        <v>HORAS</v>
      </c>
      <c r="E230">
        <f>IFERROR(IF($D230="KM",_xlfn.XLOOKUP($A230,Maestro_Equipos!$A:$A,Maestro_Equipos!$N:$N,""),_xlfn.XLOOKUP($A230,Maestro_Equipos!$A:$A,Maestro_Equipos!$M:$M,"")),"")</f>
        <v>4327</v>
      </c>
      <c r="F230">
        <f>IFERROR(_xlfn.XLOOKUP($A230,Maestro_Equipos!$A:$A,Maestro_Equipos!$R:$R,"")+_xlfn.XLOOKUP($A230,Maestro_Equipos!$A:$A,Maestro_Equipos!$J:$J,""),"")</f>
        <v>4558</v>
      </c>
      <c r="G230">
        <f>IFERROR(_xlfn.XLOOKUP($A230,Maestro_Equipos!$A:$A,Maestro_Equipos!$K:$K,""),"")</f>
        <v>4.2</v>
      </c>
      <c r="H230">
        <f t="shared" si="18"/>
        <v>55</v>
      </c>
      <c r="I230" s="41">
        <f t="shared" ca="1" si="19"/>
        <v>46200</v>
      </c>
      <c r="J230" s="5" t="str">
        <f>IFERROR(INDEX(Maestro_Equipos!$V$4:$V$247,MATCH($A230,Maestro_Equipos!$A$4:$A$247,0)),"")</f>
        <v>Operativo</v>
      </c>
      <c r="K230" s="37">
        <f>IFERROR(
   SUMIFS(Mantenciones!$I:$I,Mantenciones!$B:$B,$A230)
 + SUMIFS('Compras PM'!$F:$F,'Compras PM'!$C:$C,$A230),0)</f>
        <v>263781.34999999998</v>
      </c>
      <c r="L230" s="30" t="str">
        <f t="shared" si="20"/>
        <v>BAJA</v>
      </c>
      <c r="M230" s="58" cm="1">
        <f t="array" ref="M230">IFERROR(_xlfn.AGGREGATE(14,6,Mantenciones!$A$2:$A$9997/(Mantenciones!$B$2:$B$9997=$A230),1),"")</f>
        <v>46132</v>
      </c>
      <c r="N230" s="31" cm="1">
        <f t="array" ref="N230">IFERROR(_xlfn.AGGREGATE(14,6,'Compras PM'!$A$4:$A$10014/('Compras PM'!$C$4:$C$10014=$A230),1),"")</f>
        <v>46083.444348263904</v>
      </c>
      <c r="O230" s="31">
        <f>IFERROR(VLOOKUP($A230,Maestro_Equipos!$A$4:$AG$247,27,FALSE()),"")</f>
        <v>46093</v>
      </c>
      <c r="P230" s="32">
        <f t="shared" ca="1" si="21"/>
        <v>48.555651736096479</v>
      </c>
      <c r="Q230" s="32">
        <f t="shared" ca="1" si="22"/>
        <v>39</v>
      </c>
      <c r="R230" s="30" t="str">
        <f t="shared" si="23"/>
        <v>REALIZADA</v>
      </c>
      <c r="S230" s="33" t="str">
        <f>IFERROR(VLOOKUP($A230,Maestro_Equipos!$A$4:$AG$247,33,FALSE()),"")</f>
        <v>Monitorear próximo vencimiento</v>
      </c>
    </row>
    <row r="231" spans="1:19" ht="15.75" customHeight="1">
      <c r="A231" t="str" cm="1">
        <f t="array" ref="A231">IFERROR(INDEX(_xlfn._xlws.FILTER(Maestro_Equipos!$A$4:$A$247,Maestro_Equipos!$A$4:$A$247&lt;&gt;""),ROWS($A$4:A231)),"")</f>
        <v>MD-110</v>
      </c>
      <c r="B231" t="str">
        <f>IFERROR(_xlfn.XLOOKUP($A231,Maestro_Equipos!$A$4:$A$247,Maestro_Equipos!$B$4:$B$247,""),"")</f>
        <v>Motoniveladora</v>
      </c>
      <c r="C231" t="str">
        <f>IFERROR(_xlfn.XLOOKUP($A231,Maestro_Equipos!$A$4:$A$247,Maestro_Equipos!$C$4:$C$247,""),"")</f>
        <v>Maquinaria Pesada</v>
      </c>
      <c r="D231" t="str">
        <f>IFERROR(_xlfn.XLOOKUP($A231,Maestro_Equipos!$A:$A,Maestro_Equipos!$I:$I,""),"")</f>
        <v>HORAS</v>
      </c>
      <c r="E231">
        <f>IFERROR(IF($D231="KM",_xlfn.XLOOKUP($A231,Maestro_Equipos!$A:$A,Maestro_Equipos!$N:$N,""),_xlfn.XLOOKUP($A231,Maestro_Equipos!$A:$A,Maestro_Equipos!$M:$M,"")),"")</f>
        <v>8819</v>
      </c>
      <c r="F231">
        <f>IFERROR(_xlfn.XLOOKUP($A231,Maestro_Equipos!$A:$A,Maestro_Equipos!$R:$R,"")+_xlfn.XLOOKUP($A231,Maestro_Equipos!$A:$A,Maestro_Equipos!$J:$J,""),"")</f>
        <v>8797</v>
      </c>
      <c r="G231">
        <f>IFERROR(_xlfn.XLOOKUP($A231,Maestro_Equipos!$A:$A,Maestro_Equipos!$K:$K,""),"")</f>
        <v>7.3</v>
      </c>
      <c r="H231">
        <f t="shared" si="18"/>
        <v>-3</v>
      </c>
      <c r="I231" s="41">
        <f t="shared" ca="1" si="19"/>
        <v>46142</v>
      </c>
      <c r="J231" s="5" t="str">
        <f>IFERROR(INDEX(Maestro_Equipos!$V$4:$V$247,MATCH($A231,Maestro_Equipos!$A$4:$A$247,0)),"")</f>
        <v>Operativo</v>
      </c>
      <c r="K231" s="37">
        <f>IFERROR(
   SUMIFS(Mantenciones!$I:$I,Mantenciones!$B:$B,$A231)
 + SUMIFS('Compras PM'!$F:$F,'Compras PM'!$C:$C,$A231),0)</f>
        <v>775405.19</v>
      </c>
      <c r="L231" s="30" t="str">
        <f t="shared" si="20"/>
        <v>VENCIDA</v>
      </c>
      <c r="M231" s="58" cm="1">
        <f t="array" ref="M231">IFERROR(_xlfn.AGGREGATE(14,6,Mantenciones!$A$2:$A$9997/(Mantenciones!$B$2:$B$9997=$A231),1),"")</f>
        <v>46058</v>
      </c>
      <c r="N231" s="31" cm="1">
        <f t="array" ref="N231">IFERROR(_xlfn.AGGREGATE(14,6,'Compras PM'!$A$4:$A$10014/('Compras PM'!$C$4:$C$10014=$A231),1),"")</f>
        <v>46111</v>
      </c>
      <c r="O231" s="31">
        <f>IFERROR(VLOOKUP($A231,Maestro_Equipos!$A$4:$AG$247,27,FALSE()),"")</f>
        <v>46058</v>
      </c>
      <c r="P231" s="32">
        <f t="shared" ca="1" si="21"/>
        <v>34</v>
      </c>
      <c r="Q231" s="32">
        <f t="shared" ca="1" si="22"/>
        <v>0</v>
      </c>
      <c r="R231" s="30" t="str">
        <f t="shared" si="23"/>
        <v>REALIZADA</v>
      </c>
      <c r="S231" s="33" t="str">
        <f>IFERROR(VLOOKUP($A231,Maestro_Equipos!$A$4:$AG$247,33,FALSE()),"")</f>
        <v>Monitorear próximo vencimiento</v>
      </c>
    </row>
    <row r="232" spans="1:19" ht="15.75" customHeight="1">
      <c r="A232" t="str" cm="1">
        <f t="array" ref="A232">IFERROR(INDEX(_xlfn._xlws.FILTER(Maestro_Equipos!$A$4:$A$247,Maestro_Equipos!$A$4:$A$247&lt;&gt;""),ROWS($A$4:A232)),"")</f>
        <v>CD-114</v>
      </c>
      <c r="B232" t="str">
        <f>IFERROR(_xlfn.XLOOKUP($A232,Maestro_Equipos!$A$4:$A$247,Maestro_Equipos!$B$4:$B$247,""),"")</f>
        <v>Camión Imprimador</v>
      </c>
      <c r="C232" t="str">
        <f>IFERROR(_xlfn.XLOOKUP($A232,Maestro_Equipos!$A$4:$A$247,Maestro_Equipos!$C$4:$C$247,""),"")</f>
        <v>Camiones de Ruta</v>
      </c>
      <c r="D232" t="str">
        <f>IFERROR(_xlfn.XLOOKUP($A232,Maestro_Equipos!$A:$A,Maestro_Equipos!$I:$I,""),"")</f>
        <v>HORAS</v>
      </c>
      <c r="E232">
        <f>IFERROR(IF($D232="KM",_xlfn.XLOOKUP($A232,Maestro_Equipos!$A:$A,Maestro_Equipos!$N:$N,""),_xlfn.XLOOKUP($A232,Maestro_Equipos!$A:$A,Maestro_Equipos!$M:$M,"")),"")</f>
        <v>3895</v>
      </c>
      <c r="F232" t="str">
        <f>IFERROR(_xlfn.XLOOKUP($A232,Maestro_Equipos!$A:$A,Maestro_Equipos!$R:$R,"")+_xlfn.XLOOKUP($A232,Maestro_Equipos!$A:$A,Maestro_Equipos!$J:$J,""),"")</f>
        <v/>
      </c>
      <c r="G232">
        <f>IFERROR(_xlfn.XLOOKUP($A232,Maestro_Equipos!$A:$A,Maestro_Equipos!$K:$K,""),"")</f>
        <v>2.1</v>
      </c>
      <c r="H232" t="str">
        <f t="shared" si="18"/>
        <v/>
      </c>
      <c r="I232" s="41" t="str">
        <f t="shared" ca="1" si="19"/>
        <v/>
      </c>
      <c r="J232" s="5" t="str">
        <f>IFERROR(INDEX(Maestro_Equipos!$V$4:$V$247,MATCH($A232,Maestro_Equipos!$A$4:$A$247,0)),"")</f>
        <v>Operativo</v>
      </c>
      <c r="K232" s="37">
        <f>IFERROR(
   SUMIFS(Mantenciones!$I:$I,Mantenciones!$B:$B,$A232)
 + SUMIFS('Compras PM'!$F:$F,'Compras PM'!$C:$C,$A232),0)</f>
        <v>147899.15</v>
      </c>
      <c r="L232" s="30" t="str">
        <f t="shared" si="20"/>
        <v>SIN DATOS</v>
      </c>
      <c r="M232" s="58" t="str" cm="1">
        <f t="array" ref="M232">IFERROR(_xlfn.AGGREGATE(14,6,Mantenciones!$A$2:$A$9997/(Mantenciones!$B$2:$B$9997=$A232),1),"")</f>
        <v/>
      </c>
      <c r="N232" s="31" cm="1">
        <f t="array" ref="N232">IFERROR(_xlfn.AGGREGATE(14,6,'Compras PM'!$A$4:$A$10014/('Compras PM'!$C$4:$C$10014=$A232),1),"")</f>
        <v>46119.349964039298</v>
      </c>
      <c r="O232" s="31" t="str">
        <f>IFERROR(VLOOKUP($A232,Maestro_Equipos!$A$4:$AG$247,27,FALSE()),"")</f>
        <v/>
      </c>
      <c r="P232" s="32">
        <f t="shared" ca="1" si="21"/>
        <v>25.650035960701643</v>
      </c>
      <c r="Q232" s="32" t="str">
        <f t="shared" ca="1" si="22"/>
        <v/>
      </c>
      <c r="R232" s="30" t="str">
        <f t="shared" si="23"/>
        <v>SIN SALIDA</v>
      </c>
      <c r="S232" s="33" t="str">
        <f>IFERROR(VLOOKUP($A232,Maestro_Equipos!$A$4:$AG$247,33,FALSE()),"")</f>
        <v>Hacer seguimiento al taller y cerrar report</v>
      </c>
    </row>
    <row r="233" spans="1:19" ht="15.75" customHeight="1">
      <c r="A233" t="str" cm="1">
        <f t="array" ref="A233">IFERROR(INDEX(_xlfn._xlws.FILTER(Maestro_Equipos!$A$4:$A$247,Maestro_Equipos!$A$4:$A$247&lt;&gt;""),ROWS($A$4:A233)),"")</f>
        <v>CD-104</v>
      </c>
      <c r="B233" t="str">
        <f>IFERROR(_xlfn.XLOOKUP($A233,Maestro_Equipos!$A$4:$A$247,Maestro_Equipos!$B$4:$B$247,""),"")</f>
        <v>Camión Tolva</v>
      </c>
      <c r="C233" t="str">
        <f>IFERROR(_xlfn.XLOOKUP($A233,Maestro_Equipos!$A$4:$A$247,Maestro_Equipos!$C$4:$C$247,""),"")</f>
        <v>Camiones de Ruta</v>
      </c>
      <c r="D233" t="str">
        <f>IFERROR(_xlfn.XLOOKUP($A233,Maestro_Equipos!$A:$A,Maestro_Equipos!$I:$I,""),"")</f>
        <v>HORAS</v>
      </c>
      <c r="E233">
        <f>IFERROR(IF($D233="KM",_xlfn.XLOOKUP($A233,Maestro_Equipos!$A:$A,Maestro_Equipos!$N:$N,""),_xlfn.XLOOKUP($A233,Maestro_Equipos!$A:$A,Maestro_Equipos!$M:$M,"")),"")</f>
        <v>10709</v>
      </c>
      <c r="F233" t="str">
        <f>IFERROR(_xlfn.XLOOKUP($A233,Maestro_Equipos!$A:$A,Maestro_Equipos!$R:$R,"")+_xlfn.XLOOKUP($A233,Maestro_Equipos!$A:$A,Maestro_Equipos!$J:$J,""),"")</f>
        <v/>
      </c>
      <c r="G233">
        <f>IFERROR(_xlfn.XLOOKUP($A233,Maestro_Equipos!$A:$A,Maestro_Equipos!$K:$K,""),"")</f>
        <v>5.6</v>
      </c>
      <c r="H233" t="str">
        <f t="shared" si="18"/>
        <v/>
      </c>
      <c r="I233" s="41" t="str">
        <f t="shared" ca="1" si="19"/>
        <v/>
      </c>
      <c r="J233" s="5" t="str">
        <f>IFERROR(INDEX(Maestro_Equipos!$V$4:$V$247,MATCH($A233,Maestro_Equipos!$A$4:$A$247,0)),"")</f>
        <v>Operativo</v>
      </c>
      <c r="K233" s="37">
        <f>IFERROR(
   SUMIFS(Mantenciones!$I:$I,Mantenciones!$B:$B,$A233)
 + SUMIFS('Compras PM'!$F:$F,'Compras PM'!$C:$C,$A233),0)</f>
        <v>63430.805899999999</v>
      </c>
      <c r="L233" s="30" t="str">
        <f t="shared" si="20"/>
        <v>SIN DATOS</v>
      </c>
      <c r="M233" s="58" cm="1">
        <f t="array" ref="M233">IFERROR(_xlfn.AGGREGATE(14,6,Mantenciones!$A$2:$A$9997/(Mantenciones!$B$2:$B$9997=$A233),1),"")</f>
        <v>46060</v>
      </c>
      <c r="N233" s="31" cm="1">
        <f t="array" ref="N233">IFERROR(_xlfn.AGGREGATE(14,6,'Compras PM'!$A$4:$A$10014/('Compras PM'!$C$4:$C$10014=$A233),1),"")</f>
        <v>46093.460116550901</v>
      </c>
      <c r="O233" s="31">
        <f>IFERROR(VLOOKUP($A233,Maestro_Equipos!$A$4:$AG$247,27,FALSE()),"")</f>
        <v>46060</v>
      </c>
      <c r="P233" s="32">
        <f t="shared" ca="1" si="21"/>
        <v>51.539883449098852</v>
      </c>
      <c r="Q233" s="32">
        <f t="shared" ca="1" si="22"/>
        <v>0</v>
      </c>
      <c r="R233" s="30" t="str">
        <f t="shared" si="23"/>
        <v>REALIZADA</v>
      </c>
      <c r="S233" s="33" t="str">
        <f>IFERROR(VLOOKUP($A233,Maestro_Equipos!$A$4:$AG$247,33,FALSE()),"")</f>
        <v>Monitorear próximo vencimiento</v>
      </c>
    </row>
    <row r="234" spans="1:19" ht="15.75" customHeight="1">
      <c r="A234" t="str" cm="1">
        <f t="array" ref="A234">IFERROR(INDEX(_xlfn._xlws.FILTER(Maestro_Equipos!$A$4:$A$247,Maestro_Equipos!$A$4:$A$247&lt;&gt;""),ROWS($A$4:A234)),"")</f>
        <v>MD-89</v>
      </c>
      <c r="B234" t="str">
        <f>IFERROR(_xlfn.XLOOKUP($A234,Maestro_Equipos!$A$4:$A$247,Maestro_Equipos!$B$4:$B$247,""),"")</f>
        <v>Motoniveladora</v>
      </c>
      <c r="C234" t="str">
        <f>IFERROR(_xlfn.XLOOKUP($A234,Maestro_Equipos!$A$4:$A$247,Maestro_Equipos!$C$4:$C$247,""),"")</f>
        <v>Maquinaria Pesada</v>
      </c>
      <c r="D234" t="str">
        <f>IFERROR(_xlfn.XLOOKUP($A234,Maestro_Equipos!$A:$A,Maestro_Equipos!$I:$I,""),"")</f>
        <v>HORAS</v>
      </c>
      <c r="E234">
        <f>IFERROR(IF($D234="KM",_xlfn.XLOOKUP($A234,Maestro_Equipos!$A:$A,Maestro_Equipos!$N:$N,""),_xlfn.XLOOKUP($A234,Maestro_Equipos!$A:$A,Maestro_Equipos!$M:$M,"")),"")</f>
        <v>10101</v>
      </c>
      <c r="F234">
        <f>IFERROR(_xlfn.XLOOKUP($A234,Maestro_Equipos!$A:$A,Maestro_Equipos!$R:$R,"")+_xlfn.XLOOKUP($A234,Maestro_Equipos!$A:$A,Maestro_Equipos!$J:$J,""),"")</f>
        <v>10472</v>
      </c>
      <c r="G234">
        <f>IFERROR(_xlfn.XLOOKUP($A234,Maestro_Equipos!$A:$A,Maestro_Equipos!$K:$K,""),"")</f>
        <v>3.8</v>
      </c>
      <c r="H234">
        <f t="shared" si="18"/>
        <v>98</v>
      </c>
      <c r="I234" s="41">
        <f t="shared" ca="1" si="19"/>
        <v>46243</v>
      </c>
      <c r="J234" s="5" t="str">
        <f>IFERROR(INDEX(Maestro_Equipos!$V$4:$V$247,MATCH($A234,Maestro_Equipos!$A$4:$A$247,0)),"")</f>
        <v>Operativo</v>
      </c>
      <c r="K234" s="37">
        <f>IFERROR(
   SUMIFS(Mantenciones!$I:$I,Mantenciones!$B:$B,$A234)
 + SUMIFS('Compras PM'!$F:$F,'Compras PM'!$C:$C,$A234),0)</f>
        <v>237325.27</v>
      </c>
      <c r="L234" s="30" t="str">
        <f t="shared" si="20"/>
        <v>BAJA</v>
      </c>
      <c r="M234" s="58" cm="1">
        <f t="array" ref="M234">IFERROR(_xlfn.AGGREGATE(14,6,Mantenciones!$A$2:$A$9997/(Mantenciones!$B$2:$B$9997=$A234),1),"")</f>
        <v>46133</v>
      </c>
      <c r="N234" s="31" cm="1">
        <f t="array" ref="N234">IFERROR(_xlfn.AGGREGATE(14,6,'Compras PM'!$A$4:$A$10014/('Compras PM'!$C$4:$C$10014=$A234),1),"")</f>
        <v>46084.554178669001</v>
      </c>
      <c r="O234" s="31">
        <f>IFERROR(VLOOKUP($A234,Maestro_Equipos!$A$4:$AG$247,27,FALSE()),"")</f>
        <v>46093</v>
      </c>
      <c r="P234" s="32">
        <f t="shared" ca="1" si="21"/>
        <v>48.445821330999024</v>
      </c>
      <c r="Q234" s="32">
        <f t="shared" ca="1" si="22"/>
        <v>40</v>
      </c>
      <c r="R234" s="30" t="str">
        <f t="shared" si="23"/>
        <v>REALIZADA</v>
      </c>
      <c r="S234" s="33" t="str">
        <f>IFERROR(VLOOKUP($A234,Maestro_Equipos!$A$4:$AG$247,33,FALSE()),"")</f>
        <v>Monitorear próximo vencimiento</v>
      </c>
    </row>
    <row r="235" spans="1:19" ht="15.75" customHeight="1">
      <c r="A235" t="str" cm="1">
        <f t="array" ref="A235">IFERROR(INDEX(_xlfn._xlws.FILTER(Maestro_Equipos!$A$4:$A$247,Maestro_Equipos!$A$4:$A$247&lt;&gt;""),ROWS($A$4:A235)),"")</f>
        <v>CD-105</v>
      </c>
      <c r="B235" t="str">
        <f>IFERROR(_xlfn.XLOOKUP($A235,Maestro_Equipos!$A$4:$A$247,Maestro_Equipos!$B$4:$B$247,""),"")</f>
        <v>Camión Tolva</v>
      </c>
      <c r="C235" t="str">
        <f>IFERROR(_xlfn.XLOOKUP($A235,Maestro_Equipos!$A$4:$A$247,Maestro_Equipos!$C$4:$C$247,""),"")</f>
        <v>Camiones de Ruta</v>
      </c>
      <c r="D235" t="str">
        <f>IFERROR(_xlfn.XLOOKUP($A235,Maestro_Equipos!$A:$A,Maestro_Equipos!$I:$I,""),"")</f>
        <v>HORAS</v>
      </c>
      <c r="E235">
        <f>IFERROR(IF($D235="KM",_xlfn.XLOOKUP($A235,Maestro_Equipos!$A:$A,Maestro_Equipos!$N:$N,""),_xlfn.XLOOKUP($A235,Maestro_Equipos!$A:$A,Maestro_Equipos!$M:$M,"")),"")</f>
        <v>10623</v>
      </c>
      <c r="F235">
        <f>IFERROR(_xlfn.XLOOKUP($A235,Maestro_Equipos!$A:$A,Maestro_Equipos!$R:$R,"")+_xlfn.XLOOKUP($A235,Maestro_Equipos!$A:$A,Maestro_Equipos!$J:$J,""),"")</f>
        <v>10988</v>
      </c>
      <c r="G235">
        <f>IFERROR(_xlfn.XLOOKUP($A235,Maestro_Equipos!$A:$A,Maestro_Equipos!$K:$K,""),"")</f>
        <v>3.7</v>
      </c>
      <c r="H235">
        <f t="shared" si="18"/>
        <v>99</v>
      </c>
      <c r="I235" s="41">
        <f t="shared" ca="1" si="19"/>
        <v>46244</v>
      </c>
      <c r="J235" s="5" t="str">
        <f>IFERROR(INDEX(Maestro_Equipos!$V$4:$V$247,MATCH($A235,Maestro_Equipos!$A$4:$A$247,0)),"")</f>
        <v>Operativo</v>
      </c>
      <c r="K235" s="37">
        <f>IFERROR(
   SUMIFS(Mantenciones!$I:$I,Mantenciones!$B:$B,$A235)
 + SUMIFS('Compras PM'!$F:$F,'Compras PM'!$C:$C,$A235),0)</f>
        <v>63430.805899999999</v>
      </c>
      <c r="L235" s="30" t="str">
        <f t="shared" si="20"/>
        <v>BAJA</v>
      </c>
      <c r="M235" s="58" cm="1">
        <f t="array" ref="M235">IFERROR(_xlfn.AGGREGATE(14,6,Mantenciones!$A$2:$A$9997/(Mantenciones!$B$2:$B$9997=$A235),1),"")</f>
        <v>46127</v>
      </c>
      <c r="N235" s="31" cm="1">
        <f t="array" ref="N235">IFERROR(_xlfn.AGGREGATE(14,6,'Compras PM'!$A$4:$A$10014/('Compras PM'!$C$4:$C$10014=$A235),1),"")</f>
        <v>46093.460116550901</v>
      </c>
      <c r="O235" s="31">
        <f>IFERROR(VLOOKUP($A235,Maestro_Equipos!$A$4:$AG$247,27,FALSE()),"")</f>
        <v>46105</v>
      </c>
      <c r="P235" s="32">
        <f t="shared" ca="1" si="21"/>
        <v>33.539883449098852</v>
      </c>
      <c r="Q235" s="32">
        <f t="shared" ca="1" si="22"/>
        <v>22</v>
      </c>
      <c r="R235" s="30" t="str">
        <f t="shared" si="23"/>
        <v>REALIZADA</v>
      </c>
      <c r="S235" s="33" t="str">
        <f>IFERROR(VLOOKUP($A235,Maestro_Equipos!$A$4:$AG$247,33,FALSE()),"")</f>
        <v>Monitorear próximo vencimiento</v>
      </c>
    </row>
    <row r="236" spans="1:19" ht="15.75" customHeight="1">
      <c r="A236" t="str" cm="1">
        <f t="array" ref="A236">IFERROR(INDEX(_xlfn._xlws.FILTER(Maestro_Equipos!$A$4:$A$247,Maestro_Equipos!$A$4:$A$247&lt;&gt;""),ROWS($A$4:A236)),"")</f>
        <v>CD-96</v>
      </c>
      <c r="B236" t="str">
        <f>IFERROR(_xlfn.XLOOKUP($A236,Maestro_Equipos!$A$4:$A$247,Maestro_Equipos!$B$4:$B$247,""),"")</f>
        <v>Camión Aljibe</v>
      </c>
      <c r="C236" t="str">
        <f>IFERROR(_xlfn.XLOOKUP($A236,Maestro_Equipos!$A$4:$A$247,Maestro_Equipos!$C$4:$C$247,""),"")</f>
        <v>Camiones de Ruta</v>
      </c>
      <c r="D236" t="str">
        <f>IFERROR(_xlfn.XLOOKUP($A236,Maestro_Equipos!$A:$A,Maestro_Equipos!$I:$I,""),"")</f>
        <v>KM</v>
      </c>
      <c r="E236">
        <f>IFERROR(IF($D236="KM",_xlfn.XLOOKUP($A236,Maestro_Equipos!$A:$A,Maestro_Equipos!$N:$N,""),_xlfn.XLOOKUP($A236,Maestro_Equipos!$A:$A,Maestro_Equipos!$M:$M,"")),"")</f>
        <v>571151</v>
      </c>
      <c r="F236" t="str">
        <f>IFERROR(_xlfn.XLOOKUP($A236,Maestro_Equipos!$A:$A,Maestro_Equipos!$R:$R,"")+_xlfn.XLOOKUP($A236,Maestro_Equipos!$A:$A,Maestro_Equipos!$J:$J,""),"")</f>
        <v/>
      </c>
      <c r="G236">
        <f>IFERROR(_xlfn.XLOOKUP($A236,Maestro_Equipos!$A:$A,Maestro_Equipos!$K:$K,""),"")</f>
        <v>189.3</v>
      </c>
      <c r="H236" t="str">
        <f t="shared" si="18"/>
        <v/>
      </c>
      <c r="I236" s="41" t="str">
        <f t="shared" ca="1" si="19"/>
        <v/>
      </c>
      <c r="J236" s="5" t="str">
        <f>IFERROR(INDEX(Maestro_Equipos!$V$4:$V$247,MATCH($A236,Maestro_Equipos!$A$4:$A$247,0)),"")</f>
        <v>Operativo</v>
      </c>
      <c r="K236" s="37">
        <f>IFERROR(
   SUMIFS(Mantenciones!$I:$I,Mantenciones!$B:$B,$A236)
 + SUMIFS('Compras PM'!$F:$F,'Compras PM'!$C:$C,$A236),0)</f>
        <v>75899.973100000003</v>
      </c>
      <c r="L236" s="30" t="str">
        <f t="shared" si="20"/>
        <v>SIN DATOS</v>
      </c>
      <c r="M236" s="58" t="str" cm="1">
        <f t="array" ref="M236">IFERROR(_xlfn.AGGREGATE(14,6,Mantenciones!$A$2:$A$9997/(Mantenciones!$B$2:$B$9997=$A236),1),"")</f>
        <v/>
      </c>
      <c r="N236" s="31" cm="1">
        <f t="array" ref="N236">IFERROR(_xlfn.AGGREGATE(14,6,'Compras PM'!$A$4:$A$10014/('Compras PM'!$C$4:$C$10014=$A236),1),"")</f>
        <v>46079.451422071797</v>
      </c>
      <c r="O236" s="31">
        <f>IFERROR(VLOOKUP($A236,Maestro_Equipos!$A$4:$AG$247,27,FALSE()),"")</f>
        <v>46097</v>
      </c>
      <c r="P236" s="32">
        <f t="shared" ca="1" si="21"/>
        <v>65.548577928202576</v>
      </c>
      <c r="Q236" s="32">
        <f t="shared" ca="1" si="22"/>
        <v>48</v>
      </c>
      <c r="R236" s="30" t="str">
        <f t="shared" si="23"/>
        <v>PENDIENTE</v>
      </c>
      <c r="S236" s="33" t="str">
        <f>IFERROR(VLOOKUP($A236,Maestro_Equipos!$A$4:$AG$247,33,FALSE()),"")</f>
        <v>Monitorear próximo vencimiento</v>
      </c>
    </row>
    <row r="237" spans="1:19" ht="15.75" customHeight="1">
      <c r="A237" t="str" cm="1">
        <f t="array" ref="A237">IFERROR(INDEX(_xlfn._xlws.FILTER(Maestro_Equipos!$A$4:$A$247,Maestro_Equipos!$A$4:$A$247&lt;&gt;""),ROWS($A$4:A237)),"")</f>
        <v>CD-89</v>
      </c>
      <c r="B237" t="str">
        <f>IFERROR(_xlfn.XLOOKUP($A237,Maestro_Equipos!$A$4:$A$247,Maestro_Equipos!$B$4:$B$247,""),"")</f>
        <v>Camión Tolva</v>
      </c>
      <c r="C237" t="str">
        <f>IFERROR(_xlfn.XLOOKUP($A237,Maestro_Equipos!$A$4:$A$247,Maestro_Equipos!$C$4:$C$247,""),"")</f>
        <v>Camiones de Ruta</v>
      </c>
      <c r="D237" t="str">
        <f>IFERROR(_xlfn.XLOOKUP($A237,Maestro_Equipos!$A:$A,Maestro_Equipos!$I:$I,""),"")</f>
        <v>HORAS</v>
      </c>
      <c r="E237">
        <f>IFERROR(IF($D237="KM",_xlfn.XLOOKUP($A237,Maestro_Equipos!$A:$A,Maestro_Equipos!$N:$N,""),_xlfn.XLOOKUP($A237,Maestro_Equipos!$A:$A,Maestro_Equipos!$M:$M,"")),"")</f>
        <v>8634</v>
      </c>
      <c r="F237" t="str">
        <f>IFERROR(_xlfn.XLOOKUP($A237,Maestro_Equipos!$A:$A,Maestro_Equipos!$R:$R,"")+_xlfn.XLOOKUP($A237,Maestro_Equipos!$A:$A,Maestro_Equipos!$J:$J,""),"")</f>
        <v/>
      </c>
      <c r="G237">
        <f>IFERROR(_xlfn.XLOOKUP($A237,Maestro_Equipos!$A:$A,Maestro_Equipos!$K:$K,""),"")</f>
        <v>3.5</v>
      </c>
      <c r="H237" t="str">
        <f t="shared" si="18"/>
        <v/>
      </c>
      <c r="I237" s="41" t="str">
        <f t="shared" ca="1" si="19"/>
        <v/>
      </c>
      <c r="J237" s="5" t="str">
        <f>IFERROR(INDEX(Maestro_Equipos!$V$4:$V$247,MATCH($A237,Maestro_Equipos!$A$4:$A$247,0)),"")</f>
        <v>Operativo</v>
      </c>
      <c r="K237" s="37">
        <f>IFERROR(
   SUMIFS(Mantenciones!$I:$I,Mantenciones!$B:$B,$A237)
 + SUMIFS('Compras PM'!$F:$F,'Compras PM'!$C:$C,$A237),0)</f>
        <v>63430.805899999999</v>
      </c>
      <c r="L237" s="30" t="str">
        <f t="shared" si="20"/>
        <v>SIN DATOS</v>
      </c>
      <c r="M237" s="58" t="str" cm="1">
        <f t="array" ref="M237">IFERROR(_xlfn.AGGREGATE(14,6,Mantenciones!$A$2:$A$9997/(Mantenciones!$B$2:$B$9997=$A237),1),"")</f>
        <v/>
      </c>
      <c r="N237" s="31" cm="1">
        <f t="array" ref="N237">IFERROR(_xlfn.AGGREGATE(14,6,'Compras PM'!$A$4:$A$10014/('Compras PM'!$C$4:$C$10014=$A237),1),"")</f>
        <v>46093.460116550901</v>
      </c>
      <c r="O237" s="31">
        <f>IFERROR(VLOOKUP($A237,Maestro_Equipos!$A$4:$AG$247,27,FALSE()),"")</f>
        <v>46105</v>
      </c>
      <c r="P237" s="32">
        <f t="shared" ca="1" si="21"/>
        <v>51.539883449098852</v>
      </c>
      <c r="Q237" s="32">
        <f t="shared" ca="1" si="22"/>
        <v>40</v>
      </c>
      <c r="R237" s="30" t="str">
        <f t="shared" si="23"/>
        <v>PENDIENTE</v>
      </c>
      <c r="S237" s="33" t="str">
        <f>IFERROR(VLOOKUP($A237,Maestro_Equipos!$A$4:$AG$247,33,FALSE()),"")</f>
        <v>Monitorear próximo vencimiento</v>
      </c>
    </row>
    <row r="238" spans="1:19" ht="15.75" customHeight="1">
      <c r="A238" t="str" cm="1">
        <f t="array" ref="A238">IFERROR(INDEX(_xlfn._xlws.FILTER(Maestro_Equipos!$A$4:$A$247,Maestro_Equipos!$A$4:$A$247&lt;&gt;""),ROWS($A$4:A238)),"")</f>
        <v>MD-46</v>
      </c>
      <c r="B238" t="str">
        <f>IFERROR(_xlfn.XLOOKUP($A238,Maestro_Equipos!$A$4:$A$247,Maestro_Equipos!$B$4:$B$247,""),"")</f>
        <v>Excavadora</v>
      </c>
      <c r="C238" t="str">
        <f>IFERROR(_xlfn.XLOOKUP($A238,Maestro_Equipos!$A$4:$A$247,Maestro_Equipos!$C$4:$C$247,""),"")</f>
        <v>Maquinaria Pesada</v>
      </c>
      <c r="D238" t="str">
        <f>IFERROR(_xlfn.XLOOKUP($A238,Maestro_Equipos!$A:$A,Maestro_Equipos!$I:$I,""),"")</f>
        <v>HORAS</v>
      </c>
      <c r="E238">
        <f>IFERROR(IF($D238="KM",_xlfn.XLOOKUP($A238,Maestro_Equipos!$A:$A,Maestro_Equipos!$N:$N,""),_xlfn.XLOOKUP($A238,Maestro_Equipos!$A:$A,Maestro_Equipos!$M:$M,"")),"")</f>
        <v>11976</v>
      </c>
      <c r="F238" t="str">
        <f>IFERROR(_xlfn.XLOOKUP($A238,Maestro_Equipos!$A:$A,Maestro_Equipos!$R:$R,"")+_xlfn.XLOOKUP($A238,Maestro_Equipos!$A:$A,Maestro_Equipos!$J:$J,""),"")</f>
        <v/>
      </c>
      <c r="G238">
        <f>IFERROR(_xlfn.XLOOKUP($A238,Maestro_Equipos!$A:$A,Maestro_Equipos!$K:$K,""),"")</f>
        <v>4.0999999999999996</v>
      </c>
      <c r="H238" t="str">
        <f t="shared" si="18"/>
        <v/>
      </c>
      <c r="I238" s="41" t="str">
        <f t="shared" ca="1" si="19"/>
        <v/>
      </c>
      <c r="J238" s="5" t="str">
        <f>IFERROR(INDEX(Maestro_Equipos!$V$4:$V$247,MATCH($A238,Maestro_Equipos!$A$4:$A$247,0)),"")</f>
        <v>Operativo</v>
      </c>
      <c r="K238" s="37">
        <f>IFERROR(
   SUMIFS(Mantenciones!$I:$I,Mantenciones!$B:$B,$A238)
 + SUMIFS('Compras PM'!$F:$F,'Compras PM'!$C:$C,$A238),0)</f>
        <v>228336.01</v>
      </c>
      <c r="L238" s="30" t="str">
        <f t="shared" si="20"/>
        <v>SIN DATOS</v>
      </c>
      <c r="M238" s="58" t="str" cm="1">
        <f t="array" ref="M238">IFERROR(_xlfn.AGGREGATE(14,6,Mantenciones!$A$2:$A$9997/(Mantenciones!$B$2:$B$9997=$A238),1),"")</f>
        <v/>
      </c>
      <c r="N238" s="31" cm="1">
        <f t="array" ref="N238">IFERROR(_xlfn.AGGREGATE(14,6,'Compras PM'!$A$4:$A$10014/('Compras PM'!$C$4:$C$10014=$A238),1),"")</f>
        <v>46100</v>
      </c>
      <c r="O238" s="31" t="str">
        <f>IFERROR(VLOOKUP($A238,Maestro_Equipos!$A$4:$AG$247,27,FALSE()),"")</f>
        <v/>
      </c>
      <c r="P238" s="32">
        <f t="shared" ca="1" si="21"/>
        <v>45</v>
      </c>
      <c r="Q238" s="32" t="str">
        <f t="shared" ca="1" si="22"/>
        <v/>
      </c>
      <c r="R238" s="30" t="str">
        <f t="shared" si="23"/>
        <v>SIN SALIDA</v>
      </c>
      <c r="S238" s="33" t="str">
        <f>IFERROR(VLOOKUP($A238,Maestro_Equipos!$A$4:$AG$247,33,FALSE()),"")</f>
        <v>Hacer seguimiento al taller y cerrar report</v>
      </c>
    </row>
    <row r="239" spans="1:19" ht="15.75" customHeight="1">
      <c r="A239" t="str" cm="1">
        <f t="array" ref="A239">IFERROR(INDEX(_xlfn._xlws.FILTER(Maestro_Equipos!$A$4:$A$247,Maestro_Equipos!$A$4:$A$247&lt;&gt;""),ROWS($A$4:A239)),"")</f>
        <v>MD-82</v>
      </c>
      <c r="B239" t="str">
        <f>IFERROR(_xlfn.XLOOKUP($A239,Maestro_Equipos!$A$4:$A$247,Maestro_Equipos!$B$4:$B$247,""),"")</f>
        <v>Excavadora</v>
      </c>
      <c r="C239" t="str">
        <f>IFERROR(_xlfn.XLOOKUP($A239,Maestro_Equipos!$A$4:$A$247,Maestro_Equipos!$C$4:$C$247,""),"")</f>
        <v>Maquinaria Pesada</v>
      </c>
      <c r="D239" t="str">
        <f>IFERROR(_xlfn.XLOOKUP($A239,Maestro_Equipos!$A:$A,Maestro_Equipos!$I:$I,""),"")</f>
        <v>HORAS</v>
      </c>
      <c r="E239">
        <f>IFERROR(IF($D239="KM",_xlfn.XLOOKUP($A239,Maestro_Equipos!$A:$A,Maestro_Equipos!$N:$N,""),_xlfn.XLOOKUP($A239,Maestro_Equipos!$A:$A,Maestro_Equipos!$M:$M,"")),"")</f>
        <v>10358</v>
      </c>
      <c r="F239">
        <f>IFERROR(_xlfn.XLOOKUP($A239,Maestro_Equipos!$A:$A,Maestro_Equipos!$R:$R,"")+_xlfn.XLOOKUP($A239,Maestro_Equipos!$A:$A,Maestro_Equipos!$J:$J,""),"")</f>
        <v>10703</v>
      </c>
      <c r="G239">
        <f>IFERROR(_xlfn.XLOOKUP($A239,Maestro_Equipos!$A:$A,Maestro_Equipos!$K:$K,""),"")</f>
        <v>2.6</v>
      </c>
      <c r="H239">
        <f t="shared" si="18"/>
        <v>133</v>
      </c>
      <c r="I239" s="41">
        <f t="shared" ca="1" si="19"/>
        <v>46278</v>
      </c>
      <c r="J239" s="5" t="str">
        <f>IFERROR(INDEX(Maestro_Equipos!$V$4:$V$247,MATCH($A239,Maestro_Equipos!$A$4:$A$247,0)),"")</f>
        <v>Operativo</v>
      </c>
      <c r="K239" s="37">
        <f>IFERROR(
   SUMIFS(Mantenciones!$I:$I,Mantenciones!$B:$B,$A239)
 + SUMIFS('Compras PM'!$F:$F,'Compras PM'!$C:$C,$A239),0)</f>
        <v>321247.64</v>
      </c>
      <c r="L239" s="30" t="str">
        <f t="shared" si="20"/>
        <v>BAJA</v>
      </c>
      <c r="M239" s="58" cm="1">
        <f t="array" ref="M239">IFERROR(_xlfn.AGGREGATE(14,6,Mantenciones!$A$2:$A$9997/(Mantenciones!$B$2:$B$9997=$A239),1),"")</f>
        <v>46133</v>
      </c>
      <c r="N239" s="31" cm="1">
        <f t="array" ref="N239">IFERROR(_xlfn.AGGREGATE(14,6,'Compras PM'!$A$4:$A$10014/('Compras PM'!$C$4:$C$10014=$A239),1),"")</f>
        <v>46086.684334803198</v>
      </c>
      <c r="O239" s="31">
        <f>IFERROR(VLOOKUP($A239,Maestro_Equipos!$A$4:$AG$247,27,FALSE()),"")</f>
        <v>46097</v>
      </c>
      <c r="P239" s="32">
        <f t="shared" ca="1" si="21"/>
        <v>46.315665196802001</v>
      </c>
      <c r="Q239" s="32">
        <f t="shared" ca="1" si="22"/>
        <v>36</v>
      </c>
      <c r="R239" s="30" t="str">
        <f t="shared" si="23"/>
        <v>REALIZADA</v>
      </c>
      <c r="S239" s="33" t="str">
        <f>IFERROR(VLOOKUP($A239,Maestro_Equipos!$A$4:$AG$247,33,FALSE()),"")</f>
        <v>Monitorear próximo vencimiento</v>
      </c>
    </row>
    <row r="240" spans="1:19" ht="15.75" hidden="1" customHeight="1">
      <c r="A240" t="str" cm="1">
        <f t="array" ref="A240">IFERROR(INDEX(_xlfn._xlws.FILTER(Maestro_Equipos!$A$4:$A$247,Maestro_Equipos!$A$4:$A$247&lt;&gt;""),ROWS($A$4:A240)),"")</f>
        <v>CD-91</v>
      </c>
      <c r="B240" t="str">
        <f>IFERROR(_xlfn.XLOOKUP($A240,Maestro_Equipos!$A$4:$A$247,Maestro_Equipos!$B$4:$B$247,""),"")</f>
        <v>Camión Tolva</v>
      </c>
      <c r="C240" t="str">
        <f>IFERROR(_xlfn.XLOOKUP($A240,Maestro_Equipos!$A$4:$A$247,Maestro_Equipos!$C$4:$C$247,""),"")</f>
        <v>Camiones de Ruta</v>
      </c>
      <c r="D240" t="str">
        <f>IFERROR(VLOOKUP($A237,Maestro_Equipos!$A$4:$Z$247,9,FALSE),"")</f>
        <v>HORAS</v>
      </c>
      <c r="E240">
        <f>IFERROR(IF($D240="KM",_xlfn.XLOOKUP($A240,Maestro_Equipos!$A:$A,Maestro_Equipos!$N:$N,""),_xlfn.XLOOKUP($A240,Maestro_Equipos!$A:$A,Maestro_Equipos!$M:$M,"")),"")</f>
        <v>8719</v>
      </c>
      <c r="F240" t="str">
        <f>IFERROR(_xlfn.XLOOKUP($A240,Maestro_Equipos!$A:$A,Maestro_Equipos!$R:$R,"")+_xlfn.XLOOKUP($A240,Maestro_Equipos!$A:$A,Maestro_Equipos!$J:$J,""),"")</f>
        <v/>
      </c>
      <c r="G240">
        <f>IFERROR(_xlfn.XLOOKUP($A240,Maestro_Equipos!$A:$A,Maestro_Equipos!$K:$K,""),"")</f>
        <v>3.1</v>
      </c>
      <c r="H240" t="str">
        <f t="shared" si="18"/>
        <v/>
      </c>
      <c r="I240" s="41" t="str">
        <f t="shared" ca="1" si="19"/>
        <v/>
      </c>
      <c r="J240" s="5" t="str">
        <f>IFERROR(INDEX(Maestro_Equipos!$V$4:$V$247,MATCH($A240,Maestro_Equipos!$A$4:$A$247,0)),"")</f>
        <v>Fuera de Servicio</v>
      </c>
      <c r="K240" s="37">
        <f>IFERROR(
   SUMIFS(Mantenciones!$I:$I,Mantenciones!$B:$B,$A240)
 + SUMIFS('Compras PM'!$F:$F,'Compras PM'!$C:$C,$A240),0)</f>
        <v>63430.805899999999</v>
      </c>
      <c r="L240" s="30" t="str">
        <f t="shared" si="20"/>
        <v>NO PROGRAMAR</v>
      </c>
      <c r="M240" s="58" t="str" cm="1">
        <f t="array" ref="M240">IFERROR(_xlfn.AGGREGATE(14,6,Mantenciones!$A$2:$A$9997/(Mantenciones!$B$2:$B$9997=$A240),1),"")</f>
        <v/>
      </c>
      <c r="N240" s="31" cm="1">
        <f t="array" ref="N240">IFERROR(_xlfn.AGGREGATE(14,6,'Compras PM'!$A$4:$A$10014/('Compras PM'!$C$4:$C$10014=$A240),1),"")</f>
        <v>46093.460116550901</v>
      </c>
      <c r="O240" s="31" t="str">
        <f>IFERROR(VLOOKUP($A240,Maestro_Equipos!$A$4:$AG$247,27,FALSE()),"")</f>
        <v/>
      </c>
      <c r="P240" s="32">
        <f t="shared" ca="1" si="21"/>
        <v>51.539883449098852</v>
      </c>
      <c r="Q240" s="32" t="str">
        <f t="shared" ca="1" si="22"/>
        <v/>
      </c>
      <c r="R240" s="30" t="str">
        <f t="shared" si="23"/>
        <v>SIN SALIDA</v>
      </c>
      <c r="S240" s="33" t="str">
        <f>IFERROR(VLOOKUP($A240,Maestro_Equipos!$A$4:$AG$247,33,FALSE()),"")</f>
        <v>No programar compra</v>
      </c>
    </row>
    <row r="241" spans="1:19" ht="15.75" customHeight="1">
      <c r="A241" t="str" cm="1">
        <f t="array" ref="A241">IFERROR(INDEX(_xlfn._xlws.FILTER(Maestro_Equipos!$A$4:$A$247,Maestro_Equipos!$A$4:$A$247&lt;&gt;""),ROWS($A$4:A241)),"")</f>
        <v>MD-41</v>
      </c>
      <c r="B241" t="str">
        <f>IFERROR(_xlfn.XLOOKUP($A241,Maestro_Equipos!$A$4:$A$247,Maestro_Equipos!$B$4:$B$247,""),"")</f>
        <v>Rodillo</v>
      </c>
      <c r="C241" t="str">
        <f>IFERROR(_xlfn.XLOOKUP($A241,Maestro_Equipos!$A$4:$A$247,Maestro_Equipos!$C$4:$C$247,""),"")</f>
        <v>Maquinaria Pesada</v>
      </c>
      <c r="D241" t="str">
        <f>IFERROR(_xlfn.XLOOKUP($A241,Maestro_Equipos!$A:$A,Maestro_Equipos!$I:$I,""),"")</f>
        <v>HORAS</v>
      </c>
      <c r="E241">
        <f>IFERROR(IF($D241="KM",_xlfn.XLOOKUP($A241,Maestro_Equipos!$A:$A,Maestro_Equipos!$N:$N,""),_xlfn.XLOOKUP($A241,Maestro_Equipos!$A:$A,Maestro_Equipos!$M:$M,"")),"")</f>
        <v>7073</v>
      </c>
      <c r="F241" t="str">
        <f>IFERROR(_xlfn.XLOOKUP($A241,Maestro_Equipos!$A:$A,Maestro_Equipos!$R:$R,"")+_xlfn.XLOOKUP($A241,Maestro_Equipos!$A:$A,Maestro_Equipos!$J:$J,""),"")</f>
        <v/>
      </c>
      <c r="G241">
        <f>IFERROR(_xlfn.XLOOKUP($A241,Maestro_Equipos!$A:$A,Maestro_Equipos!$K:$K,""),"")</f>
        <v>1.4</v>
      </c>
      <c r="H241" t="str">
        <f t="shared" si="18"/>
        <v/>
      </c>
      <c r="I241" s="41" t="str">
        <f t="shared" ca="1" si="19"/>
        <v/>
      </c>
      <c r="J241" s="5" t="str">
        <f>IFERROR(INDEX(Maestro_Equipos!$V$4:$V$247,MATCH($A241,Maestro_Equipos!$A$4:$A$247,0)),"")</f>
        <v>Operativo</v>
      </c>
      <c r="K241" s="37">
        <f>IFERROR(
   SUMIFS(Mantenciones!$I:$I,Mantenciones!$B:$B,$A241)
 + SUMIFS('Compras PM'!$F:$F,'Compras PM'!$C:$C,$A241),0)</f>
        <v>0</v>
      </c>
      <c r="L241" s="30" t="str">
        <f t="shared" si="20"/>
        <v>SIN DATOS</v>
      </c>
      <c r="M241" s="58" t="str" cm="1">
        <f t="array" ref="M241">IFERROR(_xlfn.AGGREGATE(14,6,Mantenciones!$A$2:$A$9997/(Mantenciones!$B$2:$B$9997=$A241),1),"")</f>
        <v/>
      </c>
      <c r="N241" s="31" t="str" cm="1">
        <f t="array" ref="N241">IFERROR(_xlfn.AGGREGATE(14,6,'Compras PM'!$A$4:$A$10014/('Compras PM'!$C$4:$C$10014=$A241),1),"")</f>
        <v/>
      </c>
      <c r="O241" s="31">
        <f>IFERROR(VLOOKUP($A241,Maestro_Equipos!$A$4:$AG$247,27,FALSE()),"")</f>
        <v>46073</v>
      </c>
      <c r="P241" s="32" t="str">
        <f t="shared" ca="1" si="21"/>
        <v/>
      </c>
      <c r="Q241" s="32">
        <f t="shared" ca="1" si="22"/>
        <v>72</v>
      </c>
      <c r="R241" s="30" t="str">
        <f t="shared" si="23"/>
        <v>PENDIENTE</v>
      </c>
      <c r="S241" s="33" t="str">
        <f>IFERROR(VLOOKUP($A241,Maestro_Equipos!$A$4:$AG$247,33,FALSE()),"")</f>
        <v>Monitorear próximo vencimiento</v>
      </c>
    </row>
    <row r="242" spans="1:19" ht="15.75" customHeight="1">
      <c r="A242" t="str" cm="1">
        <f t="array" ref="A242">IFERROR(INDEX(_xlfn._xlws.FILTER(Maestro_Equipos!$A$4:$A$247,Maestro_Equipos!$A$4:$A$247&lt;&gt;""),ROWS($A$4:A242)),"")</f>
        <v>MD-76</v>
      </c>
      <c r="B242" t="str">
        <f>IFERROR(_xlfn.XLOOKUP($A242,Maestro_Equipos!$A$4:$A$247,Maestro_Equipos!$B$4:$B$247,""),"")</f>
        <v>Retroexcavadora</v>
      </c>
      <c r="C242" t="str">
        <f>IFERROR(_xlfn.XLOOKUP($A242,Maestro_Equipos!$A$4:$A$247,Maestro_Equipos!$C$4:$C$247,""),"")</f>
        <v>Maquinaria Pesada</v>
      </c>
      <c r="D242" t="str">
        <f>IFERROR(_xlfn.XLOOKUP($A242,Maestro_Equipos!$A:$A,Maestro_Equipos!$I:$I,""),"")</f>
        <v>HORAS</v>
      </c>
      <c r="E242">
        <f>IFERROR(IF($D242="KM",_xlfn.XLOOKUP($A242,Maestro_Equipos!$A:$A,Maestro_Equipos!$N:$N,""),_xlfn.XLOOKUP($A242,Maestro_Equipos!$A:$A,Maestro_Equipos!$M:$M,"")),"")</f>
        <v>8660</v>
      </c>
      <c r="F242">
        <f>IFERROR(_xlfn.XLOOKUP($A242,Maestro_Equipos!$A:$A,Maestro_Equipos!$R:$R,"")+_xlfn.XLOOKUP($A242,Maestro_Equipos!$A:$A,Maestro_Equipos!$J:$J,""),"")</f>
        <v>8955</v>
      </c>
      <c r="G242">
        <f>IFERROR(_xlfn.XLOOKUP($A242,Maestro_Equipos!$A:$A,Maestro_Equipos!$K:$K,""),"")</f>
        <v>2.4</v>
      </c>
      <c r="H242">
        <f t="shared" si="18"/>
        <v>123</v>
      </c>
      <c r="I242" s="41">
        <f t="shared" ca="1" si="19"/>
        <v>46268</v>
      </c>
      <c r="J242" s="5" t="str">
        <f>IFERROR(INDEX(Maestro_Equipos!$V$4:$V$247,MATCH($A242,Maestro_Equipos!$A$4:$A$247,0)),"")</f>
        <v>Operativo</v>
      </c>
      <c r="K242" s="37">
        <f>IFERROR(
   SUMIFS(Mantenciones!$I:$I,Mantenciones!$B:$B,$A242)
 + SUMIFS('Compras PM'!$F:$F,'Compras PM'!$C:$C,$A242),0)</f>
        <v>298436.53000000003</v>
      </c>
      <c r="L242" s="30" t="str">
        <f t="shared" si="20"/>
        <v>BAJA</v>
      </c>
      <c r="M242" s="58" cm="1">
        <f t="array" ref="M242">IFERROR(_xlfn.AGGREGATE(14,6,Mantenciones!$A$2:$A$9997/(Mantenciones!$B$2:$B$9997=$A242),1),"")</f>
        <v>46136</v>
      </c>
      <c r="N242" s="31" cm="1">
        <f t="array" ref="N242">IFERROR(_xlfn.AGGREGATE(14,6,'Compras PM'!$A$4:$A$10014/('Compras PM'!$C$4:$C$10014=$A242),1),"")</f>
        <v>46104.430481481497</v>
      </c>
      <c r="O242" s="31">
        <f>IFERROR(VLOOKUP($A242,Maestro_Equipos!$A$4:$AG$247,27,FALSE()),"")</f>
        <v>46090</v>
      </c>
      <c r="P242" s="32">
        <f t="shared" ca="1" si="21"/>
        <v>31.569518518503173</v>
      </c>
      <c r="Q242" s="32">
        <f t="shared" ca="1" si="22"/>
        <v>46</v>
      </c>
      <c r="R242" s="30" t="str">
        <f t="shared" si="23"/>
        <v>REALIZADA</v>
      </c>
      <c r="S242" s="33" t="str">
        <f>IFERROR(VLOOKUP($A242,Maestro_Equipos!$A$4:$AG$247,33,FALSE()),"")</f>
        <v>Monitorear próximo vencimiento</v>
      </c>
    </row>
    <row r="243" spans="1:19" ht="15.75" customHeight="1">
      <c r="A243" t="str" cm="1">
        <f t="array" ref="A243">IFERROR(INDEX(_xlfn._xlws.FILTER(Maestro_Equipos!$A$4:$A$247,Maestro_Equipos!$A$4:$A$247&lt;&gt;""),ROWS($A$4:A243)),"")</f>
        <v>MD-36</v>
      </c>
      <c r="B243" t="str">
        <f>IFERROR(_xlfn.XLOOKUP($A243,Maestro_Equipos!$A$4:$A$247,Maestro_Equipos!$B$4:$B$247,""),"")</f>
        <v>Cargador Frontal</v>
      </c>
      <c r="C243" t="str">
        <f>IFERROR(_xlfn.XLOOKUP($A243,Maestro_Equipos!$A$4:$A$247,Maestro_Equipos!$C$4:$C$247,""),"")</f>
        <v>Maquinaria Pesada</v>
      </c>
      <c r="D243" t="str">
        <f>IFERROR(_xlfn.XLOOKUP($A243,Maestro_Equipos!$A:$A,Maestro_Equipos!$I:$I,""),"")</f>
        <v>HORAS</v>
      </c>
      <c r="E243">
        <f>IFERROR(IF($D243="KM",_xlfn.XLOOKUP($A243,Maestro_Equipos!$A:$A,Maestro_Equipos!$N:$N,""),_xlfn.XLOOKUP($A243,Maestro_Equipos!$A:$A,Maestro_Equipos!$M:$M,"")),"")</f>
        <v>27779</v>
      </c>
      <c r="F243" t="str">
        <f>IFERROR(_xlfn.XLOOKUP($A243,Maestro_Equipos!$A:$A,Maestro_Equipos!$R:$R,"")+_xlfn.XLOOKUP($A243,Maestro_Equipos!$A:$A,Maestro_Equipos!$J:$J,""),"")</f>
        <v/>
      </c>
      <c r="G243">
        <f>IFERROR(_xlfn.XLOOKUP($A243,Maestro_Equipos!$A:$A,Maestro_Equipos!$K:$K,""),"")</f>
        <v>3.3</v>
      </c>
      <c r="H243" t="str">
        <f t="shared" si="18"/>
        <v/>
      </c>
      <c r="I243" s="41" t="str">
        <f t="shared" ca="1" si="19"/>
        <v/>
      </c>
      <c r="J243" s="5" t="str">
        <f>IFERROR(INDEX(Maestro_Equipos!$V$4:$V$247,MATCH($A243,Maestro_Equipos!$A$4:$A$247,0)),"")</f>
        <v>Taller</v>
      </c>
      <c r="K243" s="37">
        <f>IFERROR(
   SUMIFS(Mantenciones!$I:$I,Mantenciones!$B:$B,$A243)
 + SUMIFS('Compras PM'!$F:$F,'Compras PM'!$C:$C,$A243),0)</f>
        <v>634845.96</v>
      </c>
      <c r="L243" s="30" t="str">
        <f t="shared" si="20"/>
        <v>SIN DATOS</v>
      </c>
      <c r="M243" s="58" t="str" cm="1">
        <f t="array" ref="M243">IFERROR(_xlfn.AGGREGATE(14,6,Mantenciones!$A$2:$A$9997/(Mantenciones!$B$2:$B$9997=$A243),1),"")</f>
        <v/>
      </c>
      <c r="N243" s="31" cm="1">
        <f t="array" ref="N243">IFERROR(_xlfn.AGGREGATE(14,6,'Compras PM'!$A$4:$A$10014/('Compras PM'!$C$4:$C$10014=$A243),1),"")</f>
        <v>46118.4804357986</v>
      </c>
      <c r="O243" s="31" t="str">
        <f>IFERROR(VLOOKUP($A243,Maestro_Equipos!$A$4:$AG$247,27,FALSE()),"")</f>
        <v/>
      </c>
      <c r="P243" s="32">
        <f t="shared" ca="1" si="21"/>
        <v>26.519564201400499</v>
      </c>
      <c r="Q243" s="32" t="str">
        <f t="shared" ca="1" si="22"/>
        <v/>
      </c>
      <c r="R243" s="30" t="str">
        <f t="shared" si="23"/>
        <v>SIN SALIDA</v>
      </c>
      <c r="S243" s="33" t="str">
        <f>IFERROR(VLOOKUP($A243,Maestro_Equipos!$A$4:$AG$247,33,FALSE()),"")</f>
        <v>Monitorear próximo vencimiento</v>
      </c>
    </row>
    <row r="244" spans="1:19" ht="15.75" customHeight="1">
      <c r="A244" t="str" cm="1">
        <f t="array" ref="A244">IFERROR(INDEX(_xlfn._xlws.FILTER(Maestro_Equipos!$A$4:$A$247,Maestro_Equipos!$A$4:$A$247&lt;&gt;""),ROWS($A$4:A244)),"")</f>
        <v>MD-45</v>
      </c>
      <c r="B244" t="str">
        <f>IFERROR(_xlfn.XLOOKUP($A244,Maestro_Equipos!$A$4:$A$247,Maestro_Equipos!$B$4:$B$247,""),"")</f>
        <v>Cargador Frontal</v>
      </c>
      <c r="C244" t="str">
        <f>IFERROR(_xlfn.XLOOKUP($A244,Maestro_Equipos!$A$4:$A$247,Maestro_Equipos!$C$4:$C$247,""),"")</f>
        <v>Maquinaria Pesada</v>
      </c>
      <c r="D244" t="str">
        <f>IFERROR(_xlfn.XLOOKUP($A244,Maestro_Equipos!$A:$A,Maestro_Equipos!$I:$I,""),"")</f>
        <v>HORAS</v>
      </c>
      <c r="E244">
        <f>IFERROR(IF($D244="KM",_xlfn.XLOOKUP($A244,Maestro_Equipos!$A:$A,Maestro_Equipos!$N:$N,""),_xlfn.XLOOKUP($A244,Maestro_Equipos!$A:$A,Maestro_Equipos!$M:$M,"")),"")</f>
        <v>26059</v>
      </c>
      <c r="F244" t="str">
        <f>IFERROR(_xlfn.XLOOKUP($A244,Maestro_Equipos!$A:$A,Maestro_Equipos!$R:$R,"")+_xlfn.XLOOKUP($A244,Maestro_Equipos!$A:$A,Maestro_Equipos!$J:$J,""),"")</f>
        <v/>
      </c>
      <c r="G244">
        <f>IFERROR(_xlfn.XLOOKUP($A244,Maestro_Equipos!$A:$A,Maestro_Equipos!$K:$K,""),"")</f>
        <v>2</v>
      </c>
      <c r="H244" t="str">
        <f t="shared" si="18"/>
        <v/>
      </c>
      <c r="I244" s="41" t="str">
        <f t="shared" ca="1" si="19"/>
        <v/>
      </c>
      <c r="J244" s="5" t="str">
        <f>IFERROR(INDEX(Maestro_Equipos!$V$4:$V$247,MATCH($A244,Maestro_Equipos!$A$4:$A$247,0)),"")</f>
        <v>Operativo</v>
      </c>
      <c r="K244" s="37">
        <f>IFERROR(
   SUMIFS(Mantenciones!$I:$I,Mantenciones!$B:$B,$A244)
 + SUMIFS('Compras PM'!$F:$F,'Compras PM'!$C:$C,$A244),0)</f>
        <v>0</v>
      </c>
      <c r="L244" s="30" t="str">
        <f t="shared" si="20"/>
        <v>SIN DATOS</v>
      </c>
      <c r="M244" s="58" t="str" cm="1">
        <f t="array" ref="M244">IFERROR(_xlfn.AGGREGATE(14,6,Mantenciones!$A$2:$A$9997/(Mantenciones!$B$2:$B$9997=$A244),1),"")</f>
        <v/>
      </c>
      <c r="N244" s="31" t="str" cm="1">
        <f t="array" ref="N244">IFERROR(_xlfn.AGGREGATE(14,6,'Compras PM'!$A$4:$A$10014/('Compras PM'!$C$4:$C$10014=$A244),1),"")</f>
        <v/>
      </c>
      <c r="O244" s="31">
        <f>IFERROR(VLOOKUP($A244,Maestro_Equipos!$A$4:$AG$247,27,FALSE()),"")</f>
        <v>46073</v>
      </c>
      <c r="P244" s="32" t="str">
        <f t="shared" ca="1" si="21"/>
        <v/>
      </c>
      <c r="Q244" s="32">
        <f t="shared" ca="1" si="22"/>
        <v>72</v>
      </c>
      <c r="R244" s="30" t="str">
        <f t="shared" si="23"/>
        <v>PENDIENTE</v>
      </c>
      <c r="S244" s="33" t="str">
        <f>IFERROR(VLOOKUP($A244,Maestro_Equipos!$A$4:$AG$247,33,FALSE()),"")</f>
        <v>Monitorear próximo vencimiento</v>
      </c>
    </row>
    <row r="245" spans="1:19" ht="15.75" customHeight="1">
      <c r="A245" t="str" cm="1">
        <f t="array" ref="A245">IFERROR(INDEX(_xlfn._xlws.FILTER(Maestro_Equipos!$A$4:$A$247,Maestro_Equipos!$A$4:$A$247&lt;&gt;""),ROWS($A$4:A245)),"")</f>
        <v>MD-61</v>
      </c>
      <c r="B245" t="str">
        <f>IFERROR(_xlfn.XLOOKUP($A245,Maestro_Equipos!$A$4:$A$247,Maestro_Equipos!$B$4:$B$247,""),"")</f>
        <v>Excavadora</v>
      </c>
      <c r="C245" t="str">
        <f>IFERROR(_xlfn.XLOOKUP($A245,Maestro_Equipos!$A$4:$A$247,Maestro_Equipos!$C$4:$C$247,""),"")</f>
        <v>Maquinaria Pesada</v>
      </c>
      <c r="D245" t="str">
        <f>IFERROR(_xlfn.XLOOKUP($A245,Maestro_Equipos!$A:$A,Maestro_Equipos!$I:$I,""),"")</f>
        <v>HORAS</v>
      </c>
      <c r="E245">
        <f>IFERROR(IF($D245="KM",_xlfn.XLOOKUP($A245,Maestro_Equipos!$A:$A,Maestro_Equipos!$N:$N,""),_xlfn.XLOOKUP($A245,Maestro_Equipos!$A:$A,Maestro_Equipos!$M:$M,"")),"")</f>
        <v>16889</v>
      </c>
      <c r="F245" t="str">
        <f>IFERROR(_xlfn.XLOOKUP($A245,Maestro_Equipos!$A:$A,Maestro_Equipos!$R:$R,"")+_xlfn.XLOOKUP($A245,Maestro_Equipos!$A:$A,Maestro_Equipos!$J:$J,""),"")</f>
        <v/>
      </c>
      <c r="G245">
        <f>IFERROR(_xlfn.XLOOKUP($A245,Maestro_Equipos!$A:$A,Maestro_Equipos!$K:$K,""),"")</f>
        <v>1.6</v>
      </c>
      <c r="H245" t="str">
        <f t="shared" si="18"/>
        <v/>
      </c>
      <c r="I245" s="41" t="str">
        <f t="shared" ca="1" si="19"/>
        <v/>
      </c>
      <c r="J245" s="5" t="str">
        <f>IFERROR(INDEX(Maestro_Equipos!$V$4:$V$247,MATCH($A245,Maestro_Equipos!$A$4:$A$247,0)),"")</f>
        <v>Operativo</v>
      </c>
      <c r="K245" s="37">
        <f>IFERROR(
   SUMIFS(Mantenciones!$I:$I,Mantenciones!$B:$B,$A245)
 + SUMIFS('Compras PM'!$F:$F,'Compras PM'!$C:$C,$A245),0)</f>
        <v>115923.85</v>
      </c>
      <c r="L245" s="30" t="str">
        <f t="shared" si="20"/>
        <v>SIN DATOS</v>
      </c>
      <c r="M245" s="58" t="str" cm="1">
        <f t="array" ref="M245">IFERROR(_xlfn.AGGREGATE(14,6,Mantenciones!$A$2:$A$9997/(Mantenciones!$B$2:$B$9997=$A245),1),"")</f>
        <v/>
      </c>
      <c r="N245" s="31" cm="1">
        <f t="array" ref="N245">IFERROR(_xlfn.AGGREGATE(14,6,'Compras PM'!$A$4:$A$10014/('Compras PM'!$C$4:$C$10014=$A245),1),"")</f>
        <v>46084.6612838773</v>
      </c>
      <c r="O245" s="31">
        <f>IFERROR(VLOOKUP($A245,Maestro_Equipos!$A$4:$AG$247,27,FALSE()),"")</f>
        <v>46087</v>
      </c>
      <c r="P245" s="32">
        <f t="shared" ca="1" si="21"/>
        <v>60.338716122700134</v>
      </c>
      <c r="Q245" s="32">
        <f t="shared" ca="1" si="22"/>
        <v>58</v>
      </c>
      <c r="R245" s="30" t="str">
        <f t="shared" si="23"/>
        <v>PENDIENTE</v>
      </c>
      <c r="S245" s="33" t="str">
        <f>IFERROR(VLOOKUP($A245,Maestro_Equipos!$A$4:$AG$247,33,FALSE()),"")</f>
        <v>Monitorear próximo vencimiento</v>
      </c>
    </row>
    <row r="246" spans="1:19" ht="15.75" hidden="1" customHeight="1">
      <c r="A246" t="str" cm="1">
        <f t="array" ref="A246">IFERROR(INDEX(_xlfn._xlws.FILTER(Maestro_Equipos!$A$4:$A$247,Maestro_Equipos!$A$4:$A$247&lt;&gt;""),ROWS($A$4:A246)),"")</f>
        <v>CD-138</v>
      </c>
      <c r="B246" t="str">
        <f>IFERROR(_xlfn.XLOOKUP($A246,Maestro_Equipos!$A$4:$A$247,Maestro_Equipos!$B$4:$B$247,""),"")</f>
        <v>Camion Imprimador</v>
      </c>
      <c r="C246" t="str">
        <f>IFERROR(_xlfn.XLOOKUP($A246,Maestro_Equipos!$A$4:$A$247,Maestro_Equipos!$C$4:$C$247,""),"")</f>
        <v>Maquinaria Pesada</v>
      </c>
      <c r="D246" t="str">
        <f>IFERROR(VLOOKUP($A243,Maestro_Equipos!$A$4:$Z$247,9,FALSE),"")</f>
        <v>HORAS</v>
      </c>
      <c r="E246">
        <f>IFERROR(IF($D246="KM",_xlfn.XLOOKUP($A246,Maestro_Equipos!$A:$A,Maestro_Equipos!$N:$N,""),_xlfn.XLOOKUP($A246,Maestro_Equipos!$A:$A,Maestro_Equipos!$M:$M,"")),"")</f>
        <v>26470</v>
      </c>
      <c r="F246" t="str">
        <f>IFERROR(_xlfn.XLOOKUP($A246,Maestro_Equipos!$A:$A,Maestro_Equipos!$R:$R,"")+_xlfn.XLOOKUP($A246,Maestro_Equipos!$A:$A,Maestro_Equipos!$J:$J,""),"")</f>
        <v/>
      </c>
      <c r="G246">
        <f>IFERROR(_xlfn.XLOOKUP($A246,Maestro_Equipos!$A:$A,Maestro_Equipos!$K:$K,""),"")</f>
        <v>1</v>
      </c>
      <c r="H246" t="str">
        <f t="shared" ref="H246:H247" si="24">IFERROR(IF(OR($E246="",$F246="",$G246="",$G246&lt;=0),"",ROUND(($F246-$E246)/$G246,0)),"")</f>
        <v/>
      </c>
      <c r="I246" s="41" t="str">
        <f t="shared" ref="I246:I247" ca="1" si="25">IFERROR(IF($H246="","",TODAY()+$H246),"")</f>
        <v/>
      </c>
      <c r="J246" s="5" t="str">
        <f>IFERROR(INDEX(Maestro_Equipos!$V$4:$V$247,MATCH($A246,Maestro_Equipos!$A$4:$A$247,0)),"")</f>
        <v>Fuera de Servicio</v>
      </c>
      <c r="K246" s="37">
        <f>IFERROR(
   SUMIFS(Mantenciones!$I:$I,Mantenciones!$B:$B,$A246)
 + SUMIFS('Compras PM'!$F:$F,'Compras PM'!$C:$C,$A246),0)</f>
        <v>305483.71000000002</v>
      </c>
      <c r="L246" s="30" t="str">
        <f t="shared" ref="L246:L247" si="26">IF($J246="Fuera de Servicio","NO PROGRAMAR",IF($H246="","SIN DATOS",IF($H246&lt;=0,"VENCIDA",IF($H246&lt;=7,"CRÍTICA",IF($H246&lt;=15,"ALTA",IF($H246&lt;=30,"MEDIA","BAJA"))))))</f>
        <v>NO PROGRAMAR</v>
      </c>
      <c r="M246" s="58" t="str" cm="1">
        <f t="array" ref="M246">IFERROR(_xlfn.AGGREGATE(14,6,Mantenciones!$A$2:$A$9997/(Mantenciones!$B$2:$B$9997=$A246),1),"")</f>
        <v/>
      </c>
      <c r="N246" s="31" cm="1">
        <f t="array" ref="N246">IFERROR(_xlfn.AGGREGATE(14,6,'Compras PM'!$A$4:$A$10014/('Compras PM'!$C$4:$C$10014=$A246),1),"")</f>
        <v>46104.734478391198</v>
      </c>
      <c r="O246" s="31" t="str">
        <f>IFERROR(VLOOKUP($A246,Maestro_Equipos!$A$4:$AG$247,27,FALSE()),"")</f>
        <v/>
      </c>
      <c r="P246" s="32">
        <f t="shared" ref="P246:P247" ca="1" si="27">IFERROR(IF($N246="","",IF(OR($M246="",$M246&lt;$N246),TODAY()-$N246,$M246-$N246)),"")</f>
        <v>40.265521608802374</v>
      </c>
      <c r="Q246" s="32" t="str">
        <f t="shared" ref="Q246:Q247" ca="1" si="28">IFERROR(IF($O246="","",IF(OR($M246="",$M246&lt;$O246),TODAY()-$O246,$M246-$O246)),"")</f>
        <v/>
      </c>
      <c r="R246" s="30" t="str">
        <f t="shared" ref="R246:R247" si="29">IF($O246="","SIN SALIDA",IF(OR($M246="",$M246&lt;$O246),"PENDIENTE","REALIZADA"))</f>
        <v>SIN SALIDA</v>
      </c>
      <c r="S246" s="33" t="str">
        <f>IFERROR(VLOOKUP($A246,Maestro_Equipos!$A$4:$AG$247,33,FALSE()),"")</f>
        <v>No programar compra</v>
      </c>
    </row>
    <row r="247" spans="1:19" ht="15.75" hidden="1" customHeight="1">
      <c r="A247" t="str" cm="1">
        <f t="array" ref="A247">IFERROR(INDEX(_xlfn._xlws.FILTER(Maestro_Equipos!$A$4:$A$247,Maestro_Equipos!$A$4:$A$247&lt;&gt;""),ROWS($A$4:A247)),"")</f>
        <v>CD-99</v>
      </c>
      <c r="B247" t="str">
        <f>IFERROR(_xlfn.XLOOKUP($A247,Maestro_Equipos!$A$4:$A$247,Maestro_Equipos!$B$4:$B$247,""),"")</f>
        <v>Camión Aljibe</v>
      </c>
      <c r="C247" t="str">
        <f>IFERROR(_xlfn.XLOOKUP($A247,Maestro_Equipos!$A$4:$A$247,Maestro_Equipos!$C$4:$C$247,""),"")</f>
        <v>Camiones de Ruta</v>
      </c>
      <c r="D247" t="str">
        <f>IFERROR(VLOOKUP($A244,Maestro_Equipos!$A$4:$Z$247,9,FALSE),"")</f>
        <v>HORAS</v>
      </c>
      <c r="E247">
        <f>IFERROR(IF($D247="KM",_xlfn.XLOOKUP($A247,Maestro_Equipos!$A:$A,Maestro_Equipos!$N:$N,""),_xlfn.XLOOKUP($A247,Maestro_Equipos!$A:$A,Maestro_Equipos!$M:$M,"")),"")</f>
        <v>13594</v>
      </c>
      <c r="F247" t="str">
        <f>IFERROR(_xlfn.XLOOKUP($A247,Maestro_Equipos!$A:$A,Maestro_Equipos!$R:$R,"")+_xlfn.XLOOKUP($A247,Maestro_Equipos!$A:$A,Maestro_Equipos!$J:$J,""),"")</f>
        <v/>
      </c>
      <c r="G247">
        <f>IFERROR(_xlfn.XLOOKUP($A247,Maestro_Equipos!$A:$A,Maestro_Equipos!$K:$K,""),"")</f>
        <v>0.2</v>
      </c>
      <c r="H247" t="str">
        <f t="shared" si="24"/>
        <v/>
      </c>
      <c r="I247" s="41" t="str">
        <f t="shared" ca="1" si="25"/>
        <v/>
      </c>
      <c r="J247" s="5" t="str">
        <f>IFERROR(INDEX(Maestro_Equipos!$V$4:$V$247,MATCH($A247,Maestro_Equipos!$A$4:$A$247,0)),"")</f>
        <v>Fuera de Servicio</v>
      </c>
      <c r="K247" s="37">
        <f>IFERROR(
   SUMIFS(Mantenciones!$I:$I,Mantenciones!$B:$B,$A247)
 + SUMIFS('Compras PM'!$F:$F,'Compras PM'!$C:$C,$A247),0)</f>
        <v>0</v>
      </c>
      <c r="L247" s="30" t="str">
        <f t="shared" si="26"/>
        <v>NO PROGRAMAR</v>
      </c>
      <c r="M247" s="58" t="str" cm="1">
        <f t="array" ref="M247">IFERROR(_xlfn.AGGREGATE(14,6,Mantenciones!$A$2:$A$9997/(Mantenciones!$B$2:$B$9997=$A247),1),"")</f>
        <v/>
      </c>
      <c r="N247" s="31" t="str" cm="1">
        <f t="array" ref="N247">IFERROR(_xlfn.AGGREGATE(14,6,'Compras PM'!$A$4:$A$10014/('Compras PM'!$C$4:$C$10014=$A247),1),"")</f>
        <v/>
      </c>
      <c r="O247" s="31" t="str">
        <f>IFERROR(VLOOKUP($A247,Maestro_Equipos!$A$4:$AG$247,27,FALSE()),"")</f>
        <v/>
      </c>
      <c r="P247" s="32" t="str">
        <f t="shared" ca="1" si="27"/>
        <v/>
      </c>
      <c r="Q247" s="32" t="str">
        <f t="shared" ca="1" si="28"/>
        <v/>
      </c>
      <c r="R247" s="30" t="str">
        <f t="shared" si="29"/>
        <v>SIN SALIDA</v>
      </c>
      <c r="S247" s="33" t="str">
        <f>IFERROR(VLOOKUP($A247,Maestro_Equipos!$A$4:$AG$247,33,FALSE()),"")</f>
        <v>No programar compra</v>
      </c>
    </row>
  </sheetData>
  <mergeCells count="2">
    <mergeCell ref="A1:S1"/>
    <mergeCell ref="A2:S2"/>
  </mergeCells>
  <conditionalFormatting sqref="A1:A244 A248:A1048567">
    <cfRule type="expression" dxfId="10" priority="2">
      <formula>$W4="AL DÍA"</formula>
    </cfRule>
  </conditionalFormatting>
  <conditionalFormatting sqref="A245:A247">
    <cfRule type="expression" dxfId="9" priority="13">
      <formula>#REF!="AL DÍA"</formula>
    </cfRule>
  </conditionalFormatting>
  <conditionalFormatting sqref="A1048568:A1048576">
    <cfRule type="expression" dxfId="8" priority="11">
      <formula>$W1="AL DÍA"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G253"/>
  <sheetViews>
    <sheetView zoomScaleNormal="100" workbookViewId="0">
      <pane ySplit="3" topLeftCell="A13" activePane="bottomLeft" state="frozen"/>
      <selection pane="bottomLeft" activeCell="E58" sqref="E58"/>
    </sheetView>
  </sheetViews>
  <sheetFormatPr baseColWidth="10" defaultColWidth="9.140625" defaultRowHeight="15" customHeight="1"/>
  <cols>
    <col min="1" max="1" width="12" customWidth="1"/>
    <col min="2" max="2" width="15" customWidth="1"/>
    <col min="3" max="3" width="17.85546875" customWidth="1"/>
    <col min="4" max="4" width="16.85546875" customWidth="1"/>
    <col min="5" max="5" width="16.42578125" customWidth="1"/>
    <col min="6" max="6" width="18.140625" customWidth="1"/>
    <col min="7" max="7" width="14" customWidth="1"/>
  </cols>
  <sheetData>
    <row r="3" spans="1:7" ht="15" customHeight="1">
      <c r="A3" s="16" t="s">
        <v>1</v>
      </c>
      <c r="B3" s="16" t="s">
        <v>2</v>
      </c>
      <c r="C3" s="16" t="s">
        <v>1043</v>
      </c>
      <c r="D3" s="16" t="s">
        <v>1110</v>
      </c>
      <c r="E3" s="16" t="s">
        <v>1109</v>
      </c>
      <c r="F3" s="16" t="s">
        <v>696</v>
      </c>
      <c r="G3" s="16" t="s">
        <v>1117</v>
      </c>
    </row>
    <row r="4" spans="1:7">
      <c r="A4" t="str">
        <f>Plan_Mantenciones!A56</f>
        <v>ED-67</v>
      </c>
      <c r="B4" t="str">
        <f>Plan_Mantenciones!B56</f>
        <v>Imprimador</v>
      </c>
      <c r="C4" t="str">
        <f>Plan_Mantenciones!C56</f>
        <v>Maquinaria Pesada</v>
      </c>
      <c r="D4" s="13" t="str">
        <f ca="1">Plan_Mantenciones!I56</f>
        <v/>
      </c>
      <c r="E4" t="str">
        <f>Plan_Mantenciones!H56</f>
        <v/>
      </c>
      <c r="F4" t="str">
        <f>Plan_Mantenciones!J56</f>
        <v>Operativo</v>
      </c>
      <c r="G4" t="str">
        <f t="shared" ref="G4:G67" si="0">IF(AND(ISNUMBER(E4),E4&gt;=0,E4&lt;=90),"Sí","No")</f>
        <v>No</v>
      </c>
    </row>
    <row r="5" spans="1:7" hidden="1">
      <c r="A5" t="str">
        <f>Plan_Mantenciones!A75</f>
        <v>MD-77</v>
      </c>
      <c r="B5" t="str">
        <f>Plan_Mantenciones!B75</f>
        <v>Motoniveladora</v>
      </c>
      <c r="C5" t="str">
        <f>Plan_Mantenciones!C75</f>
        <v>Maquinaria Pesada</v>
      </c>
      <c r="D5" s="13" t="str">
        <f ca="1">Plan_Mantenciones!I75</f>
        <v/>
      </c>
      <c r="E5" t="str">
        <f>Plan_Mantenciones!H75</f>
        <v/>
      </c>
      <c r="F5" t="str">
        <f>Plan_Mantenciones!J75</f>
        <v>Fuera de Servicio</v>
      </c>
      <c r="G5" t="str">
        <f t="shared" si="0"/>
        <v>No</v>
      </c>
    </row>
    <row r="6" spans="1:7">
      <c r="A6" t="str">
        <f>Plan_Mantenciones!A83</f>
        <v>VD-45</v>
      </c>
      <c r="B6" t="str">
        <f>Plan_Mantenciones!B83</f>
        <v>Minibus</v>
      </c>
      <c r="C6" t="str">
        <f>Plan_Mantenciones!C83</f>
        <v>Vehículos Livianos</v>
      </c>
      <c r="D6" s="13" t="str">
        <f ca="1">Plan_Mantenciones!I83</f>
        <v/>
      </c>
      <c r="E6" t="str">
        <f>Plan_Mantenciones!H83</f>
        <v/>
      </c>
      <c r="F6" t="str">
        <f>Plan_Mantenciones!J83</f>
        <v>Operativo</v>
      </c>
      <c r="G6" t="str">
        <f t="shared" si="0"/>
        <v>No</v>
      </c>
    </row>
    <row r="7" spans="1:7">
      <c r="A7" t="str">
        <f>Plan_Mantenciones!A106</f>
        <v>VD-85</v>
      </c>
      <c r="B7" t="str">
        <f>Plan_Mantenciones!B106</f>
        <v>Furgon</v>
      </c>
      <c r="C7" t="str">
        <f>Plan_Mantenciones!C106</f>
        <v>Vehículos Livianos</v>
      </c>
      <c r="D7" s="13">
        <f ca="1">Plan_Mantenciones!I106</f>
        <v>46574</v>
      </c>
      <c r="E7">
        <f>Plan_Mantenciones!H106</f>
        <v>429</v>
      </c>
      <c r="F7" t="str">
        <f>Plan_Mantenciones!J106</f>
        <v>Operativo</v>
      </c>
      <c r="G7" t="str">
        <f t="shared" si="0"/>
        <v>No</v>
      </c>
    </row>
    <row r="8" spans="1:7">
      <c r="A8" t="str">
        <f>Plan_Mantenciones!A118</f>
        <v>VD-90</v>
      </c>
      <c r="B8" t="str">
        <f>Plan_Mantenciones!B118</f>
        <v>Camioneta</v>
      </c>
      <c r="C8" t="str">
        <f>Plan_Mantenciones!C118</f>
        <v>Vehículos Livianos</v>
      </c>
      <c r="D8" s="13">
        <f ca="1">Plan_Mantenciones!I118</f>
        <v>46236</v>
      </c>
      <c r="E8">
        <f>Plan_Mantenciones!H118</f>
        <v>91</v>
      </c>
      <c r="F8" t="str">
        <f>Plan_Mantenciones!J118</f>
        <v>Operativo</v>
      </c>
      <c r="G8" t="str">
        <f t="shared" si="0"/>
        <v>No</v>
      </c>
    </row>
    <row r="9" spans="1:7">
      <c r="A9" t="str">
        <f>Plan_Mantenciones!A140</f>
        <v>MD-26</v>
      </c>
      <c r="B9" t="str">
        <f>Plan_Mantenciones!B140</f>
        <v>Motoniveladora</v>
      </c>
      <c r="C9" t="str">
        <f>Plan_Mantenciones!C140</f>
        <v>Maquinaria Pesada</v>
      </c>
      <c r="D9" s="13">
        <f ca="1">Plan_Mantenciones!I140</f>
        <v>46208</v>
      </c>
      <c r="E9">
        <f>Plan_Mantenciones!H140</f>
        <v>63</v>
      </c>
      <c r="F9" t="str">
        <f>Plan_Mantenciones!J140</f>
        <v>Operativo</v>
      </c>
      <c r="G9" t="str">
        <f t="shared" si="0"/>
        <v>Sí</v>
      </c>
    </row>
    <row r="10" spans="1:7">
      <c r="A10" t="str">
        <f>Plan_Mantenciones!A141</f>
        <v>VD-102</v>
      </c>
      <c r="B10" t="str">
        <f>Plan_Mantenciones!B141</f>
        <v>Camioneta</v>
      </c>
      <c r="C10" t="str">
        <f>Plan_Mantenciones!C141</f>
        <v>Vehículos Livianos</v>
      </c>
      <c r="D10" s="13">
        <f ca="1">Plan_Mantenciones!I141</f>
        <v>46204</v>
      </c>
      <c r="E10">
        <f>Plan_Mantenciones!H141</f>
        <v>59</v>
      </c>
      <c r="F10" t="str">
        <f>Plan_Mantenciones!J141</f>
        <v>Operativo</v>
      </c>
      <c r="G10" t="str">
        <f t="shared" si="0"/>
        <v>Sí</v>
      </c>
    </row>
    <row r="11" spans="1:7">
      <c r="A11" t="str">
        <f>Plan_Mantenciones!A142</f>
        <v>VD-140</v>
      </c>
      <c r="B11" t="str">
        <f>Plan_Mantenciones!B142</f>
        <v>Camioneta</v>
      </c>
      <c r="C11" t="str">
        <f>Plan_Mantenciones!C142</f>
        <v>Vehículos Livianos</v>
      </c>
      <c r="D11" s="13">
        <f ca="1">Plan_Mantenciones!I142</f>
        <v>46190</v>
      </c>
      <c r="E11">
        <f>Plan_Mantenciones!H142</f>
        <v>45</v>
      </c>
      <c r="F11" t="str">
        <f>Plan_Mantenciones!J142</f>
        <v>Operativo</v>
      </c>
      <c r="G11" t="str">
        <f t="shared" si="0"/>
        <v>Sí</v>
      </c>
    </row>
    <row r="12" spans="1:7">
      <c r="A12" t="str">
        <f>Plan_Mantenciones!A74</f>
        <v>MD-64</v>
      </c>
      <c r="B12" t="str">
        <f>Plan_Mantenciones!B74</f>
        <v>Retroexcavadora</v>
      </c>
      <c r="C12" t="str">
        <f>Plan_Mantenciones!C74</f>
        <v>Maquinaria Pesada</v>
      </c>
      <c r="D12" s="13" t="str">
        <f ca="1">Plan_Mantenciones!I74</f>
        <v/>
      </c>
      <c r="E12" t="str">
        <f>Plan_Mantenciones!H74</f>
        <v/>
      </c>
      <c r="F12" t="str">
        <f>Plan_Mantenciones!J74</f>
        <v>Operativo</v>
      </c>
      <c r="G12" t="str">
        <f t="shared" si="0"/>
        <v>No</v>
      </c>
    </row>
    <row r="13" spans="1:7">
      <c r="A13" t="str">
        <f>Plan_Mantenciones!A97</f>
        <v>WED-06</v>
      </c>
      <c r="B13" t="str">
        <f>Plan_Mantenciones!B97</f>
        <v>Semiremolque</v>
      </c>
      <c r="C13" t="str">
        <f>Plan_Mantenciones!C97</f>
        <v>Maquinaria Pesada</v>
      </c>
      <c r="D13" s="13" t="str">
        <f ca="1">Plan_Mantenciones!I97</f>
        <v/>
      </c>
      <c r="E13" t="str">
        <f>Plan_Mantenciones!H97</f>
        <v/>
      </c>
      <c r="F13" t="str">
        <f>Plan_Mantenciones!J97</f>
        <v>Operativo</v>
      </c>
      <c r="G13" t="str">
        <f t="shared" si="0"/>
        <v>No</v>
      </c>
    </row>
    <row r="14" spans="1:7">
      <c r="A14" t="str">
        <f>Plan_Mantenciones!A98</f>
        <v>WED-07</v>
      </c>
      <c r="B14" t="str">
        <f>Plan_Mantenciones!B98</f>
        <v>Semiremolque</v>
      </c>
      <c r="C14" t="str">
        <f>Plan_Mantenciones!C98</f>
        <v>Maquinaria Pesada</v>
      </c>
      <c r="D14" s="13" t="str">
        <f ca="1">Plan_Mantenciones!I98</f>
        <v/>
      </c>
      <c r="E14" t="str">
        <f>Plan_Mantenciones!H98</f>
        <v/>
      </c>
      <c r="F14" t="str">
        <f>Plan_Mantenciones!J98</f>
        <v>Operativo</v>
      </c>
      <c r="G14" t="str">
        <f t="shared" si="0"/>
        <v>No</v>
      </c>
    </row>
    <row r="15" spans="1:7">
      <c r="A15" t="str">
        <f>Plan_Mantenciones!A99</f>
        <v>WED-08</v>
      </c>
      <c r="B15" t="str">
        <f>Plan_Mantenciones!B99</f>
        <v>Semiremolque</v>
      </c>
      <c r="C15" t="str">
        <f>Plan_Mantenciones!C99</f>
        <v>Maquinaria Pesada</v>
      </c>
      <c r="D15" s="13" t="str">
        <f ca="1">Plan_Mantenciones!I99</f>
        <v/>
      </c>
      <c r="E15" t="str">
        <f>Plan_Mantenciones!H99</f>
        <v/>
      </c>
      <c r="F15" t="str">
        <f>Plan_Mantenciones!J99</f>
        <v>Operativo</v>
      </c>
      <c r="G15" t="str">
        <f t="shared" si="0"/>
        <v>No</v>
      </c>
    </row>
    <row r="16" spans="1:7">
      <c r="A16" t="str">
        <f>Plan_Mantenciones!A120</f>
        <v>VD-112</v>
      </c>
      <c r="B16" t="str">
        <f>Plan_Mantenciones!B120</f>
        <v>Camioneta</v>
      </c>
      <c r="C16" t="str">
        <f>Plan_Mantenciones!C120</f>
        <v>Vehículos Livianos</v>
      </c>
      <c r="D16" s="13">
        <f ca="1">Plan_Mantenciones!I120</f>
        <v>46256</v>
      </c>
      <c r="E16">
        <f>Plan_Mantenciones!H120</f>
        <v>111</v>
      </c>
      <c r="F16" t="str">
        <f>Plan_Mantenciones!J120</f>
        <v>Operativo</v>
      </c>
      <c r="G16" t="str">
        <f t="shared" si="0"/>
        <v>No</v>
      </c>
    </row>
    <row r="17" spans="1:7">
      <c r="A17" t="str">
        <f>Plan_Mantenciones!A20</f>
        <v>CD-134</v>
      </c>
      <c r="B17" t="str">
        <f>Plan_Mantenciones!B20</f>
        <v>Camión Plano</v>
      </c>
      <c r="C17" t="str">
        <f>Plan_Mantenciones!C20</f>
        <v>Camiones de Ruta</v>
      </c>
      <c r="D17" s="13" t="str">
        <f ca="1">Plan_Mantenciones!I20</f>
        <v/>
      </c>
      <c r="E17" t="str">
        <f>Plan_Mantenciones!H20</f>
        <v/>
      </c>
      <c r="F17" t="str">
        <f>Plan_Mantenciones!J20</f>
        <v>Operativo</v>
      </c>
      <c r="G17" t="str">
        <f t="shared" si="0"/>
        <v>No</v>
      </c>
    </row>
    <row r="18" spans="1:7" hidden="1">
      <c r="A18" t="str">
        <f>Plan_Mantenciones!A49</f>
        <v>CD-74</v>
      </c>
      <c r="B18" t="str">
        <f>Plan_Mantenciones!B49</f>
        <v>Tracto Camión</v>
      </c>
      <c r="C18" t="str">
        <f>Plan_Mantenciones!C49</f>
        <v>Camiones de Ruta</v>
      </c>
      <c r="D18" s="13" t="str">
        <f ca="1">Plan_Mantenciones!I49</f>
        <v/>
      </c>
      <c r="E18" t="str">
        <f>Plan_Mantenciones!H49</f>
        <v/>
      </c>
      <c r="F18" t="str">
        <f>Plan_Mantenciones!J49</f>
        <v>Fuera de Servicio</v>
      </c>
      <c r="G18" t="str">
        <f t="shared" si="0"/>
        <v>No</v>
      </c>
    </row>
    <row r="19" spans="1:7">
      <c r="A19" t="str">
        <f>Plan_Mantenciones!A54</f>
        <v>ED-65</v>
      </c>
      <c r="B19" t="str">
        <f>Plan_Mantenciones!B54</f>
        <v>Compresor</v>
      </c>
      <c r="C19" t="str">
        <f>Plan_Mantenciones!C54</f>
        <v>Maquinaria Pesada</v>
      </c>
      <c r="D19" s="13" t="str">
        <f ca="1">Plan_Mantenciones!I54</f>
        <v/>
      </c>
      <c r="E19" t="str">
        <f>Plan_Mantenciones!H54</f>
        <v/>
      </c>
      <c r="F19" t="str">
        <f>Plan_Mantenciones!J54</f>
        <v>Operativo</v>
      </c>
      <c r="G19" t="str">
        <f t="shared" si="0"/>
        <v>No</v>
      </c>
    </row>
    <row r="20" spans="1:7">
      <c r="A20" t="str">
        <f>Plan_Mantenciones!A69</f>
        <v>MD-50</v>
      </c>
      <c r="B20" t="str">
        <f>Plan_Mantenciones!B69</f>
        <v>Retroexcavadora</v>
      </c>
      <c r="C20" t="str">
        <f>Plan_Mantenciones!C69</f>
        <v>Maquinaria Pesada</v>
      </c>
      <c r="D20" s="13" t="str">
        <f ca="1">Plan_Mantenciones!I69</f>
        <v/>
      </c>
      <c r="E20" t="str">
        <f>Plan_Mantenciones!H69</f>
        <v/>
      </c>
      <c r="F20" t="str">
        <f>Plan_Mantenciones!J69</f>
        <v>Operativo</v>
      </c>
      <c r="G20" t="str">
        <f t="shared" si="0"/>
        <v>No</v>
      </c>
    </row>
    <row r="21" spans="1:7">
      <c r="A21" t="str">
        <f>Plan_Mantenciones!A105</f>
        <v>MD-49</v>
      </c>
      <c r="B21" t="str">
        <f>Plan_Mantenciones!B105</f>
        <v>Retroexcavadora</v>
      </c>
      <c r="C21" t="str">
        <f>Plan_Mantenciones!C105</f>
        <v>Maquinaria Pesada</v>
      </c>
      <c r="D21" s="13">
        <f ca="1">Plan_Mantenciones!I105</f>
        <v>43989</v>
      </c>
      <c r="E21">
        <f>Plan_Mantenciones!H105</f>
        <v>-2156</v>
      </c>
      <c r="F21" t="str">
        <f>Plan_Mantenciones!J105</f>
        <v>Operativo</v>
      </c>
      <c r="G21" t="str">
        <f t="shared" si="0"/>
        <v>No</v>
      </c>
    </row>
    <row r="22" spans="1:7">
      <c r="A22" t="str">
        <f>Plan_Mantenciones!A143</f>
        <v>MD-100</v>
      </c>
      <c r="B22" t="str">
        <f>Plan_Mantenciones!B143</f>
        <v>Excavadora</v>
      </c>
      <c r="C22" t="str">
        <f>Plan_Mantenciones!C143</f>
        <v>Maquinaria Pesada</v>
      </c>
      <c r="D22" s="13">
        <f ca="1">Plan_Mantenciones!I143</f>
        <v>46167</v>
      </c>
      <c r="E22">
        <f>Plan_Mantenciones!H143</f>
        <v>22</v>
      </c>
      <c r="F22" t="str">
        <f>Plan_Mantenciones!J143</f>
        <v>Operativo</v>
      </c>
      <c r="G22" t="str">
        <f t="shared" si="0"/>
        <v>Sí</v>
      </c>
    </row>
    <row r="23" spans="1:7">
      <c r="A23" t="str">
        <f>Plan_Mantenciones!A157</f>
        <v>VD-131</v>
      </c>
      <c r="B23" t="str">
        <f>Plan_Mantenciones!B157</f>
        <v>Camioneta</v>
      </c>
      <c r="C23" t="str">
        <f>Plan_Mantenciones!C157</f>
        <v>Vehículos Livianos</v>
      </c>
      <c r="D23" s="13">
        <f ca="1">Plan_Mantenciones!I157</f>
        <v>46248</v>
      </c>
      <c r="E23">
        <f>Plan_Mantenciones!H157</f>
        <v>103</v>
      </c>
      <c r="F23" t="str">
        <f>Plan_Mantenciones!J157</f>
        <v>Operativo</v>
      </c>
      <c r="G23" t="str">
        <f t="shared" si="0"/>
        <v>No</v>
      </c>
    </row>
    <row r="24" spans="1:7">
      <c r="A24" t="str">
        <f>Plan_Mantenciones!A9</f>
        <v>MD-65</v>
      </c>
      <c r="B24" t="str">
        <f>Plan_Mantenciones!B9</f>
        <v>Cargador Frontal</v>
      </c>
      <c r="C24" t="str">
        <f>Plan_Mantenciones!C9</f>
        <v>Maquinaria Pesada</v>
      </c>
      <c r="D24" s="13" t="str">
        <f ca="1">Plan_Mantenciones!I9</f>
        <v/>
      </c>
      <c r="E24" t="str">
        <f>Plan_Mantenciones!H9</f>
        <v/>
      </c>
      <c r="F24" t="str">
        <f>Plan_Mantenciones!J9</f>
        <v>Operativo</v>
      </c>
      <c r="G24" t="str">
        <f t="shared" si="0"/>
        <v>No</v>
      </c>
    </row>
    <row r="25" spans="1:7">
      <c r="A25" t="str">
        <f>Plan_Mantenciones!A30</f>
        <v>VD-82</v>
      </c>
      <c r="B25" t="str">
        <f>Plan_Mantenciones!B30</f>
        <v>Camioneta</v>
      </c>
      <c r="C25" t="str">
        <f>Plan_Mantenciones!C30</f>
        <v>Vehículos Livianos</v>
      </c>
      <c r="D25" s="13" t="str">
        <f ca="1">Plan_Mantenciones!I30</f>
        <v/>
      </c>
      <c r="E25" t="str">
        <f>Plan_Mantenciones!H30</f>
        <v/>
      </c>
      <c r="F25" t="str">
        <f>Plan_Mantenciones!J30</f>
        <v>Operativo</v>
      </c>
      <c r="G25" t="str">
        <f t="shared" si="0"/>
        <v>No</v>
      </c>
    </row>
    <row r="26" spans="1:7" hidden="1">
      <c r="A26" t="str">
        <f>Plan_Mantenciones!A91</f>
        <v>VD-73</v>
      </c>
      <c r="B26" t="str">
        <f>Plan_Mantenciones!B91</f>
        <v>Furgon</v>
      </c>
      <c r="C26" t="str">
        <f>Plan_Mantenciones!C91</f>
        <v>Vehículos Livianos</v>
      </c>
      <c r="D26" s="13" t="str">
        <f ca="1">Plan_Mantenciones!I91</f>
        <v/>
      </c>
      <c r="E26" t="str">
        <f>Plan_Mantenciones!H91</f>
        <v/>
      </c>
      <c r="F26" t="str">
        <f>Plan_Mantenciones!J91</f>
        <v>Fuera de Servicio</v>
      </c>
      <c r="G26" t="str">
        <f t="shared" si="0"/>
        <v>No</v>
      </c>
    </row>
    <row r="27" spans="1:7">
      <c r="A27" t="str">
        <f>Plan_Mantenciones!A115</f>
        <v>VD-107</v>
      </c>
      <c r="B27" t="str">
        <f>Plan_Mantenciones!B115</f>
        <v>Camioneta</v>
      </c>
      <c r="C27" t="str">
        <f>Plan_Mantenciones!C115</f>
        <v>Vehículos Livianos</v>
      </c>
      <c r="D27" s="13">
        <f ca="1">Plan_Mantenciones!I115</f>
        <v>46217</v>
      </c>
      <c r="E27">
        <f>Plan_Mantenciones!H115</f>
        <v>72</v>
      </c>
      <c r="F27" t="str">
        <f>Plan_Mantenciones!J115</f>
        <v>Operativo</v>
      </c>
      <c r="G27" t="str">
        <f t="shared" si="0"/>
        <v>Sí</v>
      </c>
    </row>
    <row r="28" spans="1:7">
      <c r="A28" t="str">
        <f>Plan_Mantenciones!A129</f>
        <v>VD-138</v>
      </c>
      <c r="B28" t="str">
        <f>Plan_Mantenciones!B129</f>
        <v>Camioneta</v>
      </c>
      <c r="C28" t="str">
        <f>Plan_Mantenciones!C129</f>
        <v>Vehículos Livianos</v>
      </c>
      <c r="D28" s="13">
        <f ca="1">Plan_Mantenciones!I129</f>
        <v>46226</v>
      </c>
      <c r="E28">
        <f>Plan_Mantenciones!H129</f>
        <v>81</v>
      </c>
      <c r="F28" t="str">
        <f>Plan_Mantenciones!J129</f>
        <v>Operativo</v>
      </c>
      <c r="G28" t="str">
        <f t="shared" si="0"/>
        <v>Sí</v>
      </c>
    </row>
    <row r="29" spans="1:7">
      <c r="A29" t="str">
        <f>Plan_Mantenciones!A152</f>
        <v>EQP-7</v>
      </c>
      <c r="B29" t="str">
        <f>Plan_Mantenciones!B152</f>
        <v>Planta aridos</v>
      </c>
      <c r="C29" t="str">
        <f>Plan_Mantenciones!C152</f>
        <v>Maquinaria Pesada</v>
      </c>
      <c r="D29" s="13">
        <f ca="1">Plan_Mantenciones!I152</f>
        <v>45191</v>
      </c>
      <c r="E29">
        <f>Plan_Mantenciones!H152</f>
        <v>-954</v>
      </c>
      <c r="F29" t="str">
        <f>Plan_Mantenciones!J152</f>
        <v>Operativo</v>
      </c>
      <c r="G29" t="str">
        <f t="shared" si="0"/>
        <v>No</v>
      </c>
    </row>
    <row r="30" spans="1:7" hidden="1">
      <c r="A30" t="str">
        <f>Plan_Mantenciones!A31</f>
        <v>CD-131</v>
      </c>
      <c r="B30" t="str">
        <f>Plan_Mantenciones!B31</f>
        <v>Camión Tolva</v>
      </c>
      <c r="C30" t="str">
        <f>Plan_Mantenciones!C31</f>
        <v>Camiones de Ruta</v>
      </c>
      <c r="D30" s="13" t="str">
        <f ca="1">Plan_Mantenciones!I31</f>
        <v/>
      </c>
      <c r="E30" t="str">
        <f>Plan_Mantenciones!H31</f>
        <v/>
      </c>
      <c r="F30" t="str">
        <f>Plan_Mantenciones!J31</f>
        <v>Fuera de Servicio</v>
      </c>
      <c r="G30" t="str">
        <f t="shared" si="0"/>
        <v>No</v>
      </c>
    </row>
    <row r="31" spans="1:7" hidden="1">
      <c r="A31" t="str">
        <f>Plan_Mantenciones!A42</f>
        <v>CD-133</v>
      </c>
      <c r="B31" t="str">
        <f>Plan_Mantenciones!B42</f>
        <v>Camión Plano</v>
      </c>
      <c r="C31" t="str">
        <f>Plan_Mantenciones!C42</f>
        <v>Camiones de Ruta</v>
      </c>
      <c r="D31" s="13" t="str">
        <f ca="1">Plan_Mantenciones!I42</f>
        <v/>
      </c>
      <c r="E31" t="str">
        <f>Plan_Mantenciones!H42</f>
        <v/>
      </c>
      <c r="F31" t="str">
        <f>Plan_Mantenciones!J42</f>
        <v>Fuera de Servicio</v>
      </c>
      <c r="G31" t="str">
        <f t="shared" si="0"/>
        <v>No</v>
      </c>
    </row>
    <row r="32" spans="1:7">
      <c r="A32" t="str">
        <f>Plan_Mantenciones!A183</f>
        <v>CD-87</v>
      </c>
      <c r="B32" t="str">
        <f>Plan_Mantenciones!B183</f>
        <v>Camión Tolva</v>
      </c>
      <c r="C32" t="str">
        <f>Plan_Mantenciones!C183</f>
        <v>Camiones de Ruta</v>
      </c>
      <c r="D32" s="13">
        <f ca="1">Plan_Mantenciones!I183</f>
        <v>46054</v>
      </c>
      <c r="E32">
        <f>Plan_Mantenciones!H183</f>
        <v>-91</v>
      </c>
      <c r="F32" t="str">
        <f>Plan_Mantenciones!J183</f>
        <v>Operativo</v>
      </c>
      <c r="G32" t="str">
        <f t="shared" si="0"/>
        <v>No</v>
      </c>
    </row>
    <row r="33" spans="1:7" hidden="1">
      <c r="A33" t="str">
        <f>Plan_Mantenciones!A51</f>
        <v>CD-93</v>
      </c>
      <c r="B33" t="str">
        <f>Plan_Mantenciones!B51</f>
        <v>Camión Plano</v>
      </c>
      <c r="C33" t="str">
        <f>Plan_Mantenciones!C51</f>
        <v>Camiones de Ruta</v>
      </c>
      <c r="D33" s="13" t="str">
        <f ca="1">Plan_Mantenciones!I51</f>
        <v/>
      </c>
      <c r="E33" t="str">
        <f>Plan_Mantenciones!H51</f>
        <v/>
      </c>
      <c r="F33" t="str">
        <f>Plan_Mantenciones!J51</f>
        <v>Fuera de Servicio</v>
      </c>
      <c r="G33" t="str">
        <f t="shared" si="0"/>
        <v>No</v>
      </c>
    </row>
    <row r="34" spans="1:7">
      <c r="A34" t="str">
        <f>Plan_Mantenciones!A61</f>
        <v>EQP-9</v>
      </c>
      <c r="B34" t="str">
        <f>Plan_Mantenciones!B61</f>
        <v>Planta aridos</v>
      </c>
      <c r="C34" t="str">
        <f>Plan_Mantenciones!C61</f>
        <v>Maquinaria Pesada</v>
      </c>
      <c r="D34" s="13" t="str">
        <f ca="1">Plan_Mantenciones!I61</f>
        <v/>
      </c>
      <c r="E34" t="str">
        <f>Plan_Mantenciones!H61</f>
        <v/>
      </c>
      <c r="F34" t="str">
        <f>Plan_Mantenciones!J61</f>
        <v>Operativo</v>
      </c>
      <c r="G34" t="str">
        <f t="shared" si="0"/>
        <v>No</v>
      </c>
    </row>
    <row r="35" spans="1:7" hidden="1">
      <c r="A35" t="str">
        <f>Plan_Mantenciones!A18</f>
        <v>CD-92</v>
      </c>
      <c r="B35" t="str">
        <f>Plan_Mantenciones!B18</f>
        <v>Camión Combustible</v>
      </c>
      <c r="C35" t="str">
        <f>Plan_Mantenciones!C18</f>
        <v>Camiones de Ruta</v>
      </c>
      <c r="D35" s="13" t="str">
        <f ca="1">Plan_Mantenciones!I18</f>
        <v/>
      </c>
      <c r="E35" t="str">
        <f>Plan_Mantenciones!H18</f>
        <v/>
      </c>
      <c r="F35" t="str">
        <f>Plan_Mantenciones!J18</f>
        <v>Fuera de Servicio</v>
      </c>
      <c r="G35" t="str">
        <f t="shared" si="0"/>
        <v>No</v>
      </c>
    </row>
    <row r="36" spans="1:7">
      <c r="A36" t="str">
        <f>Plan_Mantenciones!A68</f>
        <v>MD-47</v>
      </c>
      <c r="B36" t="str">
        <f>Plan_Mantenciones!B68</f>
        <v>Excavadora</v>
      </c>
      <c r="C36" t="str">
        <f>Plan_Mantenciones!C68</f>
        <v>Maquinaria Pesada</v>
      </c>
      <c r="D36" s="13" t="str">
        <f ca="1">Plan_Mantenciones!I68</f>
        <v/>
      </c>
      <c r="E36" t="str">
        <f>Plan_Mantenciones!H68</f>
        <v/>
      </c>
      <c r="F36" t="str">
        <f>Plan_Mantenciones!J68</f>
        <v>Operativo</v>
      </c>
      <c r="G36" t="str">
        <f t="shared" si="0"/>
        <v>No</v>
      </c>
    </row>
    <row r="37" spans="1:7" hidden="1">
      <c r="A37" t="str">
        <f>Plan_Mantenciones!A84</f>
        <v>VD-57</v>
      </c>
      <c r="B37" t="str">
        <f>Plan_Mantenciones!B84</f>
        <v>Camioneta</v>
      </c>
      <c r="C37" t="str">
        <f>Plan_Mantenciones!C84</f>
        <v>Vehículos Livianos</v>
      </c>
      <c r="D37" s="13" t="str">
        <f ca="1">Plan_Mantenciones!I84</f>
        <v/>
      </c>
      <c r="E37" t="str">
        <f>Plan_Mantenciones!H84</f>
        <v/>
      </c>
      <c r="F37" t="str">
        <f>Plan_Mantenciones!J84</f>
        <v>Fuera de Servicio</v>
      </c>
      <c r="G37" t="str">
        <f t="shared" si="0"/>
        <v>No</v>
      </c>
    </row>
    <row r="38" spans="1:7">
      <c r="A38" t="str">
        <f>Plan_Mantenciones!A36</f>
        <v>CD-100</v>
      </c>
      <c r="B38" t="str">
        <f>Plan_Mantenciones!B36</f>
        <v>Camión Slurry</v>
      </c>
      <c r="C38" t="str">
        <f>Plan_Mantenciones!C36</f>
        <v>Camiones de Ruta</v>
      </c>
      <c r="D38" s="13">
        <f ca="1">Plan_Mantenciones!I36</f>
        <v>44606</v>
      </c>
      <c r="E38">
        <f>Plan_Mantenciones!H36</f>
        <v>-1539</v>
      </c>
      <c r="F38" t="str">
        <f>Plan_Mantenciones!J36</f>
        <v>Operativo</v>
      </c>
      <c r="G38" t="str">
        <f t="shared" si="0"/>
        <v>No</v>
      </c>
    </row>
    <row r="39" spans="1:7">
      <c r="A39" t="str">
        <f>Plan_Mantenciones!A108</f>
        <v>MD-70</v>
      </c>
      <c r="B39" t="str">
        <f>Plan_Mantenciones!B108</f>
        <v>Excavadora con Ruedas</v>
      </c>
      <c r="C39" t="str">
        <f>Plan_Mantenciones!C108</f>
        <v>Maquinaria Pesada</v>
      </c>
      <c r="D39" s="13">
        <f ca="1">Plan_Mantenciones!I108</f>
        <v>46353</v>
      </c>
      <c r="E39">
        <f>Plan_Mantenciones!H108</f>
        <v>208</v>
      </c>
      <c r="F39" t="str">
        <f>Plan_Mantenciones!J108</f>
        <v>Operativo</v>
      </c>
      <c r="G39" t="str">
        <f t="shared" si="0"/>
        <v>No</v>
      </c>
    </row>
    <row r="40" spans="1:7">
      <c r="A40" t="str">
        <f>Plan_Mantenciones!A27</f>
        <v>CD-51</v>
      </c>
      <c r="B40" t="str">
        <f>Plan_Mantenciones!B27</f>
        <v>Camión Combustible</v>
      </c>
      <c r="C40" t="str">
        <f>Plan_Mantenciones!C27</f>
        <v>Camiones de Ruta</v>
      </c>
      <c r="D40" s="13" t="str">
        <f ca="1">Plan_Mantenciones!I27</f>
        <v/>
      </c>
      <c r="E40" t="str">
        <f>Plan_Mantenciones!H27</f>
        <v/>
      </c>
      <c r="F40" t="str">
        <f>Plan_Mantenciones!J27</f>
        <v>Operativo</v>
      </c>
      <c r="G40" t="str">
        <f t="shared" si="0"/>
        <v>No</v>
      </c>
    </row>
    <row r="41" spans="1:7" hidden="1">
      <c r="A41" t="str">
        <f>Plan_Mantenciones!A34</f>
        <v>MD-92</v>
      </c>
      <c r="B41" t="str">
        <f>Plan_Mantenciones!B34</f>
        <v>Cargador Frontal</v>
      </c>
      <c r="C41" t="str">
        <f>Plan_Mantenciones!C34</f>
        <v>Maquinaria Pesada</v>
      </c>
      <c r="D41" s="13" t="str">
        <f ca="1">Plan_Mantenciones!I34</f>
        <v/>
      </c>
      <c r="E41" t="str">
        <f>Plan_Mantenciones!H34</f>
        <v/>
      </c>
      <c r="F41" t="str">
        <f>Plan_Mantenciones!J34</f>
        <v>Fuera de Servicio</v>
      </c>
      <c r="G41" t="str">
        <f t="shared" si="0"/>
        <v>No</v>
      </c>
    </row>
    <row r="42" spans="1:7">
      <c r="A42" t="str">
        <f>Plan_Mantenciones!A17</f>
        <v>CD-68</v>
      </c>
      <c r="B42" t="str">
        <f>Plan_Mantenciones!B17</f>
        <v>Camión Aljibe</v>
      </c>
      <c r="C42" t="str">
        <f>Plan_Mantenciones!C17</f>
        <v>Camiones de Ruta</v>
      </c>
      <c r="D42" s="13" t="str">
        <f ca="1">Plan_Mantenciones!I17</f>
        <v/>
      </c>
      <c r="E42" t="str">
        <f>Plan_Mantenciones!H17</f>
        <v/>
      </c>
      <c r="F42" t="str">
        <f>Plan_Mantenciones!J17</f>
        <v>Operativo</v>
      </c>
      <c r="G42" t="str">
        <f t="shared" si="0"/>
        <v>No</v>
      </c>
    </row>
    <row r="43" spans="1:7">
      <c r="A43" t="str">
        <f>Plan_Mantenciones!A15</f>
        <v>CD-86</v>
      </c>
      <c r="B43" t="str">
        <f>Plan_Mantenciones!B15</f>
        <v>Camión Aljibe</v>
      </c>
      <c r="C43" t="str">
        <f>Plan_Mantenciones!C15</f>
        <v>Camiones de Ruta</v>
      </c>
      <c r="D43" s="13" t="str">
        <f ca="1">Plan_Mantenciones!I15</f>
        <v/>
      </c>
      <c r="E43" t="str">
        <f>Plan_Mantenciones!H15</f>
        <v/>
      </c>
      <c r="F43" t="str">
        <f>Plan_Mantenciones!J15</f>
        <v>Operativo</v>
      </c>
      <c r="G43" t="str">
        <f t="shared" si="0"/>
        <v>No</v>
      </c>
    </row>
    <row r="44" spans="1:7" hidden="1">
      <c r="A44" t="str">
        <f>Plan_Mantenciones!A76</f>
        <v>MD-78</v>
      </c>
      <c r="B44" t="str">
        <f>Plan_Mantenciones!B76</f>
        <v>Extendedora</v>
      </c>
      <c r="C44" t="str">
        <f>Plan_Mantenciones!C76</f>
        <v>Maquinaria Pesada</v>
      </c>
      <c r="D44" s="13" t="str">
        <f ca="1">Plan_Mantenciones!I76</f>
        <v/>
      </c>
      <c r="E44" t="str">
        <f>Plan_Mantenciones!H76</f>
        <v/>
      </c>
      <c r="F44" t="str">
        <f>Plan_Mantenciones!J76</f>
        <v>Fuera de Servicio</v>
      </c>
      <c r="G44" t="str">
        <f t="shared" si="0"/>
        <v>No</v>
      </c>
    </row>
    <row r="45" spans="1:7" hidden="1">
      <c r="A45" t="str">
        <f>Plan_Mantenciones!A44</f>
        <v>CD-139</v>
      </c>
      <c r="B45" t="str">
        <f>Plan_Mantenciones!B44</f>
        <v>Camion Plano</v>
      </c>
      <c r="C45" t="str">
        <f>Plan_Mantenciones!C44</f>
        <v>Maquinaria Pesada</v>
      </c>
      <c r="D45" s="13" t="str">
        <f ca="1">Plan_Mantenciones!I44</f>
        <v/>
      </c>
      <c r="E45" t="str">
        <f>Plan_Mantenciones!H44</f>
        <v/>
      </c>
      <c r="F45" t="str">
        <f>Plan_Mantenciones!J44</f>
        <v>Fuera de Servicio</v>
      </c>
      <c r="G45" t="str">
        <f t="shared" si="0"/>
        <v>No</v>
      </c>
    </row>
    <row r="46" spans="1:7" hidden="1">
      <c r="A46" t="str">
        <f>Plan_Mantenciones!A47</f>
        <v>CD-57</v>
      </c>
      <c r="B46" t="str">
        <f>Plan_Mantenciones!B47</f>
        <v>Camión Plano</v>
      </c>
      <c r="C46" t="str">
        <f>Plan_Mantenciones!C47</f>
        <v>Camiones de Ruta</v>
      </c>
      <c r="D46" s="13" t="str">
        <f ca="1">Plan_Mantenciones!I47</f>
        <v/>
      </c>
      <c r="E46" t="str">
        <f>Plan_Mantenciones!H47</f>
        <v/>
      </c>
      <c r="F46" t="str">
        <f>Plan_Mantenciones!J47</f>
        <v>Fuera de Servicio</v>
      </c>
      <c r="G46" t="str">
        <f t="shared" si="0"/>
        <v>No</v>
      </c>
    </row>
    <row r="47" spans="1:7">
      <c r="A47" t="str">
        <f>Plan_Mantenciones!A52</f>
        <v>ED-07</v>
      </c>
      <c r="B47" t="str">
        <f>Plan_Mantenciones!B52</f>
        <v>Soldadora</v>
      </c>
      <c r="C47" t="str">
        <f>Plan_Mantenciones!C52</f>
        <v>Maquinaria Pesada</v>
      </c>
      <c r="D47" s="13" t="str">
        <f ca="1">Plan_Mantenciones!I52</f>
        <v/>
      </c>
      <c r="E47" t="str">
        <f>Plan_Mantenciones!H52</f>
        <v/>
      </c>
      <c r="F47" t="str">
        <f>Plan_Mantenciones!J52</f>
        <v>Operativo</v>
      </c>
      <c r="G47" t="str">
        <f t="shared" si="0"/>
        <v>No</v>
      </c>
    </row>
    <row r="48" spans="1:7">
      <c r="A48" t="str">
        <f>Plan_Mantenciones!A78</f>
        <v>MD-87</v>
      </c>
      <c r="B48" t="str">
        <f>Plan_Mantenciones!B78</f>
        <v>Excavadora</v>
      </c>
      <c r="C48" t="str">
        <f>Plan_Mantenciones!C78</f>
        <v>Maquinaria Pesada</v>
      </c>
      <c r="D48" s="13" t="str">
        <f ca="1">Plan_Mantenciones!I78</f>
        <v/>
      </c>
      <c r="E48" t="str">
        <f>Plan_Mantenciones!H78</f>
        <v/>
      </c>
      <c r="F48" t="str">
        <f>Plan_Mantenciones!J78</f>
        <v>Operativo</v>
      </c>
      <c r="G48" t="str">
        <f t="shared" si="0"/>
        <v>No</v>
      </c>
    </row>
    <row r="49" spans="1:7">
      <c r="A49" t="str">
        <f>Plan_Mantenciones!A175</f>
        <v>VD-77</v>
      </c>
      <c r="B49" t="str">
        <f>Plan_Mantenciones!B175</f>
        <v>Camioneta</v>
      </c>
      <c r="C49" t="str">
        <f>Plan_Mantenciones!C175</f>
        <v>Vehículos Livianos</v>
      </c>
      <c r="D49" s="13">
        <f ca="1">Plan_Mantenciones!I175</f>
        <v>46120</v>
      </c>
      <c r="E49">
        <f>Plan_Mantenciones!H175</f>
        <v>-25</v>
      </c>
      <c r="F49" t="str">
        <f>Plan_Mantenciones!J175</f>
        <v>Operativo</v>
      </c>
      <c r="G49" t="str">
        <f t="shared" si="0"/>
        <v>No</v>
      </c>
    </row>
    <row r="50" spans="1:7" hidden="1">
      <c r="A50" t="str">
        <f>Plan_Mantenciones!A59</f>
        <v>EQP-14</v>
      </c>
      <c r="B50" t="str">
        <f>Plan_Mantenciones!B59</f>
        <v>Planta aridos</v>
      </c>
      <c r="C50" t="str">
        <f>Plan_Mantenciones!C59</f>
        <v>Maquinaria Pesada</v>
      </c>
      <c r="D50" s="13" t="str">
        <f ca="1">Plan_Mantenciones!I59</f>
        <v/>
      </c>
      <c r="E50" t="str">
        <f>Plan_Mantenciones!H59</f>
        <v/>
      </c>
      <c r="F50" t="str">
        <f>Plan_Mantenciones!J59</f>
        <v>Fuera de Servicio</v>
      </c>
      <c r="G50" t="str">
        <f t="shared" si="0"/>
        <v>No</v>
      </c>
    </row>
    <row r="51" spans="1:7" hidden="1">
      <c r="A51" t="str">
        <f>Plan_Mantenciones!A21</f>
        <v>CD-124</v>
      </c>
      <c r="B51" t="str">
        <f>Plan_Mantenciones!B21</f>
        <v>Camión Tolva</v>
      </c>
      <c r="C51" t="str">
        <f>Plan_Mantenciones!C21</f>
        <v>Camiones de Ruta</v>
      </c>
      <c r="D51" s="13" t="str">
        <f ca="1">Plan_Mantenciones!I21</f>
        <v/>
      </c>
      <c r="E51" t="str">
        <f>Plan_Mantenciones!H21</f>
        <v/>
      </c>
      <c r="F51" t="str">
        <f>Plan_Mantenciones!J21</f>
        <v>Fuera de Servicio</v>
      </c>
      <c r="G51" t="str">
        <f t="shared" si="0"/>
        <v>No</v>
      </c>
    </row>
    <row r="52" spans="1:7">
      <c r="A52" t="str">
        <f>Plan_Mantenciones!A65</f>
        <v>MD-38</v>
      </c>
      <c r="B52" t="str">
        <f>Plan_Mantenciones!B65</f>
        <v>Rodillo</v>
      </c>
      <c r="C52" t="str">
        <f>Plan_Mantenciones!C65</f>
        <v>Maquinaria Pesada</v>
      </c>
      <c r="D52" s="13" t="str">
        <f ca="1">Plan_Mantenciones!I65</f>
        <v/>
      </c>
      <c r="E52" t="str">
        <f>Plan_Mantenciones!H65</f>
        <v/>
      </c>
      <c r="F52" t="str">
        <f>Plan_Mantenciones!J65</f>
        <v>Operativo</v>
      </c>
      <c r="G52" t="str">
        <f t="shared" si="0"/>
        <v>No</v>
      </c>
    </row>
    <row r="53" spans="1:7">
      <c r="A53" t="str">
        <f>Plan_Mantenciones!A132</f>
        <v>VD-133</v>
      </c>
      <c r="B53" t="str">
        <f>Plan_Mantenciones!B132</f>
        <v>Camioneta</v>
      </c>
      <c r="C53" t="str">
        <f>Plan_Mantenciones!C132</f>
        <v>Vehículos Livianos</v>
      </c>
      <c r="D53" s="13">
        <f ca="1">Plan_Mantenciones!I132</f>
        <v>46220</v>
      </c>
      <c r="E53">
        <f>Plan_Mantenciones!H132</f>
        <v>75</v>
      </c>
      <c r="F53" t="str">
        <f>Plan_Mantenciones!J132</f>
        <v>Operativo</v>
      </c>
      <c r="G53" t="str">
        <f t="shared" si="0"/>
        <v>Sí</v>
      </c>
    </row>
    <row r="54" spans="1:7">
      <c r="A54" t="str">
        <f>Plan_Mantenciones!A70</f>
        <v>MD-51</v>
      </c>
      <c r="B54" t="str">
        <f>Plan_Mantenciones!B70</f>
        <v>Rodillo de Neumaticos</v>
      </c>
      <c r="C54" t="str">
        <f>Plan_Mantenciones!C70</f>
        <v>Maquinaria Pesada</v>
      </c>
      <c r="D54" s="13" t="str">
        <f ca="1">Plan_Mantenciones!I70</f>
        <v/>
      </c>
      <c r="E54" t="str">
        <f>Plan_Mantenciones!H70</f>
        <v/>
      </c>
      <c r="F54" t="str">
        <f>Plan_Mantenciones!J70</f>
        <v>Operativo</v>
      </c>
      <c r="G54" t="str">
        <f t="shared" si="0"/>
        <v>No</v>
      </c>
    </row>
    <row r="55" spans="1:7" hidden="1">
      <c r="A55" t="str">
        <f>Plan_Mantenciones!A43</f>
        <v>CD-135</v>
      </c>
      <c r="B55" t="str">
        <f>Plan_Mantenciones!B43</f>
        <v>Camión Plano</v>
      </c>
      <c r="C55" t="str">
        <f>Plan_Mantenciones!C43</f>
        <v>Camiones de Ruta</v>
      </c>
      <c r="D55" s="13" t="str">
        <f ca="1">Plan_Mantenciones!I43</f>
        <v/>
      </c>
      <c r="E55" t="str">
        <f>Plan_Mantenciones!H43</f>
        <v/>
      </c>
      <c r="F55" t="str">
        <f>Plan_Mantenciones!J43</f>
        <v>Fuera de Servicio</v>
      </c>
      <c r="G55" t="str">
        <f t="shared" si="0"/>
        <v>No</v>
      </c>
    </row>
    <row r="56" spans="1:7">
      <c r="A56" t="str">
        <f>Plan_Mantenciones!A116</f>
        <v>VD-127</v>
      </c>
      <c r="B56" t="str">
        <f>Plan_Mantenciones!B116</f>
        <v>Camioneta</v>
      </c>
      <c r="C56" t="str">
        <f>Plan_Mantenciones!C116</f>
        <v>Vehículos Livianos</v>
      </c>
      <c r="D56" s="13">
        <f ca="1">Plan_Mantenciones!I116</f>
        <v>46232</v>
      </c>
      <c r="E56">
        <f>Plan_Mantenciones!H116</f>
        <v>87</v>
      </c>
      <c r="F56" t="str">
        <f>Plan_Mantenciones!J116</f>
        <v>Operativo</v>
      </c>
      <c r="G56" t="str">
        <f t="shared" si="0"/>
        <v>Sí</v>
      </c>
    </row>
    <row r="57" spans="1:7">
      <c r="A57" t="str">
        <f>Plan_Mantenciones!A128</f>
        <v>MD-95</v>
      </c>
      <c r="B57" t="str">
        <f>Plan_Mantenciones!B128</f>
        <v>Retroexcavadora</v>
      </c>
      <c r="C57" t="str">
        <f>Plan_Mantenciones!C128</f>
        <v>Maquinaria Pesada</v>
      </c>
      <c r="D57" s="13">
        <f ca="1">Plan_Mantenciones!I128</f>
        <v>46168</v>
      </c>
      <c r="E57">
        <f>Plan_Mantenciones!H128</f>
        <v>23</v>
      </c>
      <c r="F57" t="str">
        <f>Plan_Mantenciones!J128</f>
        <v>Operativo</v>
      </c>
      <c r="G57" t="str">
        <f t="shared" si="0"/>
        <v>Sí</v>
      </c>
    </row>
    <row r="58" spans="1:7">
      <c r="A58" t="str">
        <f>Plan_Mantenciones!A14</f>
        <v>CD-125</v>
      </c>
      <c r="B58" t="str">
        <f>Plan_Mantenciones!B14</f>
        <v>Camión Maxus</v>
      </c>
      <c r="C58" t="str">
        <f>Plan_Mantenciones!C14</f>
        <v>Camiones de Ruta</v>
      </c>
      <c r="D58" s="13" t="str">
        <f ca="1">Plan_Mantenciones!I14</f>
        <v/>
      </c>
      <c r="E58" t="str">
        <f>Plan_Mantenciones!H14</f>
        <v/>
      </c>
      <c r="F58" t="str">
        <f>Plan_Mantenciones!J14</f>
        <v>Operativo</v>
      </c>
      <c r="G58" t="str">
        <f t="shared" si="0"/>
        <v>No</v>
      </c>
    </row>
    <row r="59" spans="1:7">
      <c r="A59" t="str">
        <f>Plan_Mantenciones!A60</f>
        <v>EQP-19</v>
      </c>
      <c r="B59" t="str">
        <f>Plan_Mantenciones!B60</f>
        <v>Planta aridos</v>
      </c>
      <c r="C59" t="str">
        <f>Plan_Mantenciones!C60</f>
        <v>Maquinaria Pesada</v>
      </c>
      <c r="D59" s="13" t="str">
        <f ca="1">Plan_Mantenciones!I60</f>
        <v/>
      </c>
      <c r="E59" t="str">
        <f>Plan_Mantenciones!H60</f>
        <v/>
      </c>
      <c r="F59" t="str">
        <f>Plan_Mantenciones!J60</f>
        <v>Operativo</v>
      </c>
      <c r="G59" t="str">
        <f t="shared" si="0"/>
        <v>No</v>
      </c>
    </row>
    <row r="60" spans="1:7">
      <c r="A60" t="str">
        <f>Plan_Mantenciones!A117</f>
        <v>VD-136</v>
      </c>
      <c r="B60" t="str">
        <f>Plan_Mantenciones!B117</f>
        <v>Camioneta</v>
      </c>
      <c r="C60" t="str">
        <f>Plan_Mantenciones!C117</f>
        <v>Vehículos Livianos</v>
      </c>
      <c r="D60" s="13">
        <f ca="1">Plan_Mantenciones!I117</f>
        <v>46239</v>
      </c>
      <c r="E60">
        <f>Plan_Mantenciones!H117</f>
        <v>94</v>
      </c>
      <c r="F60" t="str">
        <f>Plan_Mantenciones!J117</f>
        <v>Operativo</v>
      </c>
      <c r="G60" t="str">
        <f t="shared" si="0"/>
        <v>No</v>
      </c>
    </row>
    <row r="61" spans="1:7">
      <c r="A61" t="str">
        <f>Plan_Mantenciones!A124</f>
        <v>VD-109</v>
      </c>
      <c r="B61" t="str">
        <f>Plan_Mantenciones!B124</f>
        <v>Camioneta</v>
      </c>
      <c r="C61" t="str">
        <f>Plan_Mantenciones!C124</f>
        <v>Vehículos Livianos</v>
      </c>
      <c r="D61" s="13">
        <f ca="1">Plan_Mantenciones!I124</f>
        <v>46220</v>
      </c>
      <c r="E61">
        <f>Plan_Mantenciones!H124</f>
        <v>75</v>
      </c>
      <c r="F61" t="str">
        <f>Plan_Mantenciones!J124</f>
        <v>Operativo</v>
      </c>
      <c r="G61" t="str">
        <f t="shared" si="0"/>
        <v>Sí</v>
      </c>
    </row>
    <row r="62" spans="1:7">
      <c r="A62" t="str">
        <f>Plan_Mantenciones!A135</f>
        <v>VD-78</v>
      </c>
      <c r="B62" t="str">
        <f>Plan_Mantenciones!B135</f>
        <v>Camioneta</v>
      </c>
      <c r="C62" t="str">
        <f>Plan_Mantenciones!C135</f>
        <v>Vehículos Livianos</v>
      </c>
      <c r="D62" s="13">
        <f ca="1">Plan_Mantenciones!I135</f>
        <v>46216</v>
      </c>
      <c r="E62">
        <f>Plan_Mantenciones!H135</f>
        <v>71</v>
      </c>
      <c r="F62" t="str">
        <f>Plan_Mantenciones!J135</f>
        <v>Operativo</v>
      </c>
      <c r="G62" t="str">
        <f t="shared" si="0"/>
        <v>Sí</v>
      </c>
    </row>
    <row r="63" spans="1:7">
      <c r="A63" t="str">
        <f>Plan_Mantenciones!A53</f>
        <v>ED-64</v>
      </c>
      <c r="B63" t="str">
        <f>Plan_Mantenciones!B53</f>
        <v>Perforadora Hidraulica</v>
      </c>
      <c r="C63" t="str">
        <f>Plan_Mantenciones!C53</f>
        <v>Maquinaria Pesada</v>
      </c>
      <c r="D63" s="13" t="str">
        <f ca="1">Plan_Mantenciones!I53</f>
        <v/>
      </c>
      <c r="E63" t="str">
        <f>Plan_Mantenciones!H53</f>
        <v/>
      </c>
      <c r="F63" t="str">
        <f>Plan_Mantenciones!J53</f>
        <v>Operativo</v>
      </c>
      <c r="G63" t="str">
        <f t="shared" si="0"/>
        <v>No</v>
      </c>
    </row>
    <row r="64" spans="1:7">
      <c r="A64" t="str">
        <f>Plan_Mantenciones!A138</f>
        <v>MD-102</v>
      </c>
      <c r="B64" t="str">
        <f>Plan_Mantenciones!B138</f>
        <v>Rodillo</v>
      </c>
      <c r="C64" t="str">
        <f>Plan_Mantenciones!C138</f>
        <v>Maquinaria Pesada</v>
      </c>
      <c r="D64" s="13">
        <f ca="1">Plan_Mantenciones!I138</f>
        <v>46210</v>
      </c>
      <c r="E64">
        <f>Plan_Mantenciones!H138</f>
        <v>65</v>
      </c>
      <c r="F64" t="str">
        <f>Plan_Mantenciones!J138</f>
        <v>Operativo</v>
      </c>
      <c r="G64" t="str">
        <f t="shared" si="0"/>
        <v>Sí</v>
      </c>
    </row>
    <row r="65" spans="1:7">
      <c r="A65" t="str">
        <f>Plan_Mantenciones!A144</f>
        <v>CD-102</v>
      </c>
      <c r="B65" t="str">
        <f>Plan_Mantenciones!B144</f>
        <v>Camión Tolva</v>
      </c>
      <c r="C65" t="str">
        <f>Plan_Mantenciones!C144</f>
        <v>Camiones de Ruta</v>
      </c>
      <c r="D65" s="13">
        <f ca="1">Plan_Mantenciones!I144</f>
        <v>46188</v>
      </c>
      <c r="E65">
        <f>Plan_Mantenciones!H144</f>
        <v>43</v>
      </c>
      <c r="F65" t="str">
        <f>Plan_Mantenciones!J144</f>
        <v>Operativo</v>
      </c>
      <c r="G65" t="str">
        <f t="shared" si="0"/>
        <v>Sí</v>
      </c>
    </row>
    <row r="66" spans="1:7" hidden="1">
      <c r="A66" t="str">
        <f>Plan_Mantenciones!A38</f>
        <v>CD-111</v>
      </c>
      <c r="B66" t="str">
        <f>Plan_Mantenciones!B38</f>
        <v>Camión Plano</v>
      </c>
      <c r="C66" t="str">
        <f>Plan_Mantenciones!C38</f>
        <v>Camiones de Ruta</v>
      </c>
      <c r="D66" s="13" t="str">
        <f ca="1">Plan_Mantenciones!I38</f>
        <v/>
      </c>
      <c r="E66" t="str">
        <f>Plan_Mantenciones!H38</f>
        <v/>
      </c>
      <c r="F66" t="str">
        <f>Plan_Mantenciones!J38</f>
        <v>Fuera de Servicio</v>
      </c>
      <c r="G66" t="str">
        <f t="shared" si="0"/>
        <v>No</v>
      </c>
    </row>
    <row r="67" spans="1:7">
      <c r="A67" t="str">
        <f>Plan_Mantenciones!A126</f>
        <v>VD-100</v>
      </c>
      <c r="B67" t="str">
        <f>Plan_Mantenciones!B126</f>
        <v>Camioneta</v>
      </c>
      <c r="C67" t="str">
        <f>Plan_Mantenciones!C126</f>
        <v>Vehículos Livianos</v>
      </c>
      <c r="D67" s="13">
        <f ca="1">Plan_Mantenciones!I126</f>
        <v>46217</v>
      </c>
      <c r="E67">
        <f>Plan_Mantenciones!H126</f>
        <v>72</v>
      </c>
      <c r="F67" t="str">
        <f>Plan_Mantenciones!J126</f>
        <v>Operativo</v>
      </c>
      <c r="G67" t="str">
        <f t="shared" si="0"/>
        <v>Sí</v>
      </c>
    </row>
    <row r="68" spans="1:7">
      <c r="A68" t="str">
        <f>Plan_Mantenciones!A127</f>
        <v>VD-118</v>
      </c>
      <c r="B68" t="str">
        <f>Plan_Mantenciones!B127</f>
        <v>Furgon</v>
      </c>
      <c r="C68" t="str">
        <f>Plan_Mantenciones!C127</f>
        <v>Vehículos Livianos</v>
      </c>
      <c r="D68" s="13">
        <f ca="1">Plan_Mantenciones!I127</f>
        <v>46230</v>
      </c>
      <c r="E68">
        <f>Plan_Mantenciones!H127</f>
        <v>85</v>
      </c>
      <c r="F68" t="str">
        <f>Plan_Mantenciones!J127</f>
        <v>Operativo</v>
      </c>
      <c r="G68" t="str">
        <f t="shared" ref="G68:G131" si="1">IF(AND(ISNUMBER(E68),E68&gt;=0,E68&lt;=90),"Sí","No")</f>
        <v>Sí</v>
      </c>
    </row>
    <row r="69" spans="1:7">
      <c r="A69" t="str">
        <f>Plan_Mantenciones!A134</f>
        <v>VD-122</v>
      </c>
      <c r="B69" t="str">
        <f>Plan_Mantenciones!B134</f>
        <v>Furgon</v>
      </c>
      <c r="C69" t="str">
        <f>Plan_Mantenciones!C134</f>
        <v>Vehículos Livianos</v>
      </c>
      <c r="D69" s="13">
        <f ca="1">Plan_Mantenciones!I134</f>
        <v>46181</v>
      </c>
      <c r="E69">
        <f>Plan_Mantenciones!H134</f>
        <v>36</v>
      </c>
      <c r="F69" t="str">
        <f>Plan_Mantenciones!J134</f>
        <v>Operativo</v>
      </c>
      <c r="G69" t="str">
        <f t="shared" si="1"/>
        <v>Sí</v>
      </c>
    </row>
    <row r="70" spans="1:7">
      <c r="A70" t="str">
        <f>Plan_Mantenciones!A40</f>
        <v>CD-126</v>
      </c>
      <c r="B70" t="str">
        <f>Plan_Mantenciones!B40</f>
        <v>Camión Maxus</v>
      </c>
      <c r="C70" t="str">
        <f>Plan_Mantenciones!C40</f>
        <v>Camiones de Ruta</v>
      </c>
      <c r="D70" s="13" t="str">
        <f ca="1">Plan_Mantenciones!I40</f>
        <v/>
      </c>
      <c r="E70" t="str">
        <f>Plan_Mantenciones!H40</f>
        <v/>
      </c>
      <c r="F70" t="str">
        <f>Plan_Mantenciones!J40</f>
        <v>Operativo</v>
      </c>
      <c r="G70" t="str">
        <f t="shared" si="1"/>
        <v>No</v>
      </c>
    </row>
    <row r="71" spans="1:7">
      <c r="A71" t="str">
        <f>Plan_Mantenciones!A72</f>
        <v>MD-58</v>
      </c>
      <c r="B71" t="str">
        <f>Plan_Mantenciones!B72</f>
        <v>Rodillo de Neumaticos</v>
      </c>
      <c r="C71" t="str">
        <f>Plan_Mantenciones!C72</f>
        <v>Maquinaria Pesada</v>
      </c>
      <c r="D71" s="13" t="str">
        <f ca="1">Plan_Mantenciones!I72</f>
        <v/>
      </c>
      <c r="E71" t="str">
        <f>Plan_Mantenciones!H72</f>
        <v/>
      </c>
      <c r="F71" t="str">
        <f>Plan_Mantenciones!J72</f>
        <v>Operativo</v>
      </c>
      <c r="G71" t="str">
        <f t="shared" si="1"/>
        <v>No</v>
      </c>
    </row>
    <row r="72" spans="1:7">
      <c r="A72" t="str">
        <f>Plan_Mantenciones!A103</f>
        <v>VD-137</v>
      </c>
      <c r="B72" t="str">
        <f>Plan_Mantenciones!B103</f>
        <v>Camioneta</v>
      </c>
      <c r="C72" t="str">
        <f>Plan_Mantenciones!C103</f>
        <v>Vehículos Livianos</v>
      </c>
      <c r="D72" s="13">
        <f ca="1">Plan_Mantenciones!I103</f>
        <v>47468</v>
      </c>
      <c r="E72">
        <f>Plan_Mantenciones!H103</f>
        <v>1323</v>
      </c>
      <c r="F72" t="str">
        <f>Plan_Mantenciones!J103</f>
        <v>Operativo</v>
      </c>
      <c r="G72" t="str">
        <f t="shared" si="1"/>
        <v>No</v>
      </c>
    </row>
    <row r="73" spans="1:7" hidden="1">
      <c r="A73" t="str">
        <f>Plan_Mantenciones!A77</f>
        <v>MD-81</v>
      </c>
      <c r="B73" t="str">
        <f>Plan_Mantenciones!B77</f>
        <v>Pavimentadora de encofrado deslizante</v>
      </c>
      <c r="C73" t="str">
        <f>Plan_Mantenciones!C77</f>
        <v>Maquinaria Pesada</v>
      </c>
      <c r="D73" s="13" t="str">
        <f ca="1">Plan_Mantenciones!I77</f>
        <v/>
      </c>
      <c r="E73" t="str">
        <f>Plan_Mantenciones!H77</f>
        <v/>
      </c>
      <c r="F73" t="str">
        <f>Plan_Mantenciones!J77</f>
        <v>Fuera de Servicio</v>
      </c>
      <c r="G73" t="str">
        <f t="shared" si="1"/>
        <v>No</v>
      </c>
    </row>
    <row r="74" spans="1:7" hidden="1">
      <c r="A74" t="str">
        <f>Plan_Mantenciones!A90</f>
        <v>VD-71</v>
      </c>
      <c r="B74" t="str">
        <f>Plan_Mantenciones!B90</f>
        <v>Furgon</v>
      </c>
      <c r="C74" t="str">
        <f>Plan_Mantenciones!C90</f>
        <v>Vehículos Livianos</v>
      </c>
      <c r="D74" s="13" t="str">
        <f ca="1">Plan_Mantenciones!I90</f>
        <v/>
      </c>
      <c r="E74" t="str">
        <f>Plan_Mantenciones!H90</f>
        <v/>
      </c>
      <c r="F74" t="str">
        <f>Plan_Mantenciones!J90</f>
        <v>Fuera de Servicio</v>
      </c>
      <c r="G74" t="str">
        <f t="shared" si="1"/>
        <v>No</v>
      </c>
    </row>
    <row r="75" spans="1:7">
      <c r="A75" t="str">
        <f>Plan_Mantenciones!A101</f>
        <v>MD-80</v>
      </c>
      <c r="B75" t="str">
        <f>Plan_Mantenciones!B101</f>
        <v>Retroexcavadora</v>
      </c>
      <c r="C75" t="str">
        <f>Plan_Mantenciones!C101</f>
        <v>Maquinaria Pesada</v>
      </c>
      <c r="D75" s="13">
        <f ca="1">Plan_Mantenciones!I101</f>
        <v>46103</v>
      </c>
      <c r="E75">
        <f>Plan_Mantenciones!H101</f>
        <v>-42</v>
      </c>
      <c r="F75" t="str">
        <f>Plan_Mantenciones!J101</f>
        <v>Operativo</v>
      </c>
      <c r="G75" t="str">
        <f t="shared" si="1"/>
        <v>No</v>
      </c>
    </row>
    <row r="76" spans="1:7">
      <c r="A76" t="str">
        <f>Plan_Mantenciones!A131</f>
        <v>CD-107</v>
      </c>
      <c r="B76" t="str">
        <f>Plan_Mantenciones!B131</f>
        <v>Camión Tolva</v>
      </c>
      <c r="C76" t="str">
        <f>Plan_Mantenciones!C131</f>
        <v>Camiones de Ruta</v>
      </c>
      <c r="D76" s="13">
        <f ca="1">Plan_Mantenciones!I131</f>
        <v>46208</v>
      </c>
      <c r="E76">
        <f>Plan_Mantenciones!H131</f>
        <v>63</v>
      </c>
      <c r="F76" t="str">
        <f>Plan_Mantenciones!J131</f>
        <v>Operativo</v>
      </c>
      <c r="G76" t="str">
        <f t="shared" si="1"/>
        <v>Sí</v>
      </c>
    </row>
    <row r="77" spans="1:7">
      <c r="A77" t="str">
        <f>Plan_Mantenciones!A81</f>
        <v>VD-141</v>
      </c>
      <c r="B77" t="str">
        <f>Plan_Mantenciones!B81</f>
        <v>Camioneta</v>
      </c>
      <c r="C77" t="str">
        <f>Plan_Mantenciones!C81</f>
        <v>Vehículos Livianos</v>
      </c>
      <c r="D77" s="13" t="str">
        <f ca="1">Plan_Mantenciones!I81</f>
        <v/>
      </c>
      <c r="E77" t="str">
        <f>Plan_Mantenciones!H81</f>
        <v/>
      </c>
      <c r="F77" t="str">
        <f>Plan_Mantenciones!J81</f>
        <v>Operativo</v>
      </c>
      <c r="G77" t="str">
        <f t="shared" si="1"/>
        <v>No</v>
      </c>
    </row>
    <row r="78" spans="1:7" hidden="1">
      <c r="A78" t="str">
        <f>Plan_Mantenciones!A94</f>
        <v>VD-81</v>
      </c>
      <c r="B78" t="str">
        <f>Plan_Mantenciones!B94</f>
        <v>Furgon</v>
      </c>
      <c r="C78" t="str">
        <f>Plan_Mantenciones!C94</f>
        <v>Vehículos Livianos</v>
      </c>
      <c r="D78" s="13" t="str">
        <f ca="1">Plan_Mantenciones!I94</f>
        <v/>
      </c>
      <c r="E78" t="str">
        <f>Plan_Mantenciones!H94</f>
        <v/>
      </c>
      <c r="F78" t="str">
        <f>Plan_Mantenciones!J94</f>
        <v>Fuera de Servicio</v>
      </c>
      <c r="G78" t="str">
        <f t="shared" si="1"/>
        <v>No</v>
      </c>
    </row>
    <row r="79" spans="1:7">
      <c r="A79" t="str">
        <f>Plan_Mantenciones!A100</f>
        <v>VD-142</v>
      </c>
      <c r="B79" t="str">
        <f>Plan_Mantenciones!B100</f>
        <v>Camioneta</v>
      </c>
      <c r="C79" t="str">
        <f>Plan_Mantenciones!C100</f>
        <v>Vehículos Livianos</v>
      </c>
      <c r="D79" s="13" t="str">
        <f ca="1">Plan_Mantenciones!I100</f>
        <v/>
      </c>
      <c r="E79" t="str">
        <f>Plan_Mantenciones!H100</f>
        <v/>
      </c>
      <c r="F79" t="str">
        <f>Plan_Mantenciones!J100</f>
        <v>Operativo</v>
      </c>
      <c r="G79" t="str">
        <f t="shared" si="1"/>
        <v>No</v>
      </c>
    </row>
    <row r="80" spans="1:7">
      <c r="A80" t="str">
        <f>Plan_Mantenciones!A119</f>
        <v>VD-95</v>
      </c>
      <c r="B80" t="str">
        <f>Plan_Mantenciones!B119</f>
        <v>Camioneta</v>
      </c>
      <c r="C80" t="str">
        <f>Plan_Mantenciones!C119</f>
        <v>Vehículos Livianos</v>
      </c>
      <c r="D80" s="13">
        <f ca="1">Plan_Mantenciones!I119</f>
        <v>46218</v>
      </c>
      <c r="E80">
        <f>Plan_Mantenciones!H119</f>
        <v>73</v>
      </c>
      <c r="F80" t="str">
        <f>Plan_Mantenciones!J119</f>
        <v>Operativo</v>
      </c>
      <c r="G80" t="str">
        <f t="shared" si="1"/>
        <v>Sí</v>
      </c>
    </row>
    <row r="81" spans="1:7">
      <c r="A81" t="str">
        <f>Plan_Mantenciones!A66</f>
        <v>MD-42</v>
      </c>
      <c r="B81" t="str">
        <f>Plan_Mantenciones!B66</f>
        <v>Cargador Frontal</v>
      </c>
      <c r="C81" t="str">
        <f>Plan_Mantenciones!C66</f>
        <v>Maquinaria Pesada</v>
      </c>
      <c r="D81" s="13" t="str">
        <f ca="1">Plan_Mantenciones!I66</f>
        <v/>
      </c>
      <c r="E81" t="str">
        <f>Plan_Mantenciones!H66</f>
        <v/>
      </c>
      <c r="F81" t="str">
        <f>Plan_Mantenciones!J66</f>
        <v>Taller</v>
      </c>
      <c r="G81" t="str">
        <f t="shared" si="1"/>
        <v>No</v>
      </c>
    </row>
    <row r="82" spans="1:7">
      <c r="A82" t="str">
        <f>Plan_Mantenciones!A23</f>
        <v>CD-116</v>
      </c>
      <c r="B82" t="str">
        <f>Plan_Mantenciones!B23</f>
        <v>Camión Plano</v>
      </c>
      <c r="C82" t="str">
        <f>Plan_Mantenciones!C23</f>
        <v>Camiones de Ruta</v>
      </c>
      <c r="D82" s="13" t="str">
        <f ca="1">Plan_Mantenciones!I23</f>
        <v/>
      </c>
      <c r="E82" t="str">
        <f>Plan_Mantenciones!H23</f>
        <v/>
      </c>
      <c r="F82" t="str">
        <f>Plan_Mantenciones!J23</f>
        <v>Operativo</v>
      </c>
      <c r="G82" t="str">
        <f t="shared" si="1"/>
        <v>No</v>
      </c>
    </row>
    <row r="83" spans="1:7">
      <c r="A83" t="str">
        <f>Plan_Mantenciones!A71</f>
        <v>MD-52</v>
      </c>
      <c r="B83" t="str">
        <f>Plan_Mantenciones!B71</f>
        <v>Rodillo Doble Tambor</v>
      </c>
      <c r="C83" t="str">
        <f>Plan_Mantenciones!C71</f>
        <v>Maquinaria Pesada</v>
      </c>
      <c r="D83" s="13" t="str">
        <f ca="1">Plan_Mantenciones!I71</f>
        <v/>
      </c>
      <c r="E83" t="str">
        <f>Plan_Mantenciones!H71</f>
        <v/>
      </c>
      <c r="F83" t="str">
        <f>Plan_Mantenciones!J71</f>
        <v>Operativo</v>
      </c>
      <c r="G83" t="str">
        <f t="shared" si="1"/>
        <v>No</v>
      </c>
    </row>
    <row r="84" spans="1:7">
      <c r="A84" t="str">
        <f>Plan_Mantenciones!A5</f>
        <v>CD-118</v>
      </c>
      <c r="B84" t="str">
        <f>Plan_Mantenciones!B5</f>
        <v>Camión Plano</v>
      </c>
      <c r="C84" t="str">
        <f>Plan_Mantenciones!C5</f>
        <v>Camiones de Ruta</v>
      </c>
      <c r="D84" s="13" t="str">
        <f ca="1">Plan_Mantenciones!I5</f>
        <v/>
      </c>
      <c r="E84" t="str">
        <f>Plan_Mantenciones!H5</f>
        <v/>
      </c>
      <c r="F84" t="str">
        <f>Plan_Mantenciones!J5</f>
        <v>Operativo</v>
      </c>
      <c r="G84" t="str">
        <f t="shared" si="1"/>
        <v>No</v>
      </c>
    </row>
    <row r="85" spans="1:7">
      <c r="A85" t="str">
        <f>Plan_Mantenciones!A82</f>
        <v>VD-29</v>
      </c>
      <c r="B85" t="str">
        <f>Plan_Mantenciones!B82</f>
        <v>Minibus</v>
      </c>
      <c r="C85" t="str">
        <f>Plan_Mantenciones!C82</f>
        <v>Vehículos Livianos</v>
      </c>
      <c r="D85" s="13" t="str">
        <f ca="1">Plan_Mantenciones!I82</f>
        <v/>
      </c>
      <c r="E85" t="str">
        <f>Plan_Mantenciones!H82</f>
        <v/>
      </c>
      <c r="F85" t="str">
        <f>Plan_Mantenciones!J82</f>
        <v>Operativo</v>
      </c>
      <c r="G85" t="str">
        <f t="shared" si="1"/>
        <v>No</v>
      </c>
    </row>
    <row r="86" spans="1:7" hidden="1">
      <c r="A86" t="str">
        <f>Plan_Mantenciones!A93</f>
        <v>VD-80</v>
      </c>
      <c r="B86" t="str">
        <f>Plan_Mantenciones!B93</f>
        <v>Furgon</v>
      </c>
      <c r="C86" t="str">
        <f>Plan_Mantenciones!C93</f>
        <v>Vehículos Livianos</v>
      </c>
      <c r="D86" s="13" t="str">
        <f ca="1">Plan_Mantenciones!I93</f>
        <v/>
      </c>
      <c r="E86" t="str">
        <f>Plan_Mantenciones!H93</f>
        <v/>
      </c>
      <c r="F86" t="str">
        <f>Plan_Mantenciones!J93</f>
        <v>Fuera de Servicio</v>
      </c>
      <c r="G86" t="str">
        <f t="shared" si="1"/>
        <v>No</v>
      </c>
    </row>
    <row r="87" spans="1:7">
      <c r="A87" t="str">
        <f>Plan_Mantenciones!A123</f>
        <v>VD-128</v>
      </c>
      <c r="B87" t="str">
        <f>Plan_Mantenciones!B123</f>
        <v>Camioneta</v>
      </c>
      <c r="C87" t="str">
        <f>Plan_Mantenciones!C123</f>
        <v>Vehículos Livianos</v>
      </c>
      <c r="D87" s="13">
        <f ca="1">Plan_Mantenciones!I123</f>
        <v>46248</v>
      </c>
      <c r="E87">
        <f>Plan_Mantenciones!H123</f>
        <v>103</v>
      </c>
      <c r="F87" t="str">
        <f>Plan_Mantenciones!J123</f>
        <v>Operativo</v>
      </c>
      <c r="G87" t="str">
        <f t="shared" si="1"/>
        <v>No</v>
      </c>
    </row>
    <row r="88" spans="1:7">
      <c r="A88" t="str">
        <f>Plan_Mantenciones!A11</f>
        <v>CD-140</v>
      </c>
      <c r="B88" t="str">
        <f>Plan_Mantenciones!B11</f>
        <v>Camion Plano</v>
      </c>
      <c r="C88" t="str">
        <f>Plan_Mantenciones!C11</f>
        <v>Maquinaria Pesada</v>
      </c>
      <c r="D88" s="13" t="str">
        <f ca="1">Plan_Mantenciones!I11</f>
        <v/>
      </c>
      <c r="E88" t="str">
        <f>Plan_Mantenciones!H11</f>
        <v/>
      </c>
      <c r="F88" t="str">
        <f>Plan_Mantenciones!J11</f>
        <v>Operativo</v>
      </c>
      <c r="G88" t="str">
        <f t="shared" si="1"/>
        <v>No</v>
      </c>
    </row>
    <row r="89" spans="1:7">
      <c r="A89" t="str">
        <f>Plan_Mantenciones!A107</f>
        <v>CD-109</v>
      </c>
      <c r="B89" t="str">
        <f>Plan_Mantenciones!B107</f>
        <v>Camión Plano</v>
      </c>
      <c r="C89" t="str">
        <f>Plan_Mantenciones!C107</f>
        <v>Camiones de Ruta</v>
      </c>
      <c r="D89" s="13">
        <f ca="1">Plan_Mantenciones!I107</f>
        <v>46360</v>
      </c>
      <c r="E89">
        <f>Plan_Mantenciones!H107</f>
        <v>215</v>
      </c>
      <c r="F89" t="str">
        <f>Plan_Mantenciones!J107</f>
        <v>Operativo</v>
      </c>
      <c r="G89" t="str">
        <f t="shared" si="1"/>
        <v>No</v>
      </c>
    </row>
    <row r="90" spans="1:7">
      <c r="A90" t="str">
        <f>Plan_Mantenciones!A19</f>
        <v>CD-113</v>
      </c>
      <c r="B90" t="str">
        <f>Plan_Mantenciones!B19</f>
        <v>Camión Imprimador</v>
      </c>
      <c r="C90" t="str">
        <f>Plan_Mantenciones!C19</f>
        <v>Camiones de Ruta</v>
      </c>
      <c r="D90" s="13" t="str">
        <f ca="1">Plan_Mantenciones!I19</f>
        <v/>
      </c>
      <c r="E90" t="str">
        <f>Plan_Mantenciones!H19</f>
        <v/>
      </c>
      <c r="F90" t="str">
        <f>Plan_Mantenciones!J19</f>
        <v>Operativo</v>
      </c>
      <c r="G90" t="str">
        <f t="shared" si="1"/>
        <v>No</v>
      </c>
    </row>
    <row r="91" spans="1:7" hidden="1">
      <c r="A91" t="str">
        <f>Plan_Mantenciones!A110</f>
        <v>VD-64</v>
      </c>
      <c r="B91" t="str">
        <f>Plan_Mantenciones!B110</f>
        <v>Camioneta</v>
      </c>
      <c r="C91" t="str">
        <f>Plan_Mantenciones!C110</f>
        <v>Vehículos Livianos</v>
      </c>
      <c r="D91" s="13">
        <f ca="1">Plan_Mantenciones!I110</f>
        <v>46267</v>
      </c>
      <c r="E91">
        <f>Plan_Mantenciones!H110</f>
        <v>122</v>
      </c>
      <c r="F91" t="str">
        <f>Plan_Mantenciones!J110</f>
        <v>Fuera de Servicio</v>
      </c>
      <c r="G91" t="str">
        <f t="shared" si="1"/>
        <v>No</v>
      </c>
    </row>
    <row r="92" spans="1:7" hidden="1">
      <c r="A92" t="str">
        <f>Plan_Mantenciones!A88</f>
        <v>VD-68</v>
      </c>
      <c r="B92" t="str">
        <f>Plan_Mantenciones!B88</f>
        <v>Camioneta</v>
      </c>
      <c r="C92" t="str">
        <f>Plan_Mantenciones!C88</f>
        <v>Vehículos Livianos</v>
      </c>
      <c r="D92" s="13" t="str">
        <f ca="1">Plan_Mantenciones!I88</f>
        <v/>
      </c>
      <c r="E92" t="str">
        <f>Plan_Mantenciones!H88</f>
        <v/>
      </c>
      <c r="F92" t="str">
        <f>Plan_Mantenciones!J88</f>
        <v>Fuera de Servicio</v>
      </c>
      <c r="G92" t="str">
        <f t="shared" si="1"/>
        <v>No</v>
      </c>
    </row>
    <row r="93" spans="1:7">
      <c r="A93" t="str">
        <f>Plan_Mantenciones!A55</f>
        <v>ED-66</v>
      </c>
      <c r="B93" t="str">
        <f>Plan_Mantenciones!B55</f>
        <v>Planta Micropavimento</v>
      </c>
      <c r="C93" t="str">
        <f>Plan_Mantenciones!C55</f>
        <v>Maquinaria Pesada</v>
      </c>
      <c r="D93" s="13" t="str">
        <f ca="1">Plan_Mantenciones!I55</f>
        <v/>
      </c>
      <c r="E93" t="str">
        <f>Plan_Mantenciones!H55</f>
        <v/>
      </c>
      <c r="F93" t="str">
        <f>Plan_Mantenciones!J55</f>
        <v>Operativo</v>
      </c>
      <c r="G93" t="str">
        <f t="shared" si="1"/>
        <v>No</v>
      </c>
    </row>
    <row r="94" spans="1:7">
      <c r="A94" t="str">
        <f>Plan_Mantenciones!A16</f>
        <v>CD-115</v>
      </c>
      <c r="B94" t="str">
        <f>Plan_Mantenciones!B16</f>
        <v>Tracto Camión</v>
      </c>
      <c r="C94" t="str">
        <f>Plan_Mantenciones!C16</f>
        <v>Camiones de Ruta</v>
      </c>
      <c r="D94" s="13" t="str">
        <f ca="1">Plan_Mantenciones!I16</f>
        <v/>
      </c>
      <c r="E94" t="str">
        <f>Plan_Mantenciones!H16</f>
        <v/>
      </c>
      <c r="F94" t="str">
        <f>Plan_Mantenciones!J16</f>
        <v>Operativo</v>
      </c>
      <c r="G94" t="str">
        <f t="shared" si="1"/>
        <v>No</v>
      </c>
    </row>
    <row r="95" spans="1:7">
      <c r="A95" t="str">
        <f>Plan_Mantenciones!A63</f>
        <v>MD-33</v>
      </c>
      <c r="B95" t="str">
        <f>Plan_Mantenciones!B63</f>
        <v>Excavadora</v>
      </c>
      <c r="C95" t="str">
        <f>Plan_Mantenciones!C63</f>
        <v>Maquinaria Pesada</v>
      </c>
      <c r="D95" s="13" t="str">
        <f ca="1">Plan_Mantenciones!I63</f>
        <v/>
      </c>
      <c r="E95" t="str">
        <f>Plan_Mantenciones!H63</f>
        <v/>
      </c>
      <c r="F95" t="str">
        <f>Plan_Mantenciones!J63</f>
        <v>Taller</v>
      </c>
      <c r="G95" t="str">
        <f t="shared" si="1"/>
        <v>No</v>
      </c>
    </row>
    <row r="96" spans="1:7" hidden="1">
      <c r="A96" t="str">
        <f>Plan_Mantenciones!A92</f>
        <v>VD-74</v>
      </c>
      <c r="B96" t="str">
        <f>Plan_Mantenciones!B92</f>
        <v>Camioneta</v>
      </c>
      <c r="C96" t="str">
        <f>Plan_Mantenciones!C92</f>
        <v>Vehículos Livianos</v>
      </c>
      <c r="D96" s="13" t="str">
        <f ca="1">Plan_Mantenciones!I92</f>
        <v/>
      </c>
      <c r="E96" t="str">
        <f>Plan_Mantenciones!H92</f>
        <v/>
      </c>
      <c r="F96" t="str">
        <f>Plan_Mantenciones!J92</f>
        <v>Fuera de Servicio</v>
      </c>
      <c r="G96" t="str">
        <f t="shared" si="1"/>
        <v>No</v>
      </c>
    </row>
    <row r="97" spans="1:7">
      <c r="A97" t="str">
        <f>Plan_Mantenciones!A12</f>
        <v>CD-71</v>
      </c>
      <c r="B97" t="str">
        <f>Plan_Mantenciones!B12</f>
        <v>Camión Aljibe</v>
      </c>
      <c r="C97" t="str">
        <f>Plan_Mantenciones!C12</f>
        <v>Camiones de Ruta</v>
      </c>
      <c r="D97" s="13" t="str">
        <f ca="1">Plan_Mantenciones!I12</f>
        <v/>
      </c>
      <c r="E97" t="str">
        <f>Plan_Mantenciones!H12</f>
        <v/>
      </c>
      <c r="F97" t="str">
        <f>Plan_Mantenciones!J12</f>
        <v>Operativo</v>
      </c>
      <c r="G97" t="str">
        <f t="shared" si="1"/>
        <v>No</v>
      </c>
    </row>
    <row r="98" spans="1:7">
      <c r="A98" t="str">
        <f>Plan_Mantenciones!A10</f>
        <v>CD-97</v>
      </c>
      <c r="B98" t="str">
        <f>Plan_Mantenciones!B10</f>
        <v>Tracto Camión</v>
      </c>
      <c r="C98" t="str">
        <f>Plan_Mantenciones!C10</f>
        <v>Camiones de Ruta</v>
      </c>
      <c r="D98" s="13" t="str">
        <f ca="1">Plan_Mantenciones!I10</f>
        <v/>
      </c>
      <c r="E98" t="str">
        <f>Plan_Mantenciones!H10</f>
        <v/>
      </c>
      <c r="F98" t="str">
        <f>Plan_Mantenciones!J10</f>
        <v>Operativo</v>
      </c>
      <c r="G98" t="str">
        <f t="shared" si="1"/>
        <v>No</v>
      </c>
    </row>
    <row r="99" spans="1:7">
      <c r="A99" t="str">
        <f>Plan_Mantenciones!A130</f>
        <v>VD-88</v>
      </c>
      <c r="B99" t="str">
        <f>Plan_Mantenciones!B130</f>
        <v>Camioneta</v>
      </c>
      <c r="C99" t="str">
        <f>Plan_Mantenciones!C130</f>
        <v>Vehículos Livianos</v>
      </c>
      <c r="D99" s="13">
        <f ca="1">Plan_Mantenciones!I130</f>
        <v>46223</v>
      </c>
      <c r="E99">
        <f>Plan_Mantenciones!H130</f>
        <v>78</v>
      </c>
      <c r="F99" t="str">
        <f>Plan_Mantenciones!J130</f>
        <v>Operativo</v>
      </c>
      <c r="G99" t="str">
        <f t="shared" si="1"/>
        <v>Sí</v>
      </c>
    </row>
    <row r="100" spans="1:7">
      <c r="A100" t="str">
        <f>Plan_Mantenciones!A73</f>
        <v>MD-59</v>
      </c>
      <c r="B100" t="str">
        <f>Plan_Mantenciones!B73</f>
        <v>Cargador Frontal</v>
      </c>
      <c r="C100" t="str">
        <f>Plan_Mantenciones!C73</f>
        <v>Maquinaria Pesada</v>
      </c>
      <c r="D100" s="13" t="str">
        <f ca="1">Plan_Mantenciones!I73</f>
        <v/>
      </c>
      <c r="E100" t="str">
        <f>Plan_Mantenciones!H73</f>
        <v/>
      </c>
      <c r="F100" t="str">
        <f>Plan_Mantenciones!J73</f>
        <v>Operativo</v>
      </c>
      <c r="G100" t="str">
        <f t="shared" si="1"/>
        <v>No</v>
      </c>
    </row>
    <row r="101" spans="1:7">
      <c r="A101" t="str">
        <f>Plan_Mantenciones!A114</f>
        <v>VD-94</v>
      </c>
      <c r="B101" t="str">
        <f>Plan_Mantenciones!B114</f>
        <v>Camioneta</v>
      </c>
      <c r="C101" t="str">
        <f>Plan_Mantenciones!C114</f>
        <v>Vehículos Livianos</v>
      </c>
      <c r="D101" s="13">
        <f ca="1">Plan_Mantenciones!I114</f>
        <v>46267</v>
      </c>
      <c r="E101">
        <f>Plan_Mantenciones!H114</f>
        <v>122</v>
      </c>
      <c r="F101" t="str">
        <f>Plan_Mantenciones!J114</f>
        <v>Operativo</v>
      </c>
      <c r="G101" t="str">
        <f t="shared" si="1"/>
        <v>No</v>
      </c>
    </row>
    <row r="102" spans="1:7">
      <c r="A102" t="str">
        <f>Plan_Mantenciones!A33</f>
        <v>MD-74</v>
      </c>
      <c r="B102" t="str">
        <f>Plan_Mantenciones!B33</f>
        <v>Excavadora</v>
      </c>
      <c r="C102" t="str">
        <f>Plan_Mantenciones!C33</f>
        <v>Maquinaria Pesada</v>
      </c>
      <c r="D102" s="13" t="str">
        <f ca="1">Plan_Mantenciones!I33</f>
        <v/>
      </c>
      <c r="E102" t="str">
        <f>Plan_Mantenciones!H33</f>
        <v/>
      </c>
      <c r="F102" t="str">
        <f>Plan_Mantenciones!J33</f>
        <v>Operativo</v>
      </c>
      <c r="G102" t="str">
        <f t="shared" si="1"/>
        <v>No</v>
      </c>
    </row>
    <row r="103" spans="1:7">
      <c r="A103" t="str">
        <f>Plan_Mantenciones!A13</f>
        <v>CD-110</v>
      </c>
      <c r="B103" t="str">
        <f>Plan_Mantenciones!B13</f>
        <v>Camión Plano</v>
      </c>
      <c r="C103" t="str">
        <f>Plan_Mantenciones!C13</f>
        <v>Camiones de Ruta</v>
      </c>
      <c r="D103" s="13">
        <f ca="1">Plan_Mantenciones!I13</f>
        <v>46289</v>
      </c>
      <c r="E103">
        <f>Plan_Mantenciones!H13</f>
        <v>144</v>
      </c>
      <c r="F103" t="str">
        <f>Plan_Mantenciones!J13</f>
        <v>Operativo</v>
      </c>
      <c r="G103" t="str">
        <f t="shared" si="1"/>
        <v>No</v>
      </c>
    </row>
    <row r="104" spans="1:7">
      <c r="A104" t="str">
        <f>Plan_Mantenciones!A46</f>
        <v>CD-142</v>
      </c>
      <c r="B104" t="str">
        <f>Plan_Mantenciones!B46</f>
        <v>Camion Mixer</v>
      </c>
      <c r="C104" t="str">
        <f>Plan_Mantenciones!C46</f>
        <v>Maquinaria Pesada</v>
      </c>
      <c r="D104" s="13" t="str">
        <f ca="1">Plan_Mantenciones!I46</f>
        <v/>
      </c>
      <c r="E104" t="str">
        <f>Plan_Mantenciones!H46</f>
        <v/>
      </c>
      <c r="F104" t="str">
        <f>Plan_Mantenciones!J46</f>
        <v>Operativo</v>
      </c>
      <c r="G104" t="str">
        <f t="shared" si="1"/>
        <v>No</v>
      </c>
    </row>
    <row r="105" spans="1:7">
      <c r="A105" t="str">
        <f>Plan_Mantenciones!A121</f>
        <v>ED-61</v>
      </c>
      <c r="B105" t="str">
        <f>Plan_Mantenciones!B121</f>
        <v>Gravilladora</v>
      </c>
      <c r="C105" t="str">
        <f>Plan_Mantenciones!C121</f>
        <v>Maquinaria Pesada</v>
      </c>
      <c r="D105" s="13">
        <f ca="1">Plan_Mantenciones!I121</f>
        <v>46255</v>
      </c>
      <c r="E105">
        <f>Plan_Mantenciones!H121</f>
        <v>110</v>
      </c>
      <c r="F105" t="str">
        <f>Plan_Mantenciones!J121</f>
        <v>Operativo</v>
      </c>
      <c r="G105" t="str">
        <f t="shared" si="1"/>
        <v>No</v>
      </c>
    </row>
    <row r="106" spans="1:7" hidden="1">
      <c r="A106" t="str">
        <f>Plan_Mantenciones!A37</f>
        <v>CD-103</v>
      </c>
      <c r="B106" t="str">
        <f>Plan_Mantenciones!B37</f>
        <v>Camión Tolva</v>
      </c>
      <c r="C106" t="str">
        <f>Plan_Mantenciones!C37</f>
        <v>Camiones de Ruta</v>
      </c>
      <c r="D106" s="13" t="str">
        <f ca="1">Plan_Mantenciones!I37</f>
        <v/>
      </c>
      <c r="E106" t="str">
        <f>Plan_Mantenciones!H37</f>
        <v/>
      </c>
      <c r="F106" t="str">
        <f>Plan_Mantenciones!J37</f>
        <v>Fuera de Servicio</v>
      </c>
      <c r="G106" t="str">
        <f t="shared" si="1"/>
        <v>No</v>
      </c>
    </row>
    <row r="107" spans="1:7" hidden="1">
      <c r="A107" t="str">
        <f>Plan_Mantenciones!A39</f>
        <v>CD-112</v>
      </c>
      <c r="B107" t="str">
        <f>Plan_Mantenciones!B39</f>
        <v>Camión Pintura</v>
      </c>
      <c r="C107" t="str">
        <f>Plan_Mantenciones!C39</f>
        <v>Camiones de Ruta</v>
      </c>
      <c r="D107" s="13" t="str">
        <f ca="1">Plan_Mantenciones!I39</f>
        <v/>
      </c>
      <c r="E107" t="str">
        <f>Plan_Mantenciones!H39</f>
        <v/>
      </c>
      <c r="F107" t="str">
        <f>Plan_Mantenciones!J39</f>
        <v>Fuera de Servicio</v>
      </c>
      <c r="G107" t="str">
        <f t="shared" si="1"/>
        <v>No</v>
      </c>
    </row>
    <row r="108" spans="1:7">
      <c r="A108" t="str">
        <f>Plan_Mantenciones!A111</f>
        <v>VD-135</v>
      </c>
      <c r="B108" t="str">
        <f>Plan_Mantenciones!B111</f>
        <v>Camioneta</v>
      </c>
      <c r="C108" t="str">
        <f>Plan_Mantenciones!C111</f>
        <v>Vehículos Livianos</v>
      </c>
      <c r="D108" s="13">
        <f ca="1">Plan_Mantenciones!I111</f>
        <v>46290</v>
      </c>
      <c r="E108">
        <f>Plan_Mantenciones!H111</f>
        <v>145</v>
      </c>
      <c r="F108" t="str">
        <f>Plan_Mantenciones!J111</f>
        <v>Operativo</v>
      </c>
      <c r="G108" t="str">
        <f t="shared" si="1"/>
        <v>No</v>
      </c>
    </row>
    <row r="109" spans="1:7" hidden="1">
      <c r="A109" t="str">
        <f>Plan_Mantenciones!A89</f>
        <v>VD-70</v>
      </c>
      <c r="B109" t="str">
        <f>Plan_Mantenciones!B89</f>
        <v>Furgon</v>
      </c>
      <c r="C109" t="str">
        <f>Plan_Mantenciones!C89</f>
        <v>Vehículos Livianos</v>
      </c>
      <c r="D109" s="13" t="str">
        <f ca="1">Plan_Mantenciones!I89</f>
        <v/>
      </c>
      <c r="E109" t="str">
        <f>Plan_Mantenciones!H89</f>
        <v/>
      </c>
      <c r="F109" t="str">
        <f>Plan_Mantenciones!J89</f>
        <v>Fuera de Servicio</v>
      </c>
      <c r="G109" t="str">
        <f t="shared" si="1"/>
        <v>No</v>
      </c>
    </row>
    <row r="110" spans="1:7">
      <c r="A110" t="str">
        <f>Plan_Mantenciones!A133</f>
        <v>MD-79</v>
      </c>
      <c r="B110" t="str">
        <f>Plan_Mantenciones!B133</f>
        <v>Motoniveladora</v>
      </c>
      <c r="C110" t="str">
        <f>Plan_Mantenciones!C133</f>
        <v>Maquinaria Pesada</v>
      </c>
      <c r="D110" s="13">
        <f ca="1">Plan_Mantenciones!I133</f>
        <v>46219</v>
      </c>
      <c r="E110">
        <f>Plan_Mantenciones!H133</f>
        <v>74</v>
      </c>
      <c r="F110" t="str">
        <f>Plan_Mantenciones!J133</f>
        <v>Operativo</v>
      </c>
      <c r="G110" t="str">
        <f t="shared" si="1"/>
        <v>Sí</v>
      </c>
    </row>
    <row r="111" spans="1:7">
      <c r="A111" t="str">
        <f>Plan_Mantenciones!A8</f>
        <v>CD-137</v>
      </c>
      <c r="B111" t="str">
        <f>Plan_Mantenciones!B8</f>
        <v>Tracto Camión</v>
      </c>
      <c r="C111" t="str">
        <f>Plan_Mantenciones!C8</f>
        <v>Camiones de Ruta</v>
      </c>
      <c r="D111" s="13" t="str">
        <f ca="1">Plan_Mantenciones!I8</f>
        <v/>
      </c>
      <c r="E111" t="str">
        <f>Plan_Mantenciones!H8</f>
        <v/>
      </c>
      <c r="F111" t="str">
        <f>Plan_Mantenciones!J8</f>
        <v>Operativo</v>
      </c>
      <c r="G111" t="str">
        <f t="shared" si="1"/>
        <v>No</v>
      </c>
    </row>
    <row r="112" spans="1:7">
      <c r="A112" t="str">
        <f>Plan_Mantenciones!A136</f>
        <v>CD-136</v>
      </c>
      <c r="B112" t="str">
        <f>Plan_Mantenciones!B136</f>
        <v>Camión Combustible</v>
      </c>
      <c r="C112" t="str">
        <f>Plan_Mantenciones!C136</f>
        <v>Camiones de Ruta</v>
      </c>
      <c r="D112" s="13">
        <f ca="1">Plan_Mantenciones!I136</f>
        <v>46212</v>
      </c>
      <c r="E112">
        <f>Plan_Mantenciones!H136</f>
        <v>67</v>
      </c>
      <c r="F112" t="str">
        <f>Plan_Mantenciones!J136</f>
        <v>Operativo</v>
      </c>
      <c r="G112" t="str">
        <f t="shared" si="1"/>
        <v>Sí</v>
      </c>
    </row>
    <row r="113" spans="1:7">
      <c r="A113" t="str">
        <f>Plan_Mantenciones!A45</f>
        <v>CD-141</v>
      </c>
      <c r="B113" t="str">
        <f>Plan_Mantenciones!B45</f>
        <v>Camion Mixer</v>
      </c>
      <c r="C113" t="str">
        <f>Plan_Mantenciones!C45</f>
        <v>Maquinaria Pesada</v>
      </c>
      <c r="D113" s="13" t="str">
        <f ca="1">Plan_Mantenciones!I45</f>
        <v/>
      </c>
      <c r="E113" t="str">
        <f>Plan_Mantenciones!H45</f>
        <v/>
      </c>
      <c r="F113" t="str">
        <f>Plan_Mantenciones!J45</f>
        <v>Operativo</v>
      </c>
      <c r="G113" t="str">
        <f t="shared" si="1"/>
        <v>No</v>
      </c>
    </row>
    <row r="114" spans="1:7">
      <c r="A114" t="str">
        <f>Plan_Mantenciones!A64</f>
        <v>MD-37</v>
      </c>
      <c r="B114" t="str">
        <f>Plan_Mantenciones!B64</f>
        <v>Cargador Frontal</v>
      </c>
      <c r="C114" t="str">
        <f>Plan_Mantenciones!C64</f>
        <v>Maquinaria Pesada</v>
      </c>
      <c r="D114" s="13" t="str">
        <f ca="1">Plan_Mantenciones!I64</f>
        <v/>
      </c>
      <c r="E114" t="str">
        <f>Plan_Mantenciones!H64</f>
        <v/>
      </c>
      <c r="F114" t="str">
        <f>Plan_Mantenciones!J64</f>
        <v>Taller</v>
      </c>
      <c r="G114" t="str">
        <f t="shared" si="1"/>
        <v>No</v>
      </c>
    </row>
    <row r="115" spans="1:7" hidden="1">
      <c r="A115" t="str">
        <f>Plan_Mantenciones!A58</f>
        <v>EQP-13</v>
      </c>
      <c r="B115" t="str">
        <f>Plan_Mantenciones!B58</f>
        <v>Planta aridos</v>
      </c>
      <c r="C115" t="str">
        <f>Plan_Mantenciones!C58</f>
        <v>Maquinaria Pesada</v>
      </c>
      <c r="D115" s="13" t="str">
        <f ca="1">Plan_Mantenciones!I58</f>
        <v/>
      </c>
      <c r="E115" t="str">
        <f>Plan_Mantenciones!H58</f>
        <v/>
      </c>
      <c r="F115" t="str">
        <f>Plan_Mantenciones!J58</f>
        <v>Fuera de Servicio</v>
      </c>
      <c r="G115" t="str">
        <f t="shared" si="1"/>
        <v>No</v>
      </c>
    </row>
    <row r="116" spans="1:7" hidden="1">
      <c r="A116" t="str">
        <f>Plan_Mantenciones!A86</f>
        <v>VD-62</v>
      </c>
      <c r="B116" t="str">
        <f>Plan_Mantenciones!B86</f>
        <v>Camioneta</v>
      </c>
      <c r="C116" t="str">
        <f>Plan_Mantenciones!C86</f>
        <v>Vehículos Livianos</v>
      </c>
      <c r="D116" s="13" t="str">
        <f ca="1">Plan_Mantenciones!I86</f>
        <v/>
      </c>
      <c r="E116" t="str">
        <f>Plan_Mantenciones!H86</f>
        <v/>
      </c>
      <c r="F116" t="str">
        <f>Plan_Mantenciones!J86</f>
        <v>Fuera de Servicio</v>
      </c>
      <c r="G116" t="str">
        <f t="shared" si="1"/>
        <v>No</v>
      </c>
    </row>
    <row r="117" spans="1:7" hidden="1">
      <c r="A117" t="str">
        <f>Plan_Mantenciones!A62</f>
        <v>MD-106</v>
      </c>
      <c r="B117" t="str">
        <f>Plan_Mantenciones!B62</f>
        <v>Maquina Industrial</v>
      </c>
      <c r="C117" t="str">
        <f>Plan_Mantenciones!C62</f>
        <v>Maquinaria Pesada</v>
      </c>
      <c r="D117" s="13" t="str">
        <f ca="1">Plan_Mantenciones!I62</f>
        <v/>
      </c>
      <c r="E117" t="str">
        <f>Plan_Mantenciones!H62</f>
        <v/>
      </c>
      <c r="F117" t="str">
        <f>Plan_Mantenciones!J62</f>
        <v>No operativo</v>
      </c>
      <c r="G117" t="str">
        <f t="shared" si="1"/>
        <v>No</v>
      </c>
    </row>
    <row r="118" spans="1:7">
      <c r="A118" t="str">
        <f>Plan_Mantenciones!A102</f>
        <v>CD-132</v>
      </c>
      <c r="B118" t="str">
        <f>Plan_Mantenciones!B102</f>
        <v>Camión Tolva</v>
      </c>
      <c r="C118" t="str">
        <f>Plan_Mantenciones!C102</f>
        <v>Camiones de Ruta</v>
      </c>
      <c r="D118" s="13">
        <f ca="1">Plan_Mantenciones!I102</f>
        <v>48837</v>
      </c>
      <c r="E118">
        <f>Plan_Mantenciones!H102</f>
        <v>2692</v>
      </c>
      <c r="F118" t="str">
        <f>Plan_Mantenciones!J102</f>
        <v>Operativo</v>
      </c>
      <c r="G118" t="str">
        <f t="shared" si="1"/>
        <v>No</v>
      </c>
    </row>
    <row r="119" spans="1:7">
      <c r="A119" t="str">
        <f>Plan_Mantenciones!A7</f>
        <v>CD-128</v>
      </c>
      <c r="B119" t="str">
        <f>Plan_Mantenciones!B7</f>
        <v>Camión slurry</v>
      </c>
      <c r="C119" t="str">
        <f>Plan_Mantenciones!C7</f>
        <v>Camiones de Ruta</v>
      </c>
      <c r="D119" s="13" t="str">
        <f ca="1">Plan_Mantenciones!I7</f>
        <v/>
      </c>
      <c r="E119" t="str">
        <f>Plan_Mantenciones!H7</f>
        <v/>
      </c>
      <c r="F119" t="str">
        <f>Plan_Mantenciones!J7</f>
        <v>Operativo</v>
      </c>
      <c r="G119" t="str">
        <f t="shared" si="1"/>
        <v>No</v>
      </c>
    </row>
    <row r="120" spans="1:7">
      <c r="A120" t="str">
        <f>Plan_Mantenciones!A28</f>
        <v>CD-98</v>
      </c>
      <c r="B120" t="str">
        <f>Plan_Mantenciones!B28</f>
        <v>Camión Plano</v>
      </c>
      <c r="C120" t="str">
        <f>Plan_Mantenciones!C28</f>
        <v>Camiones de Ruta</v>
      </c>
      <c r="D120" s="13" t="str">
        <f ca="1">Plan_Mantenciones!I28</f>
        <v/>
      </c>
      <c r="E120" t="str">
        <f>Plan_Mantenciones!H28</f>
        <v/>
      </c>
      <c r="F120" t="str">
        <f>Plan_Mantenciones!J28</f>
        <v>Operativo</v>
      </c>
      <c r="G120" t="str">
        <f t="shared" si="1"/>
        <v>No</v>
      </c>
    </row>
    <row r="121" spans="1:7">
      <c r="A121" t="str">
        <f>Plan_Mantenciones!A113</f>
        <v>EQP-11</v>
      </c>
      <c r="B121" t="str">
        <f>Plan_Mantenciones!B113</f>
        <v>Planta Aridos seleccionadora</v>
      </c>
      <c r="C121" t="str">
        <f>Plan_Mantenciones!C113</f>
        <v>Maquinaria Pesada</v>
      </c>
      <c r="D121" s="13">
        <f ca="1">Plan_Mantenciones!I113</f>
        <v>46270</v>
      </c>
      <c r="E121">
        <f>Plan_Mantenciones!H113</f>
        <v>125</v>
      </c>
      <c r="F121" t="str">
        <f>Plan_Mantenciones!J113</f>
        <v>Operativo</v>
      </c>
      <c r="G121" t="str">
        <f t="shared" si="1"/>
        <v>No</v>
      </c>
    </row>
    <row r="122" spans="1:7">
      <c r="A122" t="str">
        <f>Plan_Mantenciones!A122</f>
        <v>VD-114</v>
      </c>
      <c r="B122" t="str">
        <f>Plan_Mantenciones!B122</f>
        <v>Camioneta</v>
      </c>
      <c r="C122" t="str">
        <f>Plan_Mantenciones!C122</f>
        <v>Vehículos Livianos</v>
      </c>
      <c r="D122" s="13">
        <f ca="1">Plan_Mantenciones!I122</f>
        <v>46248</v>
      </c>
      <c r="E122">
        <f>Plan_Mantenciones!H122</f>
        <v>103</v>
      </c>
      <c r="F122" t="str">
        <f>Plan_Mantenciones!J122</f>
        <v>Operativo</v>
      </c>
      <c r="G122" t="str">
        <f t="shared" si="1"/>
        <v>No</v>
      </c>
    </row>
    <row r="123" spans="1:7">
      <c r="A123" t="str">
        <f>Plan_Mantenciones!A125</f>
        <v>CD-106</v>
      </c>
      <c r="B123" t="str">
        <f>Plan_Mantenciones!B125</f>
        <v>Camión Tolva</v>
      </c>
      <c r="C123" t="str">
        <f>Plan_Mantenciones!C125</f>
        <v>Camiones de Ruta</v>
      </c>
      <c r="D123" s="13">
        <f ca="1">Plan_Mantenciones!I125</f>
        <v>47265</v>
      </c>
      <c r="E123">
        <f>Plan_Mantenciones!H125</f>
        <v>1120</v>
      </c>
      <c r="F123" t="str">
        <f>Plan_Mantenciones!J125</f>
        <v>Operativo</v>
      </c>
      <c r="G123" t="str">
        <f t="shared" si="1"/>
        <v>No</v>
      </c>
    </row>
    <row r="124" spans="1:7" hidden="1">
      <c r="A124" t="str">
        <f>Plan_Mantenciones!A25</f>
        <v>CD-117</v>
      </c>
      <c r="B124" t="str">
        <f>Plan_Mantenciones!B25</f>
        <v>Camión Slurry</v>
      </c>
      <c r="C124" t="str">
        <f>Plan_Mantenciones!C25</f>
        <v>Camiones de Ruta</v>
      </c>
      <c r="D124" s="13" t="str">
        <f ca="1">Plan_Mantenciones!I25</f>
        <v/>
      </c>
      <c r="E124" t="str">
        <f>Plan_Mantenciones!H25</f>
        <v/>
      </c>
      <c r="F124" t="str">
        <f>Plan_Mantenciones!J25</f>
        <v>Fuera de Servicio</v>
      </c>
      <c r="G124" t="str">
        <f t="shared" si="1"/>
        <v>No</v>
      </c>
    </row>
    <row r="125" spans="1:7">
      <c r="A125" t="str">
        <f>Plan_Mantenciones!A112</f>
        <v>MD-84</v>
      </c>
      <c r="B125" t="str">
        <f>Plan_Mantenciones!B112</f>
        <v>Excavadora</v>
      </c>
      <c r="C125" t="str">
        <f>Plan_Mantenciones!C112</f>
        <v>Maquinaria Pesada</v>
      </c>
      <c r="D125" s="13">
        <f ca="1">Plan_Mantenciones!I112</f>
        <v>46222</v>
      </c>
      <c r="E125">
        <f>Plan_Mantenciones!H112</f>
        <v>77</v>
      </c>
      <c r="F125" t="str">
        <f>Plan_Mantenciones!J112</f>
        <v>Operativo</v>
      </c>
      <c r="G125" t="str">
        <f t="shared" si="1"/>
        <v>Sí</v>
      </c>
    </row>
    <row r="126" spans="1:7">
      <c r="A126" t="str">
        <f>Plan_Mantenciones!A26</f>
        <v>MD-71</v>
      </c>
      <c r="B126" t="str">
        <f>Plan_Mantenciones!B26</f>
        <v>Retroexcavadora</v>
      </c>
      <c r="C126" t="str">
        <f>Plan_Mantenciones!C26</f>
        <v>Maquinaria Pesada</v>
      </c>
      <c r="D126" s="13" t="str">
        <f ca="1">Plan_Mantenciones!I26</f>
        <v/>
      </c>
      <c r="E126" t="str">
        <f>Plan_Mantenciones!H26</f>
        <v/>
      </c>
      <c r="F126" t="str">
        <f>Plan_Mantenciones!J26</f>
        <v>Taller</v>
      </c>
      <c r="G126" t="str">
        <f t="shared" si="1"/>
        <v>No</v>
      </c>
    </row>
    <row r="127" spans="1:7" hidden="1">
      <c r="A127" t="str">
        <f>Plan_Mantenciones!A50</f>
        <v>CD-80</v>
      </c>
      <c r="B127" t="str">
        <f>Plan_Mantenciones!B50</f>
        <v>Camión Pluma</v>
      </c>
      <c r="C127" t="str">
        <f>Plan_Mantenciones!C50</f>
        <v>Camiones de Ruta</v>
      </c>
      <c r="D127" s="13" t="str">
        <f ca="1">Plan_Mantenciones!I50</f>
        <v/>
      </c>
      <c r="E127" t="str">
        <f>Plan_Mantenciones!H50</f>
        <v/>
      </c>
      <c r="F127" t="str">
        <f>Plan_Mantenciones!J50</f>
        <v>Fuera de Servicio</v>
      </c>
      <c r="G127" t="str">
        <f t="shared" si="1"/>
        <v>No</v>
      </c>
    </row>
    <row r="128" spans="1:7" hidden="1">
      <c r="A128" t="str">
        <f>Plan_Mantenciones!A87</f>
        <v>VD-65</v>
      </c>
      <c r="B128" t="str">
        <f>Plan_Mantenciones!B87</f>
        <v>Camioneta</v>
      </c>
      <c r="C128" t="str">
        <f>Plan_Mantenciones!C87</f>
        <v>Vehículos Livianos</v>
      </c>
      <c r="D128" s="13" t="str">
        <f ca="1">Plan_Mantenciones!I87</f>
        <v/>
      </c>
      <c r="E128" t="str">
        <f>Plan_Mantenciones!H87</f>
        <v/>
      </c>
      <c r="F128" t="str">
        <f>Plan_Mantenciones!J87</f>
        <v>Fuera de Servicio</v>
      </c>
      <c r="G128" t="str">
        <f t="shared" si="1"/>
        <v>No</v>
      </c>
    </row>
    <row r="129" spans="1:7">
      <c r="A129" t="str">
        <f>Plan_Mantenciones!A137</f>
        <v>CD-120</v>
      </c>
      <c r="B129" t="str">
        <f>Plan_Mantenciones!B137</f>
        <v>Camión Tolva</v>
      </c>
      <c r="C129" t="str">
        <f>Plan_Mantenciones!C137</f>
        <v>Camiones de Ruta</v>
      </c>
      <c r="D129" s="13">
        <f ca="1">Plan_Mantenciones!I137</f>
        <v>46211</v>
      </c>
      <c r="E129">
        <f>Plan_Mantenciones!H137</f>
        <v>66</v>
      </c>
      <c r="F129" t="str">
        <f>Plan_Mantenciones!J137</f>
        <v>Operativo</v>
      </c>
      <c r="G129" t="str">
        <f t="shared" si="1"/>
        <v>Sí</v>
      </c>
    </row>
    <row r="130" spans="1:7">
      <c r="A130" t="str">
        <f>Plan_Mantenciones!A109</f>
        <v>MD-28</v>
      </c>
      <c r="B130" t="str">
        <f>Plan_Mantenciones!B109</f>
        <v>Excavadora</v>
      </c>
      <c r="C130" t="str">
        <f>Plan_Mantenciones!C109</f>
        <v>Maquinaria Pesada</v>
      </c>
      <c r="D130" s="13">
        <f ca="1">Plan_Mantenciones!I109</f>
        <v>46283</v>
      </c>
      <c r="E130">
        <f>Plan_Mantenciones!H109</f>
        <v>138</v>
      </c>
      <c r="F130" t="str">
        <f>Plan_Mantenciones!J109</f>
        <v>Operativo</v>
      </c>
      <c r="G130" t="str">
        <f t="shared" si="1"/>
        <v>No</v>
      </c>
    </row>
    <row r="131" spans="1:7">
      <c r="A131" t="str">
        <f>Plan_Mantenciones!A6</f>
        <v>CD-127</v>
      </c>
      <c r="B131" t="str">
        <f>Plan_Mantenciones!B6</f>
        <v>Camión Pluma</v>
      </c>
      <c r="C131" t="str">
        <f>Plan_Mantenciones!C6</f>
        <v>Camiones de Ruta</v>
      </c>
      <c r="D131" s="13" t="str">
        <f ca="1">Plan_Mantenciones!I6</f>
        <v/>
      </c>
      <c r="E131" t="str">
        <f>Plan_Mantenciones!H6</f>
        <v/>
      </c>
      <c r="F131" t="str">
        <f>Plan_Mantenciones!J6</f>
        <v>Operativo</v>
      </c>
      <c r="G131" t="str">
        <f t="shared" si="1"/>
        <v>No</v>
      </c>
    </row>
    <row r="132" spans="1:7" hidden="1">
      <c r="A132" t="str">
        <f>Plan_Mantenciones!A85</f>
        <v>VD-59</v>
      </c>
      <c r="B132" t="str">
        <f>Plan_Mantenciones!B85</f>
        <v>Camioneta</v>
      </c>
      <c r="C132" t="str">
        <f>Plan_Mantenciones!C85</f>
        <v>Vehículos Livianos</v>
      </c>
      <c r="D132" s="13" t="str">
        <f ca="1">Plan_Mantenciones!I85</f>
        <v/>
      </c>
      <c r="E132" t="str">
        <f>Plan_Mantenciones!H85</f>
        <v/>
      </c>
      <c r="F132" t="str">
        <f>Plan_Mantenciones!J85</f>
        <v>Fuera de Servicio</v>
      </c>
      <c r="G132" t="str">
        <f t="shared" ref="G132:G195" si="2">IF(AND(ISNUMBER(E132),E132&gt;=0,E132&lt;=90),"Sí","No")</f>
        <v>No</v>
      </c>
    </row>
    <row r="133" spans="1:7" hidden="1">
      <c r="A133" t="str">
        <f>Plan_Mantenciones!A35</f>
        <v>VD-106</v>
      </c>
      <c r="B133" t="str">
        <f>Plan_Mantenciones!B35</f>
        <v>Camioneta</v>
      </c>
      <c r="C133" t="str">
        <f>Plan_Mantenciones!C35</f>
        <v>Vehículos Livianos</v>
      </c>
      <c r="D133" s="13" t="str">
        <f ca="1">Plan_Mantenciones!I35</f>
        <v/>
      </c>
      <c r="E133" t="str">
        <f>Plan_Mantenciones!H35</f>
        <v/>
      </c>
      <c r="F133" t="str">
        <f>Plan_Mantenciones!J35</f>
        <v>Fuera de Servicio</v>
      </c>
      <c r="G133" t="str">
        <f t="shared" si="2"/>
        <v>No</v>
      </c>
    </row>
    <row r="134" spans="1:7">
      <c r="A134" t="str">
        <f>Plan_Mantenciones!A24</f>
        <v>MD-72</v>
      </c>
      <c r="B134" t="str">
        <f>Plan_Mantenciones!B24</f>
        <v>Retroexcavadora</v>
      </c>
      <c r="C134" t="str">
        <f>Plan_Mantenciones!C24</f>
        <v>Maquinaria Pesada</v>
      </c>
      <c r="D134" s="13" t="str">
        <f ca="1">Plan_Mantenciones!I24</f>
        <v/>
      </c>
      <c r="E134" t="str">
        <f>Plan_Mantenciones!H24</f>
        <v/>
      </c>
      <c r="F134" t="str">
        <f>Plan_Mantenciones!J24</f>
        <v>Taller</v>
      </c>
      <c r="G134" t="str">
        <f t="shared" si="2"/>
        <v>No</v>
      </c>
    </row>
    <row r="135" spans="1:7">
      <c r="A135" t="str">
        <f>Plan_Mantenciones!A32</f>
        <v>ED-51</v>
      </c>
      <c r="B135" t="str">
        <f>Plan_Mantenciones!B32</f>
        <v>Gravilladora</v>
      </c>
      <c r="C135" t="str">
        <f>Plan_Mantenciones!C32</f>
        <v>Maquinaria Pesada</v>
      </c>
      <c r="D135" s="13" t="str">
        <f ca="1">Plan_Mantenciones!I32</f>
        <v/>
      </c>
      <c r="E135" t="str">
        <f>Plan_Mantenciones!H32</f>
        <v/>
      </c>
      <c r="F135" t="str">
        <f>Plan_Mantenciones!J32</f>
        <v>Operativo</v>
      </c>
      <c r="G135" t="str">
        <f t="shared" si="2"/>
        <v>No</v>
      </c>
    </row>
    <row r="136" spans="1:7" hidden="1">
      <c r="A136" t="str">
        <f>Plan_Mantenciones!A41</f>
        <v>CD-129</v>
      </c>
      <c r="B136" t="str">
        <f>Plan_Mantenciones!B41</f>
        <v>Camión Aljibe</v>
      </c>
      <c r="C136" t="str">
        <f>Plan_Mantenciones!C41</f>
        <v>Camiones de Ruta</v>
      </c>
      <c r="D136" s="13" t="str">
        <f ca="1">Plan_Mantenciones!I41</f>
        <v/>
      </c>
      <c r="E136" t="str">
        <f>Plan_Mantenciones!H41</f>
        <v/>
      </c>
      <c r="F136" t="str">
        <f>Plan_Mantenciones!J41</f>
        <v>Fuera de Servicio</v>
      </c>
      <c r="G136" t="str">
        <f t="shared" si="2"/>
        <v>No</v>
      </c>
    </row>
    <row r="137" spans="1:7">
      <c r="A137" t="str">
        <f>Plan_Mantenciones!A104</f>
        <v>MD-109</v>
      </c>
      <c r="B137" t="str">
        <f>Plan_Mantenciones!B104</f>
        <v>Motoniveladora</v>
      </c>
      <c r="C137" t="str">
        <f>Plan_Mantenciones!C104</f>
        <v>Maquinaria Pesada</v>
      </c>
      <c r="D137" s="13">
        <f ca="1">Plan_Mantenciones!I104</f>
        <v>47292</v>
      </c>
      <c r="E137">
        <f>Plan_Mantenciones!H104</f>
        <v>1147</v>
      </c>
      <c r="F137" t="str">
        <f>Plan_Mantenciones!J104</f>
        <v>Operativo</v>
      </c>
      <c r="G137" t="str">
        <f t="shared" si="2"/>
        <v>No</v>
      </c>
    </row>
    <row r="138" spans="1:7" hidden="1">
      <c r="A138" t="str">
        <f>Plan_Mantenciones!A22</f>
        <v>VD-104</v>
      </c>
      <c r="B138" t="str">
        <f>Plan_Mantenciones!B22</f>
        <v>Auto</v>
      </c>
      <c r="C138" t="str">
        <f>Plan_Mantenciones!C22</f>
        <v>Vehículos Livianos</v>
      </c>
      <c r="D138" s="13" t="str">
        <f ca="1">Plan_Mantenciones!I22</f>
        <v/>
      </c>
      <c r="E138" t="str">
        <f>Plan_Mantenciones!H22</f>
        <v/>
      </c>
      <c r="F138" t="str">
        <f>Plan_Mantenciones!J22</f>
        <v>Fuera de Servicio</v>
      </c>
      <c r="G138" t="str">
        <f t="shared" si="2"/>
        <v>No</v>
      </c>
    </row>
    <row r="139" spans="1:7">
      <c r="A139" t="str">
        <f>Plan_Mantenciones!A96</f>
        <v>WED-05</v>
      </c>
      <c r="B139" t="str">
        <f>Plan_Mantenciones!B96</f>
        <v>Semiremolque</v>
      </c>
      <c r="C139" t="str">
        <f>Plan_Mantenciones!C96</f>
        <v>Maquinaria Pesada</v>
      </c>
      <c r="D139" s="13" t="str">
        <f ca="1">Plan_Mantenciones!I96</f>
        <v/>
      </c>
      <c r="E139" t="str">
        <f>Plan_Mantenciones!H96</f>
        <v/>
      </c>
      <c r="F139" t="str">
        <f>Plan_Mantenciones!J96</f>
        <v>Operativo</v>
      </c>
      <c r="G139" t="str">
        <f t="shared" si="2"/>
        <v>No</v>
      </c>
    </row>
    <row r="140" spans="1:7">
      <c r="A140" t="str">
        <f>Plan_Mantenciones!A80</f>
        <v>MD-91</v>
      </c>
      <c r="B140" t="str">
        <f>Plan_Mantenciones!B80</f>
        <v>Motoniveladora</v>
      </c>
      <c r="C140" t="str">
        <f>Plan_Mantenciones!C80</f>
        <v>Maquinaria Pesada</v>
      </c>
      <c r="D140" s="13" t="str">
        <f ca="1">Plan_Mantenciones!I80</f>
        <v/>
      </c>
      <c r="E140" t="str">
        <f>Plan_Mantenciones!H80</f>
        <v/>
      </c>
      <c r="F140" t="str">
        <f>Plan_Mantenciones!J80</f>
        <v>Taller</v>
      </c>
      <c r="G140" t="str">
        <f t="shared" si="2"/>
        <v>No</v>
      </c>
    </row>
    <row r="141" spans="1:7">
      <c r="A141" t="str">
        <f>Plan_Mantenciones!A57</f>
        <v>EQP-10</v>
      </c>
      <c r="B141" t="str">
        <f>Plan_Mantenciones!B57</f>
        <v>Planta aridos</v>
      </c>
      <c r="C141" t="str">
        <f>Plan_Mantenciones!C57</f>
        <v>Maquinaria Pesada</v>
      </c>
      <c r="D141" s="13" t="str">
        <f ca="1">Plan_Mantenciones!I57</f>
        <v/>
      </c>
      <c r="E141" t="str">
        <f>Plan_Mantenciones!H57</f>
        <v/>
      </c>
      <c r="F141" t="str">
        <f>Plan_Mantenciones!J57</f>
        <v>Operativo</v>
      </c>
      <c r="G141" t="str">
        <f t="shared" si="2"/>
        <v>No</v>
      </c>
    </row>
    <row r="142" spans="1:7" hidden="1">
      <c r="A142" t="str">
        <f>Plan_Mantenciones!A95</f>
        <v>VD-83</v>
      </c>
      <c r="B142" t="str">
        <f>Plan_Mantenciones!B95</f>
        <v>Furgon</v>
      </c>
      <c r="C142" t="str">
        <f>Plan_Mantenciones!C95</f>
        <v>Vehículos Livianos</v>
      </c>
      <c r="D142" s="13" t="str">
        <f ca="1">Plan_Mantenciones!I95</f>
        <v/>
      </c>
      <c r="E142" t="str">
        <f>Plan_Mantenciones!H95</f>
        <v/>
      </c>
      <c r="F142" t="str">
        <f>Plan_Mantenciones!J95</f>
        <v>Fuera de Servicio</v>
      </c>
      <c r="G142" t="str">
        <f t="shared" si="2"/>
        <v>No</v>
      </c>
    </row>
    <row r="143" spans="1:7">
      <c r="A143" t="str">
        <f>Plan_Mantenciones!A48</f>
        <v>CD-73</v>
      </c>
      <c r="B143" t="str">
        <f>Plan_Mantenciones!B48</f>
        <v>Camión Aljibe</v>
      </c>
      <c r="C143" t="str">
        <f>Plan_Mantenciones!C48</f>
        <v>Camiones de Ruta</v>
      </c>
      <c r="D143" s="13" t="str">
        <f ca="1">Plan_Mantenciones!I48</f>
        <v/>
      </c>
      <c r="E143" t="str">
        <f>Plan_Mantenciones!H48</f>
        <v/>
      </c>
      <c r="F143" t="str">
        <f>Plan_Mantenciones!J48</f>
        <v>Operativo</v>
      </c>
      <c r="G143" t="str">
        <f t="shared" si="2"/>
        <v>No</v>
      </c>
    </row>
    <row r="144" spans="1:7" hidden="1">
      <c r="A144" t="str">
        <f>Plan_Mantenciones!A29</f>
        <v>CD-130</v>
      </c>
      <c r="B144" t="str">
        <f>Plan_Mantenciones!B29</f>
        <v>Camión Tolva</v>
      </c>
      <c r="C144" t="str">
        <f>Plan_Mantenciones!C29</f>
        <v>Camiones de Ruta</v>
      </c>
      <c r="D144" s="13" t="str">
        <f ca="1">Plan_Mantenciones!I29</f>
        <v/>
      </c>
      <c r="E144" t="str">
        <f>Plan_Mantenciones!H29</f>
        <v/>
      </c>
      <c r="F144" t="str">
        <f>Plan_Mantenciones!J29</f>
        <v>Fuera de Servicio</v>
      </c>
      <c r="G144" t="str">
        <f t="shared" si="2"/>
        <v>No</v>
      </c>
    </row>
    <row r="145" spans="1:7">
      <c r="A145" t="str">
        <f>Plan_Mantenciones!A67</f>
        <v>MD-43</v>
      </c>
      <c r="B145" t="str">
        <f>Plan_Mantenciones!B67</f>
        <v>Excavadora</v>
      </c>
      <c r="C145" t="str">
        <f>Plan_Mantenciones!C67</f>
        <v>Maquinaria Pesada</v>
      </c>
      <c r="D145" s="13" t="str">
        <f ca="1">Plan_Mantenciones!I67</f>
        <v/>
      </c>
      <c r="E145" t="str">
        <f>Plan_Mantenciones!H67</f>
        <v/>
      </c>
      <c r="F145" t="str">
        <f>Plan_Mantenciones!J67</f>
        <v>Taller</v>
      </c>
      <c r="G145" t="str">
        <f t="shared" si="2"/>
        <v>No</v>
      </c>
    </row>
    <row r="146" spans="1:7">
      <c r="A146" t="str">
        <f>Plan_Mantenciones!A79</f>
        <v>MD-90</v>
      </c>
      <c r="B146" t="str">
        <f>Plan_Mantenciones!B79</f>
        <v>Excavadora</v>
      </c>
      <c r="C146" t="str">
        <f>Plan_Mantenciones!C79</f>
        <v>Maquinaria Pesada</v>
      </c>
      <c r="D146" s="13" t="str">
        <f ca="1">Plan_Mantenciones!I79</f>
        <v/>
      </c>
      <c r="E146" t="str">
        <f>Plan_Mantenciones!H79</f>
        <v/>
      </c>
      <c r="F146" t="str">
        <f>Plan_Mantenciones!J79</f>
        <v>Operativo</v>
      </c>
      <c r="G146" t="str">
        <f t="shared" si="2"/>
        <v>No</v>
      </c>
    </row>
    <row r="147" spans="1:7">
      <c r="A147" t="str">
        <f>Plan_Mantenciones!A139</f>
        <v>VD-111</v>
      </c>
      <c r="B147" t="str">
        <f>Plan_Mantenciones!B139</f>
        <v>Camioneta</v>
      </c>
      <c r="C147" t="str">
        <f>Plan_Mantenciones!C139</f>
        <v>Vehículos Livianos</v>
      </c>
      <c r="D147" s="13">
        <f ca="1">Plan_Mantenciones!I139</f>
        <v>46209</v>
      </c>
      <c r="E147">
        <f>Plan_Mantenciones!H139</f>
        <v>64</v>
      </c>
      <c r="F147" t="str">
        <f>Plan_Mantenciones!J139</f>
        <v>Operativo</v>
      </c>
      <c r="G147" t="str">
        <f t="shared" si="2"/>
        <v>Sí</v>
      </c>
    </row>
    <row r="148" spans="1:7">
      <c r="A148" t="str">
        <f>Plan_Mantenciones!A151</f>
        <v>MD-83</v>
      </c>
      <c r="B148" t="str">
        <f>Plan_Mantenciones!B151</f>
        <v>Excavadora</v>
      </c>
      <c r="C148" t="str">
        <f>Plan_Mantenciones!C151</f>
        <v>Maquinaria Pesada</v>
      </c>
      <c r="D148" s="13">
        <f ca="1">Plan_Mantenciones!I151</f>
        <v>46175</v>
      </c>
      <c r="E148">
        <f>Plan_Mantenciones!H151</f>
        <v>30</v>
      </c>
      <c r="F148" t="str">
        <f>Plan_Mantenciones!J151</f>
        <v>Operativo</v>
      </c>
      <c r="G148" t="str">
        <f t="shared" si="2"/>
        <v>Sí</v>
      </c>
    </row>
    <row r="149" spans="1:7">
      <c r="A149" t="str">
        <f>Plan_Mantenciones!A4</f>
        <v>CD-69</v>
      </c>
      <c r="B149" t="str">
        <f>Plan_Mantenciones!B4</f>
        <v>Tracto Camión</v>
      </c>
      <c r="C149" t="str">
        <f>Plan_Mantenciones!C4</f>
        <v>Camiones de Ruta</v>
      </c>
      <c r="D149" s="13">
        <f ca="1">Plan_Mantenciones!I4</f>
        <v>802538</v>
      </c>
      <c r="E149">
        <f>Plan_Mantenciones!H4</f>
        <v>756393</v>
      </c>
      <c r="F149" t="str">
        <f>Plan_Mantenciones!J4</f>
        <v>Operativo</v>
      </c>
      <c r="G149" t="str">
        <f t="shared" si="2"/>
        <v>No</v>
      </c>
    </row>
    <row r="150" spans="1:7">
      <c r="A150" t="str">
        <f>Plan_Mantenciones!A162</f>
        <v>VD-91</v>
      </c>
      <c r="B150" t="str">
        <f>Plan_Mantenciones!B162</f>
        <v>Camioneta</v>
      </c>
      <c r="C150" t="str">
        <f>Plan_Mantenciones!C162</f>
        <v>Vehículos Livianos</v>
      </c>
      <c r="D150" s="13">
        <f ca="1">Plan_Mantenciones!I162</f>
        <v>46168</v>
      </c>
      <c r="E150">
        <f>Plan_Mantenciones!H162</f>
        <v>23</v>
      </c>
      <c r="F150" t="str">
        <f>Plan_Mantenciones!J162</f>
        <v>Operativo</v>
      </c>
      <c r="G150" t="str">
        <f t="shared" si="2"/>
        <v>Sí</v>
      </c>
    </row>
    <row r="151" spans="1:7">
      <c r="A151" t="str">
        <f>Plan_Mantenciones!A145</f>
        <v>MD-56</v>
      </c>
      <c r="B151" t="str">
        <f>Plan_Mantenciones!B145</f>
        <v>Motoniveladora</v>
      </c>
      <c r="C151" t="str">
        <f>Plan_Mantenciones!C145</f>
        <v>Maquinaria Pesada</v>
      </c>
      <c r="D151" s="13">
        <f ca="1">Plan_Mantenciones!I145</f>
        <v>46193</v>
      </c>
      <c r="E151">
        <f>Plan_Mantenciones!H145</f>
        <v>48</v>
      </c>
      <c r="F151" t="str">
        <f>Plan_Mantenciones!J145</f>
        <v>Operativo</v>
      </c>
      <c r="G151" t="str">
        <f t="shared" si="2"/>
        <v>Sí</v>
      </c>
    </row>
    <row r="152" spans="1:7">
      <c r="A152" t="str">
        <f>Plan_Mantenciones!A146</f>
        <v>CD-123</v>
      </c>
      <c r="B152" t="str">
        <f>Plan_Mantenciones!B146</f>
        <v>Camión Tolva</v>
      </c>
      <c r="C152" t="str">
        <f>Plan_Mantenciones!C146</f>
        <v>Camiones de Ruta</v>
      </c>
      <c r="D152" s="13">
        <f ca="1">Plan_Mantenciones!I146</f>
        <v>46197</v>
      </c>
      <c r="E152">
        <f>Plan_Mantenciones!H146</f>
        <v>52</v>
      </c>
      <c r="F152" t="str">
        <f>Plan_Mantenciones!J146</f>
        <v>Operativo</v>
      </c>
      <c r="G152" t="str">
        <f t="shared" si="2"/>
        <v>Sí</v>
      </c>
    </row>
    <row r="153" spans="1:7">
      <c r="A153" t="str">
        <f>Plan_Mantenciones!A147</f>
        <v>ED-73</v>
      </c>
      <c r="B153" t="str">
        <f>Plan_Mantenciones!B147</f>
        <v>Gravilladora</v>
      </c>
      <c r="C153" t="str">
        <f>Plan_Mantenciones!C147</f>
        <v>Maquinaria Pesada</v>
      </c>
      <c r="D153" s="13">
        <f ca="1">Plan_Mantenciones!I147</f>
        <v>46259</v>
      </c>
      <c r="E153">
        <f>Plan_Mantenciones!H147</f>
        <v>114</v>
      </c>
      <c r="F153">
        <f>Plan_Mantenciones!J147</f>
        <v>0</v>
      </c>
      <c r="G153" t="str">
        <f t="shared" si="2"/>
        <v>No</v>
      </c>
    </row>
    <row r="154" spans="1:7">
      <c r="A154" t="str">
        <f>Plan_Mantenciones!A148</f>
        <v>VD-38</v>
      </c>
      <c r="B154" t="str">
        <f>Plan_Mantenciones!B148</f>
        <v>Minibus</v>
      </c>
      <c r="C154" t="str">
        <f>Plan_Mantenciones!C148</f>
        <v>Vehículos Livianos</v>
      </c>
      <c r="D154" s="13">
        <f ca="1">Plan_Mantenciones!I148</f>
        <v>46180</v>
      </c>
      <c r="E154">
        <f>Plan_Mantenciones!H148</f>
        <v>35</v>
      </c>
      <c r="F154" t="str">
        <f>Plan_Mantenciones!J148</f>
        <v>Operativo</v>
      </c>
      <c r="G154" t="str">
        <f t="shared" si="2"/>
        <v>Sí</v>
      </c>
    </row>
    <row r="155" spans="1:7">
      <c r="A155" t="str">
        <f>Plan_Mantenciones!A176</f>
        <v>ED-52</v>
      </c>
      <c r="B155" t="str">
        <f>Plan_Mantenciones!B176</f>
        <v>Barredora</v>
      </c>
      <c r="C155" t="str">
        <f>Plan_Mantenciones!C176</f>
        <v>Maquinaria Pesada</v>
      </c>
      <c r="D155" s="13">
        <f ca="1">Plan_Mantenciones!I176</f>
        <v>45190</v>
      </c>
      <c r="E155">
        <f>Plan_Mantenciones!H176</f>
        <v>-955</v>
      </c>
      <c r="F155" t="str">
        <f>Plan_Mantenciones!J176</f>
        <v>Operativo</v>
      </c>
      <c r="G155" t="str">
        <f t="shared" si="2"/>
        <v>No</v>
      </c>
    </row>
    <row r="156" spans="1:7">
      <c r="A156" t="str">
        <f>Plan_Mantenciones!A178</f>
        <v>VD-126</v>
      </c>
      <c r="B156" t="str">
        <f>Plan_Mantenciones!B178</f>
        <v>Camioneta</v>
      </c>
      <c r="C156" t="str">
        <f>Plan_Mantenciones!C178</f>
        <v>Vehículos Livianos</v>
      </c>
      <c r="D156" s="13">
        <f ca="1">Plan_Mantenciones!I178</f>
        <v>46106</v>
      </c>
      <c r="E156">
        <f>Plan_Mantenciones!H178</f>
        <v>-39</v>
      </c>
      <c r="F156" t="str">
        <f>Plan_Mantenciones!J178</f>
        <v>Operativo</v>
      </c>
      <c r="G156" t="str">
        <f t="shared" si="2"/>
        <v>No</v>
      </c>
    </row>
    <row r="157" spans="1:7">
      <c r="A157" t="str">
        <f>Plan_Mantenciones!A205</f>
        <v>MD-98</v>
      </c>
      <c r="B157" t="str">
        <f>Plan_Mantenciones!B205</f>
        <v>Rodillo Neumaticos</v>
      </c>
      <c r="C157" t="str">
        <f>Plan_Mantenciones!C205</f>
        <v>Maquinaria Pesada</v>
      </c>
      <c r="D157" s="13" t="str">
        <f ca="1">Plan_Mantenciones!I205</f>
        <v/>
      </c>
      <c r="E157" t="str">
        <f>Plan_Mantenciones!H205</f>
        <v/>
      </c>
      <c r="F157" t="str">
        <f>Plan_Mantenciones!J205</f>
        <v>Operativo</v>
      </c>
      <c r="G157" t="str">
        <f t="shared" si="2"/>
        <v>No</v>
      </c>
    </row>
    <row r="158" spans="1:7">
      <c r="A158" t="str">
        <f>Plan_Mantenciones!A225</f>
        <v>VD-60</v>
      </c>
      <c r="B158" t="str">
        <f>Plan_Mantenciones!B225</f>
        <v>Camioneta</v>
      </c>
      <c r="C158" t="str">
        <f>Plan_Mantenciones!C225</f>
        <v>Vehículos Livianos</v>
      </c>
      <c r="D158" s="13" t="str">
        <f ca="1">Plan_Mantenciones!I225</f>
        <v/>
      </c>
      <c r="E158" t="str">
        <f>Plan_Mantenciones!H225</f>
        <v/>
      </c>
      <c r="F158" t="str">
        <f>Plan_Mantenciones!J225</f>
        <v>Operativo</v>
      </c>
      <c r="G158" t="str">
        <f t="shared" si="2"/>
        <v>No</v>
      </c>
    </row>
    <row r="159" spans="1:7">
      <c r="A159" t="str">
        <f>Plan_Mantenciones!A242</f>
        <v>MD-76</v>
      </c>
      <c r="B159" t="str">
        <f>Plan_Mantenciones!B242</f>
        <v>Retroexcavadora</v>
      </c>
      <c r="C159" t="str">
        <f>Plan_Mantenciones!C242</f>
        <v>Maquinaria Pesada</v>
      </c>
      <c r="D159" s="13">
        <f ca="1">Plan_Mantenciones!I242</f>
        <v>46268</v>
      </c>
      <c r="E159">
        <f>Plan_Mantenciones!H242</f>
        <v>123</v>
      </c>
      <c r="F159" t="str">
        <f>Plan_Mantenciones!J242</f>
        <v>Operativo</v>
      </c>
      <c r="G159" t="str">
        <f t="shared" si="2"/>
        <v>No</v>
      </c>
    </row>
    <row r="160" spans="1:7">
      <c r="A160" t="str">
        <f>Plan_Mantenciones!A193</f>
        <v>VD-92</v>
      </c>
      <c r="B160" t="str">
        <f>Plan_Mantenciones!B193</f>
        <v>Camioneta</v>
      </c>
      <c r="C160" t="str">
        <f>Plan_Mantenciones!C193</f>
        <v>Vehículos Livianos</v>
      </c>
      <c r="D160" s="13">
        <f ca="1">Plan_Mantenciones!I193</f>
        <v>46039</v>
      </c>
      <c r="E160">
        <f>Plan_Mantenciones!H193</f>
        <v>-106</v>
      </c>
      <c r="F160" t="str">
        <f>Plan_Mantenciones!J193</f>
        <v>Operativo</v>
      </c>
      <c r="G160" t="str">
        <f t="shared" si="2"/>
        <v>No</v>
      </c>
    </row>
    <row r="161" spans="1:7">
      <c r="A161" t="str">
        <f>Plan_Mantenciones!A212</f>
        <v>VD-108</v>
      </c>
      <c r="B161" t="str">
        <f>Plan_Mantenciones!B212</f>
        <v>Camioneta</v>
      </c>
      <c r="C161" t="str">
        <f>Plan_Mantenciones!C212</f>
        <v>Vehículos Livianos</v>
      </c>
      <c r="D161" s="13" t="str">
        <f ca="1">Plan_Mantenciones!I212</f>
        <v/>
      </c>
      <c r="E161" t="str">
        <f>Plan_Mantenciones!H212</f>
        <v/>
      </c>
      <c r="F161" t="str">
        <f>Plan_Mantenciones!J212</f>
        <v>Operativo</v>
      </c>
      <c r="G161" t="str">
        <f t="shared" si="2"/>
        <v>No</v>
      </c>
    </row>
    <row r="162" spans="1:7">
      <c r="A162" t="str">
        <f>Plan_Mantenciones!A243</f>
        <v>MD-36</v>
      </c>
      <c r="B162" t="str">
        <f>Plan_Mantenciones!B243</f>
        <v>Cargador Frontal</v>
      </c>
      <c r="C162" t="str">
        <f>Plan_Mantenciones!C243</f>
        <v>Maquinaria Pesada</v>
      </c>
      <c r="D162" s="13" t="str">
        <f ca="1">Plan_Mantenciones!I243</f>
        <v/>
      </c>
      <c r="E162" t="str">
        <f>Plan_Mantenciones!H243</f>
        <v/>
      </c>
      <c r="F162" t="str">
        <f>Plan_Mantenciones!J243</f>
        <v>Taller</v>
      </c>
      <c r="G162" t="str">
        <f t="shared" si="2"/>
        <v>No</v>
      </c>
    </row>
    <row r="163" spans="1:7">
      <c r="A163" t="str">
        <f>Plan_Mantenciones!A174</f>
        <v>MD-101</v>
      </c>
      <c r="B163" t="str">
        <f>Plan_Mantenciones!B174</f>
        <v>Motoniveladora</v>
      </c>
      <c r="C163" t="str">
        <f>Plan_Mantenciones!C174</f>
        <v>Maquinaria Pesada</v>
      </c>
      <c r="D163" s="13">
        <f ca="1">Plan_Mantenciones!I174</f>
        <v>46236</v>
      </c>
      <c r="E163">
        <f>Plan_Mantenciones!H174</f>
        <v>91</v>
      </c>
      <c r="F163" t="str">
        <f>Plan_Mantenciones!J174</f>
        <v>Operativo</v>
      </c>
      <c r="G163" t="str">
        <f t="shared" si="2"/>
        <v>No</v>
      </c>
    </row>
    <row r="164" spans="1:7">
      <c r="A164" t="str">
        <f>Plan_Mantenciones!A200</f>
        <v>MD-85</v>
      </c>
      <c r="B164" t="str">
        <f>Plan_Mantenciones!B200</f>
        <v>Motoniveladora</v>
      </c>
      <c r="C164" t="str">
        <f>Plan_Mantenciones!C200</f>
        <v>Maquinaria Pesada</v>
      </c>
      <c r="D164" s="13" t="str">
        <f ca="1">Plan_Mantenciones!I200</f>
        <v/>
      </c>
      <c r="E164" t="str">
        <f>Plan_Mantenciones!H200</f>
        <v/>
      </c>
      <c r="F164" t="str">
        <f>Plan_Mantenciones!J200</f>
        <v>Operativo</v>
      </c>
      <c r="G164" t="str">
        <f t="shared" si="2"/>
        <v>No</v>
      </c>
    </row>
    <row r="165" spans="1:7" hidden="1">
      <c r="A165" t="str">
        <f>Plan_Mantenciones!A201</f>
        <v>CD-108</v>
      </c>
      <c r="B165" t="str">
        <f>Plan_Mantenciones!B201</f>
        <v>Camión Slurry</v>
      </c>
      <c r="C165" t="str">
        <f>Plan_Mantenciones!C201</f>
        <v>Camiones de Ruta</v>
      </c>
      <c r="D165" s="13" t="str">
        <f ca="1">Plan_Mantenciones!I201</f>
        <v/>
      </c>
      <c r="E165" t="str">
        <f>Plan_Mantenciones!H201</f>
        <v/>
      </c>
      <c r="F165" t="str">
        <f>Plan_Mantenciones!J201</f>
        <v>Operativo</v>
      </c>
      <c r="G165" t="str">
        <f t="shared" si="2"/>
        <v>No</v>
      </c>
    </row>
    <row r="166" spans="1:7">
      <c r="A166" t="str">
        <f>Plan_Mantenciones!A203</f>
        <v>MD-105</v>
      </c>
      <c r="B166" t="str">
        <f>Plan_Mantenciones!B203</f>
        <v>Cargador Frontal</v>
      </c>
      <c r="C166" t="str">
        <f>Plan_Mantenciones!C203</f>
        <v>Maquinaria Pesada</v>
      </c>
      <c r="D166" s="13" t="str">
        <f ca="1">Plan_Mantenciones!I203</f>
        <v/>
      </c>
      <c r="E166" t="str">
        <f>Plan_Mantenciones!H203</f>
        <v/>
      </c>
      <c r="F166" t="str">
        <f>Plan_Mantenciones!J203</f>
        <v>Operativo</v>
      </c>
      <c r="G166" t="str">
        <f t="shared" si="2"/>
        <v>No</v>
      </c>
    </row>
    <row r="167" spans="1:7" hidden="1">
      <c r="A167" t="str">
        <f>Plan_Mantenciones!A228</f>
        <v>VD-67</v>
      </c>
      <c r="B167" t="str">
        <f>Plan_Mantenciones!B228</f>
        <v>Camioneta</v>
      </c>
      <c r="C167" t="str">
        <f>Plan_Mantenciones!C228</f>
        <v>Vehículos Livianos</v>
      </c>
      <c r="D167" s="13" t="str">
        <f ca="1">Plan_Mantenciones!I228</f>
        <v/>
      </c>
      <c r="E167" t="str">
        <f>Plan_Mantenciones!H228</f>
        <v/>
      </c>
      <c r="F167" t="str">
        <f>Plan_Mantenciones!J228</f>
        <v>Fuera de Servicio</v>
      </c>
      <c r="G167" t="str">
        <f t="shared" si="2"/>
        <v>No</v>
      </c>
    </row>
    <row r="168" spans="1:7">
      <c r="A168" t="str">
        <f>Plan_Mantenciones!A229</f>
        <v>MD-97</v>
      </c>
      <c r="B168" t="str">
        <f>Plan_Mantenciones!B229</f>
        <v>Rodillo Neumaticos</v>
      </c>
      <c r="C168" t="str">
        <f>Plan_Mantenciones!C229</f>
        <v>Maquinaria Pesada</v>
      </c>
      <c r="D168" s="13" t="str">
        <f ca="1">Plan_Mantenciones!I229</f>
        <v/>
      </c>
      <c r="E168" t="str">
        <f>Plan_Mantenciones!H229</f>
        <v/>
      </c>
      <c r="F168" t="str">
        <f>Plan_Mantenciones!J229</f>
        <v>Operativo</v>
      </c>
      <c r="G168" t="str">
        <f t="shared" si="2"/>
        <v>No</v>
      </c>
    </row>
    <row r="169" spans="1:7">
      <c r="A169" t="str">
        <f>Plan_Mantenciones!A191</f>
        <v>VD-123</v>
      </c>
      <c r="B169" t="str">
        <f>Plan_Mantenciones!B191</f>
        <v>Furgon</v>
      </c>
      <c r="C169" t="str">
        <f>Plan_Mantenciones!C191</f>
        <v>Vehículos Livianos</v>
      </c>
      <c r="D169" s="13">
        <f ca="1">Plan_Mantenciones!I191</f>
        <v>46012</v>
      </c>
      <c r="E169">
        <f>Plan_Mantenciones!H191</f>
        <v>-133</v>
      </c>
      <c r="F169" t="str">
        <f>Plan_Mantenciones!J191</f>
        <v>Operativo</v>
      </c>
      <c r="G169" t="str">
        <f t="shared" si="2"/>
        <v>No</v>
      </c>
    </row>
    <row r="170" spans="1:7">
      <c r="A170" t="str">
        <f>Plan_Mantenciones!A204</f>
        <v>VD-58</v>
      </c>
      <c r="B170" t="str">
        <f>Plan_Mantenciones!B204</f>
        <v>Camioneta</v>
      </c>
      <c r="C170" t="str">
        <f>Plan_Mantenciones!C204</f>
        <v>Vehículos Livianos</v>
      </c>
      <c r="D170" s="13" t="str">
        <f ca="1">Plan_Mantenciones!I204</f>
        <v/>
      </c>
      <c r="E170" t="str">
        <f>Plan_Mantenciones!H204</f>
        <v/>
      </c>
      <c r="F170" t="str">
        <f>Plan_Mantenciones!J204</f>
        <v>Operativo</v>
      </c>
      <c r="G170" t="str">
        <f t="shared" si="2"/>
        <v>No</v>
      </c>
    </row>
    <row r="171" spans="1:7">
      <c r="A171" t="str">
        <f>Plan_Mantenciones!A207</f>
        <v>VD-119</v>
      </c>
      <c r="B171" t="str">
        <f>Plan_Mantenciones!B207</f>
        <v>Furgon</v>
      </c>
      <c r="C171" t="str">
        <f>Plan_Mantenciones!C207</f>
        <v>Vehículos Livianos</v>
      </c>
      <c r="D171" s="13" t="str">
        <f ca="1">Plan_Mantenciones!I207</f>
        <v/>
      </c>
      <c r="E171" t="str">
        <f>Plan_Mantenciones!H207</f>
        <v/>
      </c>
      <c r="F171" t="str">
        <f>Plan_Mantenciones!J207</f>
        <v>Operativo</v>
      </c>
      <c r="G171" t="str">
        <f t="shared" si="2"/>
        <v>No</v>
      </c>
    </row>
    <row r="172" spans="1:7" hidden="1">
      <c r="A172" t="str">
        <f>Plan_Mantenciones!A215</f>
        <v>EQP-17</v>
      </c>
      <c r="B172" t="str">
        <f>Plan_Mantenciones!B215</f>
        <v>Planta Aridos seleccionadora</v>
      </c>
      <c r="C172" t="str">
        <f>Plan_Mantenciones!C215</f>
        <v>Maquinaria Pesada</v>
      </c>
      <c r="D172" s="13" t="str">
        <f ca="1">Plan_Mantenciones!I215</f>
        <v/>
      </c>
      <c r="E172" t="str">
        <f>Plan_Mantenciones!H215</f>
        <v/>
      </c>
      <c r="F172" t="str">
        <f>Plan_Mantenciones!J215</f>
        <v>Fuera de Servicio</v>
      </c>
      <c r="G172" t="str">
        <f t="shared" si="2"/>
        <v>No</v>
      </c>
    </row>
    <row r="173" spans="1:7">
      <c r="A173" t="str">
        <f>Plan_Mantenciones!A241</f>
        <v>MD-41</v>
      </c>
      <c r="B173" t="str">
        <f>Plan_Mantenciones!B241</f>
        <v>Rodillo</v>
      </c>
      <c r="C173" t="str">
        <f>Plan_Mantenciones!C241</f>
        <v>Maquinaria Pesada</v>
      </c>
      <c r="D173" s="13" t="str">
        <f ca="1">Plan_Mantenciones!I241</f>
        <v/>
      </c>
      <c r="E173" t="str">
        <f>Plan_Mantenciones!H241</f>
        <v/>
      </c>
      <c r="F173" t="str">
        <f>Plan_Mantenciones!J241</f>
        <v>Operativo</v>
      </c>
      <c r="G173" t="str">
        <f t="shared" si="2"/>
        <v>No</v>
      </c>
    </row>
    <row r="174" spans="1:7" hidden="1">
      <c r="A174" t="str">
        <f>Plan_Mantenciones!A221</f>
        <v>VD-69</v>
      </c>
      <c r="B174" t="str">
        <f>Plan_Mantenciones!B221</f>
        <v>Camioneta</v>
      </c>
      <c r="C174" t="str">
        <f>Plan_Mantenciones!C221</f>
        <v>Vehículos Livianos</v>
      </c>
      <c r="D174" s="13" t="str">
        <f ca="1">Plan_Mantenciones!I221</f>
        <v/>
      </c>
      <c r="E174" t="str">
        <f>Plan_Mantenciones!H221</f>
        <v/>
      </c>
      <c r="F174" t="str">
        <f>Plan_Mantenciones!J221</f>
        <v>Fuera de Servicio</v>
      </c>
      <c r="G174" t="str">
        <f t="shared" si="2"/>
        <v>No</v>
      </c>
    </row>
    <row r="175" spans="1:7" hidden="1">
      <c r="A175" t="str">
        <f>Plan_Mantenciones!A240</f>
        <v>CD-91</v>
      </c>
      <c r="B175" t="str">
        <f>Plan_Mantenciones!B240</f>
        <v>Camión Tolva</v>
      </c>
      <c r="C175" t="str">
        <f>Plan_Mantenciones!C240</f>
        <v>Camiones de Ruta</v>
      </c>
      <c r="D175" s="13" t="str">
        <f ca="1">Plan_Mantenciones!I240</f>
        <v/>
      </c>
      <c r="E175" t="str">
        <f>Plan_Mantenciones!H240</f>
        <v/>
      </c>
      <c r="F175" t="str">
        <f>Plan_Mantenciones!J240</f>
        <v>Fuera de Servicio</v>
      </c>
      <c r="G175" t="str">
        <f t="shared" si="2"/>
        <v>No</v>
      </c>
    </row>
    <row r="176" spans="1:7">
      <c r="A176" t="str">
        <f>Plan_Mantenciones!A218</f>
        <v>MD-93</v>
      </c>
      <c r="B176" t="str">
        <f>Plan_Mantenciones!B218</f>
        <v>Retroexcavadora</v>
      </c>
      <c r="C176" t="str">
        <f>Plan_Mantenciones!C218</f>
        <v>Maquinaria Pesada</v>
      </c>
      <c r="D176" s="13" t="str">
        <f ca="1">Plan_Mantenciones!I218</f>
        <v/>
      </c>
      <c r="E176" t="str">
        <f>Plan_Mantenciones!H218</f>
        <v/>
      </c>
      <c r="F176" t="str">
        <f>Plan_Mantenciones!J218</f>
        <v>Operativo</v>
      </c>
      <c r="G176" t="str">
        <f t="shared" si="2"/>
        <v>No</v>
      </c>
    </row>
    <row r="177" spans="1:7">
      <c r="A177" t="str">
        <f>Plan_Mantenciones!A222</f>
        <v>CD-94</v>
      </c>
      <c r="B177" t="str">
        <f>Plan_Mantenciones!B222</f>
        <v>Camión Tolva</v>
      </c>
      <c r="C177" t="str">
        <f>Plan_Mantenciones!C222</f>
        <v>Camiones de Ruta</v>
      </c>
      <c r="D177" s="13" t="str">
        <f ca="1">Plan_Mantenciones!I222</f>
        <v/>
      </c>
      <c r="E177" t="str">
        <f>Plan_Mantenciones!H222</f>
        <v/>
      </c>
      <c r="F177" t="str">
        <f>Plan_Mantenciones!J222</f>
        <v>Operativo</v>
      </c>
      <c r="G177" t="str">
        <f t="shared" si="2"/>
        <v>No</v>
      </c>
    </row>
    <row r="178" spans="1:7">
      <c r="A178" t="str">
        <f>Plan_Mantenciones!A214</f>
        <v>VD-63</v>
      </c>
      <c r="B178" t="str">
        <f>Plan_Mantenciones!B214</f>
        <v>Camioneta</v>
      </c>
      <c r="C178" t="str">
        <f>Plan_Mantenciones!C214</f>
        <v>Vehículos Livianos</v>
      </c>
      <c r="D178" s="13" t="str">
        <f ca="1">Plan_Mantenciones!I214</f>
        <v/>
      </c>
      <c r="E178" t="str">
        <f>Plan_Mantenciones!H214</f>
        <v/>
      </c>
      <c r="F178" t="str">
        <f>Plan_Mantenciones!J214</f>
        <v>Operativo</v>
      </c>
      <c r="G178" t="str">
        <f t="shared" si="2"/>
        <v>No</v>
      </c>
    </row>
    <row r="179" spans="1:7" hidden="1">
      <c r="A179" t="str">
        <f>Plan_Mantenciones!A194</f>
        <v>EQP-16</v>
      </c>
      <c r="B179" t="str">
        <f>Plan_Mantenciones!B194</f>
        <v>Planta aridos</v>
      </c>
      <c r="C179" t="str">
        <f>Plan_Mantenciones!C194</f>
        <v>Maquinaria Pesada</v>
      </c>
      <c r="D179" s="13" t="str">
        <f ca="1">Plan_Mantenciones!I194</f>
        <v/>
      </c>
      <c r="E179" t="str">
        <f>Plan_Mantenciones!H194</f>
        <v/>
      </c>
      <c r="F179" t="str">
        <f>Plan_Mantenciones!J194</f>
        <v>Fuera de Servicio</v>
      </c>
      <c r="G179" t="str">
        <f t="shared" si="2"/>
        <v>No</v>
      </c>
    </row>
    <row r="180" spans="1:7">
      <c r="A180" t="str">
        <f>Plan_Mantenciones!A192</f>
        <v>VD-130</v>
      </c>
      <c r="B180" t="str">
        <f>Plan_Mantenciones!B192</f>
        <v>Camioneta</v>
      </c>
      <c r="C180" t="str">
        <f>Plan_Mantenciones!C192</f>
        <v>Vehículos Livianos</v>
      </c>
      <c r="D180" s="13">
        <f ca="1">Plan_Mantenciones!I192</f>
        <v>46013</v>
      </c>
      <c r="E180">
        <f>Plan_Mantenciones!H192</f>
        <v>-132</v>
      </c>
      <c r="F180" t="str">
        <f>Plan_Mantenciones!J192</f>
        <v>Operativo</v>
      </c>
      <c r="G180" t="str">
        <f t="shared" si="2"/>
        <v>No</v>
      </c>
    </row>
    <row r="181" spans="1:7">
      <c r="A181" t="str">
        <f>Plan_Mantenciones!A209</f>
        <v>VD-117</v>
      </c>
      <c r="B181" t="str">
        <f>Plan_Mantenciones!B209</f>
        <v>Furgon</v>
      </c>
      <c r="C181" t="str">
        <f>Plan_Mantenciones!C209</f>
        <v>Vehículos Livianos</v>
      </c>
      <c r="D181" s="13" t="str">
        <f ca="1">Plan_Mantenciones!I209</f>
        <v/>
      </c>
      <c r="E181" t="str">
        <f>Plan_Mantenciones!H209</f>
        <v/>
      </c>
      <c r="F181" t="str">
        <f>Plan_Mantenciones!J209</f>
        <v>Operativo</v>
      </c>
      <c r="G181" t="str">
        <f t="shared" si="2"/>
        <v>No</v>
      </c>
    </row>
    <row r="182" spans="1:7" hidden="1">
      <c r="A182" t="str">
        <f>Plan_Mantenciones!A213</f>
        <v>VD-75</v>
      </c>
      <c r="B182" t="str">
        <f>Plan_Mantenciones!B213</f>
        <v>Camioneta</v>
      </c>
      <c r="C182" t="str">
        <f>Plan_Mantenciones!C213</f>
        <v>Vehículos Livianos</v>
      </c>
      <c r="D182" s="13">
        <f ca="1">Plan_Mantenciones!I213</f>
        <v>46327</v>
      </c>
      <c r="E182">
        <f>Plan_Mantenciones!H213</f>
        <v>182</v>
      </c>
      <c r="F182" t="str">
        <f>Plan_Mantenciones!J213</f>
        <v>Fuera de Servicio</v>
      </c>
      <c r="G182" t="str">
        <f t="shared" si="2"/>
        <v>No</v>
      </c>
    </row>
    <row r="183" spans="1:7">
      <c r="A183" t="str">
        <f>Plan_Mantenciones!A177</f>
        <v>MD-75</v>
      </c>
      <c r="B183" t="str">
        <f>Plan_Mantenciones!B177</f>
        <v>Retroexcavadora</v>
      </c>
      <c r="C183" t="str">
        <f>Plan_Mantenciones!C177</f>
        <v>Maquinaria Pesada</v>
      </c>
      <c r="D183" s="13">
        <f ca="1">Plan_Mantenciones!I177</f>
        <v>45279</v>
      </c>
      <c r="E183">
        <f>Plan_Mantenciones!H177</f>
        <v>-866</v>
      </c>
      <c r="F183" t="str">
        <f>Plan_Mantenciones!J177</f>
        <v>Operativo</v>
      </c>
      <c r="G183" t="str">
        <f t="shared" si="2"/>
        <v>No</v>
      </c>
    </row>
    <row r="184" spans="1:7">
      <c r="A184" t="str">
        <f>Plan_Mantenciones!A181</f>
        <v>VD-125</v>
      </c>
      <c r="B184" t="str">
        <f>Plan_Mantenciones!B181</f>
        <v>Camioneta</v>
      </c>
      <c r="C184" t="str">
        <f>Plan_Mantenciones!C181</f>
        <v>Vehículos Livianos</v>
      </c>
      <c r="D184" s="13">
        <f ca="1">Plan_Mantenciones!I181</f>
        <v>46100</v>
      </c>
      <c r="E184">
        <f>Plan_Mantenciones!H181</f>
        <v>-45</v>
      </c>
      <c r="F184" t="str">
        <f>Plan_Mantenciones!J181</f>
        <v>Operativo</v>
      </c>
      <c r="G184" t="str">
        <f t="shared" si="2"/>
        <v>No</v>
      </c>
    </row>
    <row r="185" spans="1:7">
      <c r="A185" t="str">
        <f>Plan_Mantenciones!A195</f>
        <v>VD-84</v>
      </c>
      <c r="B185" t="str">
        <f>Plan_Mantenciones!B195</f>
        <v>Furgon</v>
      </c>
      <c r="C185" t="str">
        <f>Plan_Mantenciones!C195</f>
        <v>Vehículos Livianos</v>
      </c>
      <c r="D185" s="13">
        <f ca="1">Plan_Mantenciones!I195</f>
        <v>44904</v>
      </c>
      <c r="E185">
        <f>Plan_Mantenciones!H195</f>
        <v>-1241</v>
      </c>
      <c r="F185" t="str">
        <f>Plan_Mantenciones!J195</f>
        <v>Operativo</v>
      </c>
      <c r="G185" t="str">
        <f t="shared" si="2"/>
        <v>No</v>
      </c>
    </row>
    <row r="186" spans="1:7">
      <c r="A186" t="str">
        <f>Plan_Mantenciones!A216</f>
        <v>MD-25</v>
      </c>
      <c r="B186" t="str">
        <f>Plan_Mantenciones!B216</f>
        <v>Motoniveladora</v>
      </c>
      <c r="C186" t="str">
        <f>Plan_Mantenciones!C216</f>
        <v>Maquinaria Pesada</v>
      </c>
      <c r="D186" s="13" t="str">
        <f ca="1">Plan_Mantenciones!I216</f>
        <v/>
      </c>
      <c r="E186" t="str">
        <f>Plan_Mantenciones!H216</f>
        <v/>
      </c>
      <c r="F186" t="str">
        <f>Plan_Mantenciones!J216</f>
        <v>Operativo</v>
      </c>
      <c r="G186" t="str">
        <f t="shared" si="2"/>
        <v>No</v>
      </c>
    </row>
    <row r="187" spans="1:7">
      <c r="A187" t="str">
        <f>Plan_Mantenciones!A238</f>
        <v>MD-46</v>
      </c>
      <c r="B187" t="str">
        <f>Plan_Mantenciones!B238</f>
        <v>Excavadora</v>
      </c>
      <c r="C187" t="str">
        <f>Plan_Mantenciones!C238</f>
        <v>Maquinaria Pesada</v>
      </c>
      <c r="D187" s="13" t="str">
        <f ca="1">Plan_Mantenciones!I238</f>
        <v/>
      </c>
      <c r="E187" t="str">
        <f>Plan_Mantenciones!H238</f>
        <v/>
      </c>
      <c r="F187" t="str">
        <f>Plan_Mantenciones!J238</f>
        <v>Operativo</v>
      </c>
      <c r="G187" t="str">
        <f t="shared" si="2"/>
        <v>No</v>
      </c>
    </row>
    <row r="188" spans="1:7">
      <c r="A188" t="str">
        <f>Plan_Mantenciones!A231</f>
        <v>MD-110</v>
      </c>
      <c r="B188" t="str">
        <f>Plan_Mantenciones!B231</f>
        <v>Motoniveladora</v>
      </c>
      <c r="C188" t="str">
        <f>Plan_Mantenciones!C231</f>
        <v>Maquinaria Pesada</v>
      </c>
      <c r="D188" s="13">
        <f ca="1">Plan_Mantenciones!I231</f>
        <v>46142</v>
      </c>
      <c r="E188">
        <f>Plan_Mantenciones!H231</f>
        <v>-3</v>
      </c>
      <c r="F188" t="str">
        <f>Plan_Mantenciones!J231</f>
        <v>Operativo</v>
      </c>
      <c r="G188" t="str">
        <f t="shared" si="2"/>
        <v>No</v>
      </c>
    </row>
    <row r="189" spans="1:7">
      <c r="A189" t="str">
        <f>Plan_Mantenciones!A196</f>
        <v>VD-101</v>
      </c>
      <c r="B189" t="str">
        <f>Plan_Mantenciones!B196</f>
        <v>Camioneta</v>
      </c>
      <c r="C189" t="str">
        <f>Plan_Mantenciones!C196</f>
        <v>Vehículos Livianos</v>
      </c>
      <c r="D189" s="13" t="str">
        <f ca="1">Plan_Mantenciones!I196</f>
        <v/>
      </c>
      <c r="E189" t="str">
        <f>Plan_Mantenciones!H196</f>
        <v/>
      </c>
      <c r="F189" t="str">
        <f>Plan_Mantenciones!J196</f>
        <v>Operativo</v>
      </c>
      <c r="G189" t="str">
        <f t="shared" si="2"/>
        <v>No</v>
      </c>
    </row>
    <row r="190" spans="1:7">
      <c r="A190" t="str">
        <f>Plan_Mantenciones!A217</f>
        <v>MD-55</v>
      </c>
      <c r="B190" t="str">
        <f>Plan_Mantenciones!B217</f>
        <v>Rodillo</v>
      </c>
      <c r="C190" t="str">
        <f>Plan_Mantenciones!C217</f>
        <v>Maquinaria Pesada</v>
      </c>
      <c r="D190" s="13">
        <f ca="1">Plan_Mantenciones!I217</f>
        <v>46059</v>
      </c>
      <c r="E190">
        <f>Plan_Mantenciones!H217</f>
        <v>-86</v>
      </c>
      <c r="F190" t="str">
        <f>Plan_Mantenciones!J217</f>
        <v>Operativo</v>
      </c>
      <c r="G190" t="str">
        <f t="shared" si="2"/>
        <v>No</v>
      </c>
    </row>
    <row r="191" spans="1:7">
      <c r="A191" t="str">
        <f>Plan_Mantenciones!A179</f>
        <v>MD-94</v>
      </c>
      <c r="B191" t="str">
        <f>Plan_Mantenciones!B179</f>
        <v>Retroexcavadora</v>
      </c>
      <c r="C191" t="str">
        <f>Plan_Mantenciones!C179</f>
        <v>Maquinaria Pesada</v>
      </c>
      <c r="D191" s="13">
        <f ca="1">Plan_Mantenciones!I179</f>
        <v>46219</v>
      </c>
      <c r="E191">
        <f>Plan_Mantenciones!H179</f>
        <v>74</v>
      </c>
      <c r="F191" t="str">
        <f>Plan_Mantenciones!J179</f>
        <v>Operativo</v>
      </c>
      <c r="G191" t="str">
        <f t="shared" si="2"/>
        <v>Sí</v>
      </c>
    </row>
    <row r="192" spans="1:7">
      <c r="A192" t="str">
        <f>Plan_Mantenciones!A235</f>
        <v>CD-105</v>
      </c>
      <c r="B192" t="str">
        <f>Plan_Mantenciones!B235</f>
        <v>Camión Tolva</v>
      </c>
      <c r="C192" t="str">
        <f>Plan_Mantenciones!C235</f>
        <v>Camiones de Ruta</v>
      </c>
      <c r="D192" s="13">
        <f ca="1">Plan_Mantenciones!I235</f>
        <v>46244</v>
      </c>
      <c r="E192">
        <f>Plan_Mantenciones!H235</f>
        <v>99</v>
      </c>
      <c r="F192" t="str">
        <f>Plan_Mantenciones!J235</f>
        <v>Operativo</v>
      </c>
      <c r="G192" t="str">
        <f t="shared" si="2"/>
        <v>No</v>
      </c>
    </row>
    <row r="193" spans="1:7">
      <c r="A193" t="str">
        <f>Plan_Mantenciones!A236</f>
        <v>CD-96</v>
      </c>
      <c r="B193" t="str">
        <f>Plan_Mantenciones!B236</f>
        <v>Camión Aljibe</v>
      </c>
      <c r="C193" t="str">
        <f>Plan_Mantenciones!C236</f>
        <v>Camiones de Ruta</v>
      </c>
      <c r="D193" s="13" t="str">
        <f ca="1">Plan_Mantenciones!I236</f>
        <v/>
      </c>
      <c r="E193" t="str">
        <f>Plan_Mantenciones!H236</f>
        <v/>
      </c>
      <c r="F193" t="str">
        <f>Plan_Mantenciones!J236</f>
        <v>Operativo</v>
      </c>
      <c r="G193" t="str">
        <f t="shared" si="2"/>
        <v>No</v>
      </c>
    </row>
    <row r="194" spans="1:7">
      <c r="A194" t="str">
        <f>Plan_Mantenciones!A197</f>
        <v>VD-132</v>
      </c>
      <c r="B194" t="str">
        <f>Plan_Mantenciones!B197</f>
        <v>Camioneta</v>
      </c>
      <c r="C194" t="str">
        <f>Plan_Mantenciones!C197</f>
        <v>Vehículos Livianos</v>
      </c>
      <c r="D194" s="13" t="str">
        <f ca="1">Plan_Mantenciones!I197</f>
        <v/>
      </c>
      <c r="E194" t="str">
        <f>Plan_Mantenciones!H197</f>
        <v/>
      </c>
      <c r="F194" t="str">
        <f>Plan_Mantenciones!J197</f>
        <v>Operativo</v>
      </c>
      <c r="G194" t="str">
        <f t="shared" si="2"/>
        <v>No</v>
      </c>
    </row>
    <row r="195" spans="1:7">
      <c r="A195" t="str">
        <f>Plan_Mantenciones!A234</f>
        <v>MD-89</v>
      </c>
      <c r="B195" t="str">
        <f>Plan_Mantenciones!B234</f>
        <v>Motoniveladora</v>
      </c>
      <c r="C195" t="str">
        <f>Plan_Mantenciones!C234</f>
        <v>Maquinaria Pesada</v>
      </c>
      <c r="D195" s="13">
        <f ca="1">Plan_Mantenciones!I234</f>
        <v>46243</v>
      </c>
      <c r="E195">
        <f>Plan_Mantenciones!H234</f>
        <v>98</v>
      </c>
      <c r="F195" t="str">
        <f>Plan_Mantenciones!J234</f>
        <v>Operativo</v>
      </c>
      <c r="G195" t="str">
        <f t="shared" si="2"/>
        <v>No</v>
      </c>
    </row>
    <row r="196" spans="1:7">
      <c r="A196" t="str">
        <f>Plan_Mantenciones!A202</f>
        <v>MD-53</v>
      </c>
      <c r="B196" t="str">
        <f>Plan_Mantenciones!B202</f>
        <v>Rodillo Doble Tambor</v>
      </c>
      <c r="C196" t="str">
        <f>Plan_Mantenciones!C202</f>
        <v>Maquinaria Pesada</v>
      </c>
      <c r="D196" s="13" t="str">
        <f ca="1">Plan_Mantenciones!I202</f>
        <v/>
      </c>
      <c r="E196" t="str">
        <f>Plan_Mantenciones!H202</f>
        <v/>
      </c>
      <c r="F196" t="str">
        <f>Plan_Mantenciones!J202</f>
        <v>Operativo</v>
      </c>
      <c r="G196" t="str">
        <f t="shared" ref="G196:G253" si="3">IF(AND(ISNUMBER(E196),E196&gt;=0,E196&lt;=90),"Sí","No")</f>
        <v>No</v>
      </c>
    </row>
    <row r="197" spans="1:7">
      <c r="A197" t="str">
        <f>Plan_Mantenciones!A220</f>
        <v>VD-113</v>
      </c>
      <c r="B197" t="str">
        <f>Plan_Mantenciones!B220</f>
        <v>Camioneta</v>
      </c>
      <c r="C197" t="str">
        <f>Plan_Mantenciones!C220</f>
        <v>Vehículos Livianos</v>
      </c>
      <c r="D197" s="13" t="str">
        <f ca="1">Plan_Mantenciones!I220</f>
        <v/>
      </c>
      <c r="E197" t="str">
        <f>Plan_Mantenciones!H220</f>
        <v/>
      </c>
      <c r="F197" t="str">
        <f>Plan_Mantenciones!J220</f>
        <v>Operativo</v>
      </c>
      <c r="G197" t="str">
        <f t="shared" si="3"/>
        <v>No</v>
      </c>
    </row>
    <row r="198" spans="1:7">
      <c r="A198" t="str">
        <f>Plan_Mantenciones!A224</f>
        <v>VD-103</v>
      </c>
      <c r="B198" t="str">
        <f>Plan_Mantenciones!B224</f>
        <v>Camioneta</v>
      </c>
      <c r="C198" t="str">
        <f>Plan_Mantenciones!C224</f>
        <v>Vehículos Livianos</v>
      </c>
      <c r="D198" s="13" t="str">
        <f ca="1">Plan_Mantenciones!I224</f>
        <v/>
      </c>
      <c r="E198" t="str">
        <f>Plan_Mantenciones!H224</f>
        <v/>
      </c>
      <c r="F198" t="str">
        <f>Plan_Mantenciones!J224</f>
        <v>Operativo</v>
      </c>
      <c r="G198" t="str">
        <f t="shared" si="3"/>
        <v>No</v>
      </c>
    </row>
    <row r="199" spans="1:7">
      <c r="A199" t="str">
        <f>Plan_Mantenciones!A180</f>
        <v>MD-96</v>
      </c>
      <c r="B199" t="str">
        <f>Plan_Mantenciones!B180</f>
        <v>Retroexcavadora</v>
      </c>
      <c r="C199" t="str">
        <f>Plan_Mantenciones!C180</f>
        <v>Maquinaria Pesada</v>
      </c>
      <c r="D199" s="13">
        <f ca="1">Plan_Mantenciones!I180</f>
        <v>46099</v>
      </c>
      <c r="E199">
        <f>Plan_Mantenciones!H180</f>
        <v>-46</v>
      </c>
      <c r="F199" t="str">
        <f>Plan_Mantenciones!J180</f>
        <v>Operativo</v>
      </c>
      <c r="G199" t="str">
        <f t="shared" si="3"/>
        <v>No</v>
      </c>
    </row>
    <row r="200" spans="1:7">
      <c r="A200" t="str">
        <f>Plan_Mantenciones!A206</f>
        <v>VD-124</v>
      </c>
      <c r="B200" t="str">
        <f>Plan_Mantenciones!B206</f>
        <v>Furgon</v>
      </c>
      <c r="C200" t="str">
        <f>Plan_Mantenciones!C206</f>
        <v>Vehículos Livianos</v>
      </c>
      <c r="D200" s="13" t="str">
        <f ca="1">Plan_Mantenciones!I206</f>
        <v/>
      </c>
      <c r="E200" t="str">
        <f>Plan_Mantenciones!H206</f>
        <v/>
      </c>
      <c r="F200" t="str">
        <f>Plan_Mantenciones!J206</f>
        <v>Operativo</v>
      </c>
      <c r="G200" t="str">
        <f t="shared" si="3"/>
        <v>No</v>
      </c>
    </row>
    <row r="201" spans="1:7">
      <c r="A201" t="str">
        <f>Plan_Mantenciones!A211</f>
        <v>VD-79</v>
      </c>
      <c r="B201" t="str">
        <f>Plan_Mantenciones!B211</f>
        <v>Camioneta</v>
      </c>
      <c r="C201" t="str">
        <f>Plan_Mantenciones!C211</f>
        <v>Vehículos Livianos</v>
      </c>
      <c r="D201" s="13" t="str">
        <f ca="1">Plan_Mantenciones!I211</f>
        <v/>
      </c>
      <c r="E201" t="str">
        <f>Plan_Mantenciones!H211</f>
        <v/>
      </c>
      <c r="F201" t="str">
        <f>Plan_Mantenciones!J211</f>
        <v>Operativo</v>
      </c>
      <c r="G201" t="str">
        <f t="shared" si="3"/>
        <v>No</v>
      </c>
    </row>
    <row r="202" spans="1:7">
      <c r="A202" t="str">
        <f>Plan_Mantenciones!A230</f>
        <v>MD-103</v>
      </c>
      <c r="B202" t="str">
        <f>Plan_Mantenciones!B230</f>
        <v>Rodillo</v>
      </c>
      <c r="C202" t="str">
        <f>Plan_Mantenciones!C230</f>
        <v>Maquinaria Pesada</v>
      </c>
      <c r="D202" s="13">
        <f ca="1">Plan_Mantenciones!I230</f>
        <v>46200</v>
      </c>
      <c r="E202">
        <f>Plan_Mantenciones!H230</f>
        <v>55</v>
      </c>
      <c r="F202" t="str">
        <f>Plan_Mantenciones!J230</f>
        <v>Operativo</v>
      </c>
      <c r="G202" t="str">
        <f t="shared" si="3"/>
        <v>Sí</v>
      </c>
    </row>
    <row r="203" spans="1:7">
      <c r="A203" t="str">
        <f>Plan_Mantenciones!A219</f>
        <v>VD-93</v>
      </c>
      <c r="B203" t="str">
        <f>Plan_Mantenciones!B219</f>
        <v>Camioneta</v>
      </c>
      <c r="C203" t="str">
        <f>Plan_Mantenciones!C219</f>
        <v>Vehículos Livianos</v>
      </c>
      <c r="D203" s="13" t="str">
        <f ca="1">Plan_Mantenciones!I219</f>
        <v/>
      </c>
      <c r="E203" t="str">
        <f>Plan_Mantenciones!H219</f>
        <v/>
      </c>
      <c r="F203" t="str">
        <f>Plan_Mantenciones!J219</f>
        <v>Operativo</v>
      </c>
      <c r="G203" t="str">
        <f t="shared" si="3"/>
        <v>No</v>
      </c>
    </row>
    <row r="204" spans="1:7">
      <c r="A204" t="str">
        <f>Plan_Mantenciones!A233</f>
        <v>CD-104</v>
      </c>
      <c r="B204" t="str">
        <f>Plan_Mantenciones!B233</f>
        <v>Camión Tolva</v>
      </c>
      <c r="C204" t="str">
        <f>Plan_Mantenciones!C233</f>
        <v>Camiones de Ruta</v>
      </c>
      <c r="D204" s="13" t="str">
        <f ca="1">Plan_Mantenciones!I233</f>
        <v/>
      </c>
      <c r="E204" t="str">
        <f>Plan_Mantenciones!H233</f>
        <v/>
      </c>
      <c r="F204" t="str">
        <f>Plan_Mantenciones!J233</f>
        <v>Operativo</v>
      </c>
      <c r="G204" t="str">
        <f t="shared" si="3"/>
        <v>No</v>
      </c>
    </row>
    <row r="205" spans="1:7">
      <c r="A205" t="str">
        <f>Plan_Mantenciones!A239</f>
        <v>MD-82</v>
      </c>
      <c r="B205" t="str">
        <f>Plan_Mantenciones!B239</f>
        <v>Excavadora</v>
      </c>
      <c r="C205" t="str">
        <f>Plan_Mantenciones!C239</f>
        <v>Maquinaria Pesada</v>
      </c>
      <c r="D205" s="13">
        <f ca="1">Plan_Mantenciones!I239</f>
        <v>46278</v>
      </c>
      <c r="E205">
        <f>Plan_Mantenciones!H239</f>
        <v>133</v>
      </c>
      <c r="F205" t="str">
        <f>Plan_Mantenciones!J239</f>
        <v>Operativo</v>
      </c>
      <c r="G205" t="str">
        <f t="shared" si="3"/>
        <v>No</v>
      </c>
    </row>
    <row r="206" spans="1:7">
      <c r="A206" t="str">
        <f>Plan_Mantenciones!A232</f>
        <v>CD-114</v>
      </c>
      <c r="B206" t="str">
        <f>Plan_Mantenciones!B232</f>
        <v>Camión Imprimador</v>
      </c>
      <c r="C206" t="str">
        <f>Plan_Mantenciones!C232</f>
        <v>Camiones de Ruta</v>
      </c>
      <c r="D206" s="13" t="str">
        <f ca="1">Plan_Mantenciones!I232</f>
        <v/>
      </c>
      <c r="E206" t="str">
        <f>Plan_Mantenciones!H232</f>
        <v/>
      </c>
      <c r="F206" t="str">
        <f>Plan_Mantenciones!J232</f>
        <v>Operativo</v>
      </c>
      <c r="G206" t="str">
        <f t="shared" si="3"/>
        <v>No</v>
      </c>
    </row>
    <row r="207" spans="1:7" hidden="1">
      <c r="A207" t="str">
        <f>Plan_Mantenciones!A227</f>
        <v>VD-99</v>
      </c>
      <c r="B207" t="str">
        <f>Plan_Mantenciones!B227</f>
        <v>Camioneta</v>
      </c>
      <c r="C207" t="str">
        <f>Plan_Mantenciones!C227</f>
        <v>Vehículos Livianos</v>
      </c>
      <c r="D207" s="13" t="str">
        <f ca="1">Plan_Mantenciones!I227</f>
        <v/>
      </c>
      <c r="E207" t="str">
        <f>Plan_Mantenciones!H227</f>
        <v/>
      </c>
      <c r="F207" t="str">
        <f>Plan_Mantenciones!J227</f>
        <v>Fuera de Servicio</v>
      </c>
      <c r="G207" t="str">
        <f t="shared" si="3"/>
        <v>No</v>
      </c>
    </row>
    <row r="208" spans="1:7">
      <c r="A208" t="str">
        <f>Plan_Mantenciones!A208</f>
        <v>VD-96</v>
      </c>
      <c r="B208" t="str">
        <f>Plan_Mantenciones!B208</f>
        <v>Camioneta</v>
      </c>
      <c r="C208" t="str">
        <f>Plan_Mantenciones!C208</f>
        <v>Vehículos Livianos</v>
      </c>
      <c r="D208" s="13" t="str">
        <f ca="1">Plan_Mantenciones!I208</f>
        <v/>
      </c>
      <c r="E208" t="str">
        <f>Plan_Mantenciones!H208</f>
        <v/>
      </c>
      <c r="F208" t="str">
        <f>Plan_Mantenciones!J208</f>
        <v>Operativo</v>
      </c>
      <c r="G208" t="str">
        <f t="shared" si="3"/>
        <v>No</v>
      </c>
    </row>
    <row r="209" spans="1:7">
      <c r="A209" t="str">
        <f>Plan_Mantenciones!A226</f>
        <v>VD-89</v>
      </c>
      <c r="B209" t="str">
        <f>Plan_Mantenciones!B226</f>
        <v>Camioneta</v>
      </c>
      <c r="C209" t="str">
        <f>Plan_Mantenciones!C226</f>
        <v>Vehículos Livianos</v>
      </c>
      <c r="D209" s="13" t="str">
        <f ca="1">Plan_Mantenciones!I226</f>
        <v/>
      </c>
      <c r="E209" t="str">
        <f>Plan_Mantenciones!H226</f>
        <v/>
      </c>
      <c r="F209" t="str">
        <f>Plan_Mantenciones!J226</f>
        <v>Operativo</v>
      </c>
      <c r="G209" t="str">
        <f t="shared" si="3"/>
        <v>No</v>
      </c>
    </row>
    <row r="210" spans="1:7" hidden="1">
      <c r="A210" t="str">
        <f>Plan_Mantenciones!A182</f>
        <v>VD-105</v>
      </c>
      <c r="B210" t="str">
        <f>Plan_Mantenciones!B182</f>
        <v>Camioneta</v>
      </c>
      <c r="C210" t="str">
        <f>Plan_Mantenciones!C182</f>
        <v>Vehículos Livianos</v>
      </c>
      <c r="D210" s="13" t="str">
        <f ca="1">Plan_Mantenciones!I182</f>
        <v/>
      </c>
      <c r="E210" t="str">
        <f>Plan_Mantenciones!H182</f>
        <v/>
      </c>
      <c r="F210" t="str">
        <f>Plan_Mantenciones!J182</f>
        <v>Fuera de Servicio</v>
      </c>
      <c r="G210" t="str">
        <f t="shared" si="3"/>
        <v>No</v>
      </c>
    </row>
    <row r="211" spans="1:7" hidden="1">
      <c r="A211" t="str">
        <f>Plan_Mantenciones!A198</f>
        <v>VD-98</v>
      </c>
      <c r="B211" t="str">
        <f>Plan_Mantenciones!B198</f>
        <v>Camioneta</v>
      </c>
      <c r="C211" t="str">
        <f>Plan_Mantenciones!C198</f>
        <v>Vehículos Livianos</v>
      </c>
      <c r="D211" s="13" t="str">
        <f ca="1">Plan_Mantenciones!I198</f>
        <v/>
      </c>
      <c r="E211" t="str">
        <f>Plan_Mantenciones!H198</f>
        <v/>
      </c>
      <c r="F211" t="str">
        <f>Plan_Mantenciones!J198</f>
        <v>Fuera de Servicio</v>
      </c>
      <c r="G211" t="str">
        <f t="shared" si="3"/>
        <v>No</v>
      </c>
    </row>
    <row r="212" spans="1:7" hidden="1">
      <c r="A212" t="str">
        <f>Plan_Mantenciones!A199</f>
        <v>VD-86</v>
      </c>
      <c r="B212" t="str">
        <f>Plan_Mantenciones!B199</f>
        <v>Furgon</v>
      </c>
      <c r="C212" t="str">
        <f>Plan_Mantenciones!C199</f>
        <v>Vehículos Livianos</v>
      </c>
      <c r="D212" s="13" t="str">
        <f ca="1">Plan_Mantenciones!I199</f>
        <v/>
      </c>
      <c r="E212" t="str">
        <f>Plan_Mantenciones!H199</f>
        <v/>
      </c>
      <c r="F212" t="str">
        <f>Plan_Mantenciones!J199</f>
        <v>Fuera de Servicio</v>
      </c>
      <c r="G212" t="str">
        <f t="shared" si="3"/>
        <v>No</v>
      </c>
    </row>
    <row r="213" spans="1:7">
      <c r="A213" t="str">
        <f>Plan_Mantenciones!A223</f>
        <v>VD-87</v>
      </c>
      <c r="B213" t="str">
        <f>Plan_Mantenciones!B223</f>
        <v>Camioneta</v>
      </c>
      <c r="C213" t="str">
        <f>Plan_Mantenciones!C223</f>
        <v>Vehículos Livianos</v>
      </c>
      <c r="D213" s="13" t="str">
        <f ca="1">Plan_Mantenciones!I223</f>
        <v/>
      </c>
      <c r="E213" t="str">
        <f>Plan_Mantenciones!H223</f>
        <v/>
      </c>
      <c r="F213" t="str">
        <f>Plan_Mantenciones!J223</f>
        <v>Operativo</v>
      </c>
      <c r="G213" t="str">
        <f t="shared" si="3"/>
        <v>No</v>
      </c>
    </row>
    <row r="214" spans="1:7">
      <c r="A214" t="str">
        <f>Plan_Mantenciones!A184</f>
        <v>MD-108</v>
      </c>
      <c r="B214" t="str">
        <f>Plan_Mantenciones!B184</f>
        <v>Rodillo de Neumaticos</v>
      </c>
      <c r="C214" t="str">
        <f>Plan_Mantenciones!C184</f>
        <v>Maquinaria Pesada</v>
      </c>
      <c r="D214" s="13" t="str">
        <f ca="1">Plan_Mantenciones!I184</f>
        <v/>
      </c>
      <c r="E214" t="str">
        <f>Plan_Mantenciones!H184</f>
        <v/>
      </c>
      <c r="F214" t="str">
        <f>Plan_Mantenciones!J184</f>
        <v>Operativo</v>
      </c>
      <c r="G214" t="str">
        <f t="shared" si="3"/>
        <v>No</v>
      </c>
    </row>
    <row r="215" spans="1:7">
      <c r="A215" t="str">
        <f>Plan_Mantenciones!A237</f>
        <v>CD-89</v>
      </c>
      <c r="B215" t="str">
        <f>Plan_Mantenciones!B237</f>
        <v>Camión Tolva</v>
      </c>
      <c r="C215" t="str">
        <f>Plan_Mantenciones!C237</f>
        <v>Camiones de Ruta</v>
      </c>
      <c r="D215" s="13" t="str">
        <f ca="1">Plan_Mantenciones!I237</f>
        <v/>
      </c>
      <c r="E215" t="str">
        <f>Plan_Mantenciones!H237</f>
        <v/>
      </c>
      <c r="F215" t="str">
        <f>Plan_Mantenciones!J237</f>
        <v>Operativo</v>
      </c>
      <c r="G215" t="str">
        <f t="shared" si="3"/>
        <v>No</v>
      </c>
    </row>
    <row r="216" spans="1:7">
      <c r="A216" t="str">
        <f>Plan_Mantenciones!A185</f>
        <v>MD-73</v>
      </c>
      <c r="B216" t="str">
        <f>Plan_Mantenciones!B185</f>
        <v>Motoniveladora</v>
      </c>
      <c r="C216" t="str">
        <f>Plan_Mantenciones!C185</f>
        <v>Maquinaria Pesada</v>
      </c>
      <c r="D216" s="13">
        <f ca="1">Plan_Mantenciones!I185</f>
        <v>46217</v>
      </c>
      <c r="E216">
        <f>Plan_Mantenciones!H185</f>
        <v>72</v>
      </c>
      <c r="F216" t="str">
        <f>Plan_Mantenciones!J185</f>
        <v>Operativo</v>
      </c>
      <c r="G216" t="str">
        <f t="shared" si="3"/>
        <v>Sí</v>
      </c>
    </row>
    <row r="217" spans="1:7">
      <c r="A217" t="str">
        <f>Plan_Mantenciones!A156</f>
        <v>VD-115</v>
      </c>
      <c r="B217" t="str">
        <f>Plan_Mantenciones!B156</f>
        <v>Furgon</v>
      </c>
      <c r="C217" t="str">
        <f>Plan_Mantenciones!C156</f>
        <v>Vehículos Livianos</v>
      </c>
      <c r="D217" s="13">
        <f ca="1">Plan_Mantenciones!I156</f>
        <v>46167</v>
      </c>
      <c r="E217">
        <f>Plan_Mantenciones!H156</f>
        <v>22</v>
      </c>
      <c r="F217" t="str">
        <f>Plan_Mantenciones!J156</f>
        <v>Operativo</v>
      </c>
      <c r="G217" t="str">
        <f t="shared" si="3"/>
        <v>Sí</v>
      </c>
    </row>
    <row r="218" spans="1:7">
      <c r="A218" t="str">
        <f>Plan_Mantenciones!A169</f>
        <v>MD-88</v>
      </c>
      <c r="B218" t="str">
        <f>Plan_Mantenciones!B169</f>
        <v>Excavadora</v>
      </c>
      <c r="C218" t="str">
        <f>Plan_Mantenciones!C169</f>
        <v>Maquinaria Pesada</v>
      </c>
      <c r="D218" s="13">
        <f ca="1">Plan_Mantenciones!I169</f>
        <v>46159</v>
      </c>
      <c r="E218">
        <f>Plan_Mantenciones!H169</f>
        <v>14</v>
      </c>
      <c r="F218" t="str">
        <f>Plan_Mantenciones!J169</f>
        <v>Operativo</v>
      </c>
      <c r="G218" t="str">
        <f t="shared" si="3"/>
        <v>Sí</v>
      </c>
    </row>
    <row r="219" spans="1:7">
      <c r="A219" t="str">
        <f>Plan_Mantenciones!A154</f>
        <v>CD-122</v>
      </c>
      <c r="B219" t="str">
        <f>Plan_Mantenciones!B154</f>
        <v>Camión Tolva</v>
      </c>
      <c r="C219" t="str">
        <f>Plan_Mantenciones!C154</f>
        <v>Camiones de Ruta</v>
      </c>
      <c r="D219" s="13">
        <f ca="1">Plan_Mantenciones!I154</f>
        <v>46180</v>
      </c>
      <c r="E219">
        <f>Plan_Mantenciones!H154</f>
        <v>35</v>
      </c>
      <c r="F219" t="str">
        <f>Plan_Mantenciones!J154</f>
        <v>Operativo</v>
      </c>
      <c r="G219" t="str">
        <f t="shared" si="3"/>
        <v>Sí</v>
      </c>
    </row>
    <row r="220" spans="1:7">
      <c r="A220" t="str">
        <f>Plan_Mantenciones!A158</f>
        <v>MD-104</v>
      </c>
      <c r="B220" t="str">
        <f>Plan_Mantenciones!B158</f>
        <v>Excavadora</v>
      </c>
      <c r="C220" t="str">
        <f>Plan_Mantenciones!C158</f>
        <v>Maquinaria Pesada</v>
      </c>
      <c r="D220" s="13">
        <f ca="1">Plan_Mantenciones!I158</f>
        <v>46235</v>
      </c>
      <c r="E220">
        <f>Plan_Mantenciones!H158</f>
        <v>90</v>
      </c>
      <c r="F220" t="str">
        <f>Plan_Mantenciones!J158</f>
        <v>Operativo</v>
      </c>
      <c r="G220" t="str">
        <f t="shared" si="3"/>
        <v>Sí</v>
      </c>
    </row>
    <row r="221" spans="1:7">
      <c r="A221" t="str">
        <f>Plan_Mantenciones!A155</f>
        <v>VD-120</v>
      </c>
      <c r="B221" t="str">
        <f>Plan_Mantenciones!B155</f>
        <v>Furgon</v>
      </c>
      <c r="C221" t="str">
        <f>Plan_Mantenciones!C155</f>
        <v>Vehículos Livianos</v>
      </c>
      <c r="D221" s="13">
        <f ca="1">Plan_Mantenciones!I155</f>
        <v>46208</v>
      </c>
      <c r="E221">
        <f>Plan_Mantenciones!H155</f>
        <v>63</v>
      </c>
      <c r="F221" t="str">
        <f>Plan_Mantenciones!J155</f>
        <v>Operativo</v>
      </c>
      <c r="G221" t="str">
        <f t="shared" si="3"/>
        <v>Sí</v>
      </c>
    </row>
    <row r="222" spans="1:7">
      <c r="A222" t="str">
        <f>Plan_Mantenciones!A149</f>
        <v>VD-139</v>
      </c>
      <c r="B222" t="str">
        <f>Plan_Mantenciones!B149</f>
        <v>Camioneta</v>
      </c>
      <c r="C222" t="str">
        <f>Plan_Mantenciones!C149</f>
        <v>Vehículos Livianos</v>
      </c>
      <c r="D222" s="13">
        <f ca="1">Plan_Mantenciones!I149</f>
        <v>46156</v>
      </c>
      <c r="E222">
        <f>Plan_Mantenciones!H149</f>
        <v>11</v>
      </c>
      <c r="F222" t="str">
        <f>Plan_Mantenciones!J149</f>
        <v>Operativo</v>
      </c>
      <c r="G222" t="str">
        <f t="shared" si="3"/>
        <v>Sí</v>
      </c>
    </row>
    <row r="223" spans="1:7">
      <c r="A223" t="str">
        <f>Plan_Mantenciones!A160</f>
        <v>VD-129</v>
      </c>
      <c r="B223" t="str">
        <f>Plan_Mantenciones!B160</f>
        <v>Camioneta</v>
      </c>
      <c r="C223" t="str">
        <f>Plan_Mantenciones!C160</f>
        <v>Vehículos Livianos</v>
      </c>
      <c r="D223" s="13">
        <f ca="1">Plan_Mantenciones!I160</f>
        <v>46140</v>
      </c>
      <c r="E223">
        <f>Plan_Mantenciones!H160</f>
        <v>-5</v>
      </c>
      <c r="F223" t="str">
        <f>Plan_Mantenciones!J160</f>
        <v>Operativo</v>
      </c>
      <c r="G223" t="str">
        <f t="shared" si="3"/>
        <v>No</v>
      </c>
    </row>
    <row r="224" spans="1:7">
      <c r="A224" t="str">
        <f>Plan_Mantenciones!A153</f>
        <v>CD-121</v>
      </c>
      <c r="B224" t="str">
        <f>Plan_Mantenciones!B153</f>
        <v>Camión Tolva</v>
      </c>
      <c r="C224" t="str">
        <f>Plan_Mantenciones!C153</f>
        <v>Camiones de Ruta</v>
      </c>
      <c r="D224" s="13">
        <f ca="1">Plan_Mantenciones!I153</f>
        <v>46185</v>
      </c>
      <c r="E224">
        <f>Plan_Mantenciones!H153</f>
        <v>40</v>
      </c>
      <c r="F224" t="str">
        <f>Plan_Mantenciones!J153</f>
        <v>Operativo</v>
      </c>
      <c r="G224" t="str">
        <f t="shared" si="3"/>
        <v>Sí</v>
      </c>
    </row>
    <row r="225" spans="1:7">
      <c r="A225" t="str">
        <f>Plan_Mantenciones!A159</f>
        <v>VD-76</v>
      </c>
      <c r="B225" t="str">
        <f>Plan_Mantenciones!B159</f>
        <v>Camioneta</v>
      </c>
      <c r="C225" t="str">
        <f>Plan_Mantenciones!C159</f>
        <v>Vehículos Livianos</v>
      </c>
      <c r="D225" s="13">
        <f ca="1">Plan_Mantenciones!I159</f>
        <v>46156</v>
      </c>
      <c r="E225">
        <f>Plan_Mantenciones!H159</f>
        <v>11</v>
      </c>
      <c r="F225" t="str">
        <f>Plan_Mantenciones!J159</f>
        <v>Operativo</v>
      </c>
      <c r="G225" t="str">
        <f t="shared" si="3"/>
        <v>Sí</v>
      </c>
    </row>
    <row r="226" spans="1:7">
      <c r="A226" t="str">
        <f>Plan_Mantenciones!A150</f>
        <v>VD-97</v>
      </c>
      <c r="B226" t="str">
        <f>Plan_Mantenciones!B150</f>
        <v>Camioneta</v>
      </c>
      <c r="C226" t="str">
        <f>Plan_Mantenciones!C150</f>
        <v>Vehículos Livianos</v>
      </c>
      <c r="D226" s="13">
        <f ca="1">Plan_Mantenciones!I150</f>
        <v>46192</v>
      </c>
      <c r="E226">
        <f>Plan_Mantenciones!H150</f>
        <v>47</v>
      </c>
      <c r="F226" t="str">
        <f>Plan_Mantenciones!J150</f>
        <v>Operativo</v>
      </c>
      <c r="G226" t="str">
        <f t="shared" si="3"/>
        <v>Sí</v>
      </c>
    </row>
    <row r="227" spans="1:7">
      <c r="A227" t="str">
        <f>Plan_Mantenciones!A161</f>
        <v>ED-63</v>
      </c>
      <c r="B227" t="str">
        <f>Plan_Mantenciones!B161</f>
        <v>Barredora</v>
      </c>
      <c r="C227" t="str">
        <f>Plan_Mantenciones!C161</f>
        <v>Maquinaria Pesada</v>
      </c>
      <c r="D227" s="13" t="str">
        <f ca="1">Plan_Mantenciones!I161</f>
        <v/>
      </c>
      <c r="E227" t="str">
        <f>Plan_Mantenciones!H161</f>
        <v/>
      </c>
      <c r="F227" t="str">
        <f>Plan_Mantenciones!J161</f>
        <v>Fuera de Servicio</v>
      </c>
      <c r="G227" t="str">
        <f t="shared" si="3"/>
        <v>No</v>
      </c>
    </row>
    <row r="228" spans="1:7">
      <c r="A228" t="str">
        <f>Plan_Mantenciones!A163</f>
        <v>VD-116</v>
      </c>
      <c r="B228" t="str">
        <f>Plan_Mantenciones!B163</f>
        <v>Furgon</v>
      </c>
      <c r="C228" t="str">
        <f>Plan_Mantenciones!C163</f>
        <v>Vehículos Livianos</v>
      </c>
      <c r="D228" s="13">
        <f ca="1">Plan_Mantenciones!I163</f>
        <v>46231</v>
      </c>
      <c r="E228">
        <f>Plan_Mantenciones!H163</f>
        <v>86</v>
      </c>
      <c r="F228" t="str">
        <f>Plan_Mantenciones!J163</f>
        <v>Operativo</v>
      </c>
      <c r="G228" t="str">
        <f t="shared" si="3"/>
        <v>Sí</v>
      </c>
    </row>
    <row r="229" spans="1:7">
      <c r="A229" t="str">
        <f>Plan_Mantenciones!A164</f>
        <v>CD-88</v>
      </c>
      <c r="B229" t="str">
        <f>Plan_Mantenciones!B164</f>
        <v>Camión Tolva</v>
      </c>
      <c r="C229" t="str">
        <f>Plan_Mantenciones!C164</f>
        <v>Camiones de Ruta</v>
      </c>
      <c r="D229" s="13">
        <f ca="1">Plan_Mantenciones!I164</f>
        <v>45078</v>
      </c>
      <c r="E229">
        <f>Plan_Mantenciones!H164</f>
        <v>-1067</v>
      </c>
      <c r="F229" t="str">
        <f>Plan_Mantenciones!J164</f>
        <v>Operativo</v>
      </c>
      <c r="G229" t="str">
        <f t="shared" si="3"/>
        <v>No</v>
      </c>
    </row>
    <row r="230" spans="1:7">
      <c r="A230" t="str">
        <f>Plan_Mantenciones!A165</f>
        <v>MD-67</v>
      </c>
      <c r="B230" t="str">
        <f>Plan_Mantenciones!B165</f>
        <v>Rodillo</v>
      </c>
      <c r="C230" t="str">
        <f>Plan_Mantenciones!C165</f>
        <v>Maquinaria Pesada</v>
      </c>
      <c r="D230" s="13">
        <f ca="1">Plan_Mantenciones!I165</f>
        <v>46275</v>
      </c>
      <c r="E230">
        <f>Plan_Mantenciones!H165</f>
        <v>130</v>
      </c>
      <c r="F230" t="str">
        <f>Plan_Mantenciones!J165</f>
        <v>Operativo</v>
      </c>
      <c r="G230" t="str">
        <f t="shared" si="3"/>
        <v>No</v>
      </c>
    </row>
    <row r="231" spans="1:7">
      <c r="A231" t="str">
        <f>Plan_Mantenciones!A166</f>
        <v>VD-110</v>
      </c>
      <c r="B231" t="str">
        <f>Plan_Mantenciones!B166</f>
        <v>Camioneta</v>
      </c>
      <c r="C231" t="str">
        <f>Plan_Mantenciones!C166</f>
        <v>Vehículos Livianos</v>
      </c>
      <c r="D231" s="13">
        <f ca="1">Plan_Mantenciones!I166</f>
        <v>46161</v>
      </c>
      <c r="E231">
        <f>Plan_Mantenciones!H166</f>
        <v>16</v>
      </c>
      <c r="F231" t="str">
        <f>Plan_Mantenciones!J166</f>
        <v>Operativo</v>
      </c>
      <c r="G231" t="str">
        <f t="shared" si="3"/>
        <v>Sí</v>
      </c>
    </row>
    <row r="232" spans="1:7">
      <c r="A232" t="str">
        <f>Plan_Mantenciones!A167</f>
        <v>MD-68</v>
      </c>
      <c r="B232" t="str">
        <f>Plan_Mantenciones!B167</f>
        <v>Rodillo</v>
      </c>
      <c r="C232" t="str">
        <f>Plan_Mantenciones!C167</f>
        <v>Maquinaria Pesada</v>
      </c>
      <c r="D232" s="13">
        <f ca="1">Plan_Mantenciones!I167</f>
        <v>46161</v>
      </c>
      <c r="E232">
        <f>Plan_Mantenciones!H167</f>
        <v>16</v>
      </c>
      <c r="F232" t="str">
        <f>Plan_Mantenciones!J167</f>
        <v>Operativo</v>
      </c>
      <c r="G232" t="str">
        <f t="shared" si="3"/>
        <v>Sí</v>
      </c>
    </row>
    <row r="233" spans="1:7">
      <c r="A233" t="str">
        <f>Plan_Mantenciones!A168</f>
        <v>MD-99</v>
      </c>
      <c r="B233" t="str">
        <f>Plan_Mantenciones!B168</f>
        <v>Excavadora</v>
      </c>
      <c r="C233" t="str">
        <f>Plan_Mantenciones!C168</f>
        <v>Maquinaria Pesada</v>
      </c>
      <c r="D233" s="13">
        <f ca="1">Plan_Mantenciones!I168</f>
        <v>46160</v>
      </c>
      <c r="E233">
        <f>Plan_Mantenciones!H168</f>
        <v>15</v>
      </c>
      <c r="F233" t="str">
        <f>Plan_Mantenciones!J168</f>
        <v>Operativo</v>
      </c>
      <c r="G233" t="str">
        <f t="shared" si="3"/>
        <v>Sí</v>
      </c>
    </row>
    <row r="234" spans="1:7">
      <c r="A234" t="str">
        <f>Plan_Mantenciones!A170</f>
        <v>CD-90</v>
      </c>
      <c r="B234" t="str">
        <f>Plan_Mantenciones!B170</f>
        <v>Camión Tolva</v>
      </c>
      <c r="C234" t="str">
        <f>Plan_Mantenciones!C170</f>
        <v>Camiones de Ruta</v>
      </c>
      <c r="D234" s="13">
        <f ca="1">Plan_Mantenciones!I170</f>
        <v>46198</v>
      </c>
      <c r="E234">
        <f>Plan_Mantenciones!H170</f>
        <v>53</v>
      </c>
      <c r="F234" t="str">
        <f>Plan_Mantenciones!J170</f>
        <v>Operativo</v>
      </c>
      <c r="G234" t="str">
        <f t="shared" si="3"/>
        <v>Sí</v>
      </c>
    </row>
    <row r="235" spans="1:7">
      <c r="A235" t="str">
        <f>Plan_Mantenciones!A171</f>
        <v>MD-107</v>
      </c>
      <c r="B235" t="str">
        <f>Plan_Mantenciones!B171</f>
        <v>Cargador Frontal</v>
      </c>
      <c r="C235" t="str">
        <f>Plan_Mantenciones!C171</f>
        <v>Maquinaria Pesada</v>
      </c>
      <c r="D235" s="13">
        <f ca="1">Plan_Mantenciones!I171</f>
        <v>46140</v>
      </c>
      <c r="E235">
        <f>Plan_Mantenciones!H171</f>
        <v>-5</v>
      </c>
      <c r="F235" t="str">
        <f>Plan_Mantenciones!J171</f>
        <v>Operativo</v>
      </c>
      <c r="G235" t="str">
        <f t="shared" si="3"/>
        <v>No</v>
      </c>
    </row>
    <row r="236" spans="1:7">
      <c r="A236" t="str">
        <f>Plan_Mantenciones!A172</f>
        <v>MD-39</v>
      </c>
      <c r="B236" t="str">
        <f>Plan_Mantenciones!B172</f>
        <v>Motoniveladora</v>
      </c>
      <c r="C236" t="str">
        <f>Plan_Mantenciones!C172</f>
        <v>Maquinaria Pesada</v>
      </c>
      <c r="D236" s="13">
        <f ca="1">Plan_Mantenciones!I172</f>
        <v>46157</v>
      </c>
      <c r="E236">
        <f>Plan_Mantenciones!H172</f>
        <v>12</v>
      </c>
      <c r="F236" t="str">
        <f>Plan_Mantenciones!J172</f>
        <v>Operativo</v>
      </c>
      <c r="G236" t="str">
        <f t="shared" si="3"/>
        <v>Sí</v>
      </c>
    </row>
    <row r="237" spans="1:7">
      <c r="A237" t="str">
        <f>Plan_Mantenciones!A173</f>
        <v>MD-57</v>
      </c>
      <c r="B237" t="str">
        <f>Plan_Mantenciones!B173</f>
        <v>Excavadora</v>
      </c>
      <c r="C237" t="str">
        <f>Plan_Mantenciones!C173</f>
        <v>Maquinaria Pesada</v>
      </c>
      <c r="D237" s="13">
        <f ca="1">Plan_Mantenciones!I173</f>
        <v>46220</v>
      </c>
      <c r="E237">
        <f>Plan_Mantenciones!H173</f>
        <v>75</v>
      </c>
      <c r="F237" t="str">
        <f>Plan_Mantenciones!J173</f>
        <v>Operativo</v>
      </c>
      <c r="G237" t="str">
        <f t="shared" si="3"/>
        <v>Sí</v>
      </c>
    </row>
    <row r="238" spans="1:7">
      <c r="A238" t="str">
        <f>Plan_Mantenciones!A186</f>
        <v>MD-62</v>
      </c>
      <c r="B238" t="str">
        <f>Plan_Mantenciones!B186</f>
        <v>Excavadora con Ruedas</v>
      </c>
      <c r="C238" t="str">
        <f>Plan_Mantenciones!C186</f>
        <v>Maquinaria Pesada</v>
      </c>
      <c r="D238" s="13">
        <f ca="1">Plan_Mantenciones!I186</f>
        <v>45482</v>
      </c>
      <c r="E238">
        <f>Plan_Mantenciones!H186</f>
        <v>-663</v>
      </c>
      <c r="F238" t="str">
        <f>Plan_Mantenciones!J186</f>
        <v>Operativo</v>
      </c>
      <c r="G238" t="str">
        <f t="shared" si="3"/>
        <v>No</v>
      </c>
    </row>
    <row r="239" spans="1:7">
      <c r="A239" t="str">
        <f>Plan_Mantenciones!A187</f>
        <v>VD-121</v>
      </c>
      <c r="B239" t="str">
        <f>Plan_Mantenciones!B187</f>
        <v>Furgon</v>
      </c>
      <c r="C239" t="str">
        <f>Plan_Mantenciones!C187</f>
        <v>Vehículos Livianos</v>
      </c>
      <c r="D239" s="13">
        <f ca="1">Plan_Mantenciones!I187</f>
        <v>46038</v>
      </c>
      <c r="E239">
        <f>Plan_Mantenciones!H187</f>
        <v>-107</v>
      </c>
      <c r="F239" t="str">
        <f>Plan_Mantenciones!J187</f>
        <v>Operativo</v>
      </c>
      <c r="G239" t="str">
        <f t="shared" si="3"/>
        <v>No</v>
      </c>
    </row>
    <row r="240" spans="1:7">
      <c r="A240" t="str">
        <f>Plan_Mantenciones!A188</f>
        <v>CD-119</v>
      </c>
      <c r="B240" t="str">
        <f>Plan_Mantenciones!B188</f>
        <v>Camión Combustible</v>
      </c>
      <c r="C240" t="str">
        <f>Plan_Mantenciones!C188</f>
        <v>Camiones de Ruta</v>
      </c>
      <c r="D240" s="13">
        <f ca="1">Plan_Mantenciones!I188</f>
        <v>46160</v>
      </c>
      <c r="E240">
        <f>Plan_Mantenciones!H188</f>
        <v>15</v>
      </c>
      <c r="F240" t="str">
        <f>Plan_Mantenciones!J188</f>
        <v>Operativo</v>
      </c>
      <c r="G240" t="str">
        <f t="shared" si="3"/>
        <v>Sí</v>
      </c>
    </row>
    <row r="241" spans="1:7">
      <c r="A241" t="str">
        <f>Plan_Mantenciones!A189</f>
        <v>EQP-18</v>
      </c>
      <c r="B241" t="str">
        <f>Plan_Mantenciones!B189</f>
        <v>Planta aridos</v>
      </c>
      <c r="C241" t="str">
        <f>Plan_Mantenciones!C189</f>
        <v>Maquinaria Pesada</v>
      </c>
      <c r="D241" s="13">
        <f ca="1">Plan_Mantenciones!I189</f>
        <v>46051</v>
      </c>
      <c r="E241">
        <f>Plan_Mantenciones!H189</f>
        <v>-94</v>
      </c>
      <c r="F241" t="str">
        <f>Plan_Mantenciones!J189</f>
        <v>Operativo</v>
      </c>
      <c r="G241" t="str">
        <f t="shared" si="3"/>
        <v>No</v>
      </c>
    </row>
    <row r="242" spans="1:7" hidden="1">
      <c r="A242" t="str">
        <f>Plan_Mantenciones!A190</f>
        <v>EQP-15</v>
      </c>
      <c r="B242" t="str">
        <f>Plan_Mantenciones!B190</f>
        <v>Planta Aridos seleccionadora</v>
      </c>
      <c r="C242" t="str">
        <f>Plan_Mantenciones!C190</f>
        <v>Maquinaria Pesada</v>
      </c>
      <c r="D242" s="13" t="str">
        <f ca="1">Plan_Mantenciones!I190</f>
        <v/>
      </c>
      <c r="E242" t="str">
        <f>Plan_Mantenciones!H190</f>
        <v/>
      </c>
      <c r="F242" t="str">
        <f>Plan_Mantenciones!J190</f>
        <v>Fuera de Servicio</v>
      </c>
      <c r="G242" t="str">
        <f t="shared" si="3"/>
        <v>No</v>
      </c>
    </row>
    <row r="243" spans="1:7">
      <c r="A243" t="str">
        <f>Plan_Mantenciones!A210</f>
        <v>VD-134</v>
      </c>
      <c r="B243" t="str">
        <f>Plan_Mantenciones!B210</f>
        <v>Camioneta</v>
      </c>
      <c r="C243" t="str">
        <f>Plan_Mantenciones!C210</f>
        <v>Vehículos Livianos</v>
      </c>
      <c r="D243" s="13" t="str">
        <f ca="1">Plan_Mantenciones!I210</f>
        <v/>
      </c>
      <c r="E243" t="str">
        <f>Plan_Mantenciones!H210</f>
        <v/>
      </c>
      <c r="F243" t="str">
        <f>Plan_Mantenciones!J210</f>
        <v>Operativo</v>
      </c>
      <c r="G243" t="str">
        <f t="shared" si="3"/>
        <v>No</v>
      </c>
    </row>
    <row r="244" spans="1:7">
      <c r="A244" t="str">
        <f>Plan_Mantenciones!A244</f>
        <v>MD-45</v>
      </c>
      <c r="B244" t="str">
        <f>Plan_Mantenciones!B244</f>
        <v>Cargador Frontal</v>
      </c>
      <c r="C244" t="str">
        <f>Plan_Mantenciones!C244</f>
        <v>Maquinaria Pesada</v>
      </c>
      <c r="D244" s="13" t="str">
        <f ca="1">Plan_Mantenciones!I244</f>
        <v/>
      </c>
      <c r="E244" t="str">
        <f>Plan_Mantenciones!H244</f>
        <v/>
      </c>
      <c r="F244" t="str">
        <f>Plan_Mantenciones!J244</f>
        <v>Operativo</v>
      </c>
      <c r="G244" t="str">
        <f t="shared" si="3"/>
        <v>No</v>
      </c>
    </row>
    <row r="245" spans="1:7">
      <c r="A245" t="str">
        <f>Plan_Mantenciones!A245</f>
        <v>MD-61</v>
      </c>
      <c r="B245" t="str">
        <f>Plan_Mantenciones!B245</f>
        <v>Excavadora</v>
      </c>
      <c r="C245" t="str">
        <f>Plan_Mantenciones!C245</f>
        <v>Maquinaria Pesada</v>
      </c>
      <c r="D245" s="13" t="str">
        <f ca="1">Plan_Mantenciones!I245</f>
        <v/>
      </c>
      <c r="E245" t="str">
        <f>Plan_Mantenciones!H245</f>
        <v/>
      </c>
      <c r="F245" t="str">
        <f>Plan_Mantenciones!J245</f>
        <v>Operativo</v>
      </c>
      <c r="G245" t="str">
        <f t="shared" si="3"/>
        <v>No</v>
      </c>
    </row>
    <row r="246" spans="1:7" hidden="1">
      <c r="A246" t="str">
        <f>Plan_Mantenciones!A246</f>
        <v>CD-138</v>
      </c>
      <c r="B246" t="str">
        <f>Plan_Mantenciones!B246</f>
        <v>Camion Imprimador</v>
      </c>
      <c r="C246" t="str">
        <f>Plan_Mantenciones!C246</f>
        <v>Maquinaria Pesada</v>
      </c>
      <c r="D246" s="13" t="str">
        <f ca="1">Plan_Mantenciones!I246</f>
        <v/>
      </c>
      <c r="E246" t="str">
        <f>Plan_Mantenciones!H246</f>
        <v/>
      </c>
      <c r="F246" t="str">
        <f>Plan_Mantenciones!J246</f>
        <v>Fuera de Servicio</v>
      </c>
      <c r="G246" t="str">
        <f t="shared" si="3"/>
        <v>No</v>
      </c>
    </row>
    <row r="247" spans="1:7" hidden="1">
      <c r="A247" t="str">
        <f>Plan_Mantenciones!A247</f>
        <v>CD-99</v>
      </c>
      <c r="B247" t="str">
        <f>Plan_Mantenciones!B247</f>
        <v>Camión Aljibe</v>
      </c>
      <c r="C247" t="str">
        <f>Plan_Mantenciones!C247</f>
        <v>Camiones de Ruta</v>
      </c>
      <c r="D247" s="13" t="str">
        <f ca="1">Plan_Mantenciones!I247</f>
        <v/>
      </c>
      <c r="E247" t="str">
        <f>Plan_Mantenciones!H247</f>
        <v/>
      </c>
      <c r="F247" t="str">
        <f>Plan_Mantenciones!J247</f>
        <v>Fuera de Servicio</v>
      </c>
      <c r="G247" t="str">
        <f t="shared" si="3"/>
        <v>No</v>
      </c>
    </row>
    <row r="248" spans="1:7">
      <c r="A248" t="e">
        <f>Plan_Mantenciones!#REF!</f>
        <v>#REF!</v>
      </c>
      <c r="B248" t="e">
        <f>Plan_Mantenciones!#REF!</f>
        <v>#REF!</v>
      </c>
      <c r="C248" t="e">
        <f>Plan_Mantenciones!#REF!</f>
        <v>#REF!</v>
      </c>
      <c r="D248" s="13" t="e">
        <f>Plan_Mantenciones!#REF!</f>
        <v>#REF!</v>
      </c>
      <c r="E248" t="e">
        <f>Plan_Mantenciones!#REF!</f>
        <v>#REF!</v>
      </c>
      <c r="F248" t="e">
        <f>Plan_Mantenciones!#REF!</f>
        <v>#REF!</v>
      </c>
      <c r="G248" t="e">
        <f t="shared" si="3"/>
        <v>#REF!</v>
      </c>
    </row>
    <row r="249" spans="1:7">
      <c r="A249" t="e">
        <f>Plan_Mantenciones!#REF!</f>
        <v>#REF!</v>
      </c>
      <c r="B249" t="e">
        <f>Plan_Mantenciones!#REF!</f>
        <v>#REF!</v>
      </c>
      <c r="C249" t="e">
        <f>Plan_Mantenciones!#REF!</f>
        <v>#REF!</v>
      </c>
      <c r="D249" s="13" t="e">
        <f>Plan_Mantenciones!#REF!</f>
        <v>#REF!</v>
      </c>
      <c r="E249" t="e">
        <f>Plan_Mantenciones!#REF!</f>
        <v>#REF!</v>
      </c>
      <c r="F249" t="e">
        <f>Plan_Mantenciones!#REF!</f>
        <v>#REF!</v>
      </c>
      <c r="G249" t="e">
        <f t="shared" si="3"/>
        <v>#REF!</v>
      </c>
    </row>
    <row r="250" spans="1:7">
      <c r="A250" t="e">
        <f>Plan_Mantenciones!#REF!</f>
        <v>#REF!</v>
      </c>
      <c r="B250" t="e">
        <f>Plan_Mantenciones!#REF!</f>
        <v>#REF!</v>
      </c>
      <c r="C250" t="e">
        <f>Plan_Mantenciones!#REF!</f>
        <v>#REF!</v>
      </c>
      <c r="D250" s="13" t="e">
        <f>Plan_Mantenciones!#REF!</f>
        <v>#REF!</v>
      </c>
      <c r="E250" t="e">
        <f>Plan_Mantenciones!#REF!</f>
        <v>#REF!</v>
      </c>
      <c r="F250" t="e">
        <f>Plan_Mantenciones!#REF!</f>
        <v>#REF!</v>
      </c>
      <c r="G250" t="e">
        <f t="shared" si="3"/>
        <v>#REF!</v>
      </c>
    </row>
    <row r="251" spans="1:7">
      <c r="A251" t="e">
        <f>Plan_Mantenciones!#REF!</f>
        <v>#REF!</v>
      </c>
      <c r="B251" t="e">
        <f>Plan_Mantenciones!#REF!</f>
        <v>#REF!</v>
      </c>
      <c r="C251" t="e">
        <f>Plan_Mantenciones!#REF!</f>
        <v>#REF!</v>
      </c>
      <c r="D251" s="13" t="e">
        <f>Plan_Mantenciones!#REF!</f>
        <v>#REF!</v>
      </c>
      <c r="E251" t="e">
        <f>Plan_Mantenciones!#REF!</f>
        <v>#REF!</v>
      </c>
      <c r="F251" t="e">
        <f>Plan_Mantenciones!#REF!</f>
        <v>#REF!</v>
      </c>
      <c r="G251" t="e">
        <f t="shared" si="3"/>
        <v>#REF!</v>
      </c>
    </row>
    <row r="252" spans="1:7">
      <c r="A252" t="e">
        <f>Plan_Mantenciones!#REF!</f>
        <v>#REF!</v>
      </c>
      <c r="B252" t="e">
        <f>Plan_Mantenciones!#REF!</f>
        <v>#REF!</v>
      </c>
      <c r="C252" t="e">
        <f>Plan_Mantenciones!#REF!</f>
        <v>#REF!</v>
      </c>
      <c r="D252" s="13" t="e">
        <f>Plan_Mantenciones!#REF!</f>
        <v>#REF!</v>
      </c>
      <c r="E252" t="e">
        <f>Plan_Mantenciones!#REF!</f>
        <v>#REF!</v>
      </c>
      <c r="F252" t="e">
        <f>Plan_Mantenciones!#REF!</f>
        <v>#REF!</v>
      </c>
      <c r="G252" t="e">
        <f t="shared" si="3"/>
        <v>#REF!</v>
      </c>
    </row>
    <row r="253" spans="1:7">
      <c r="A253" t="e">
        <f>Plan_Mantenciones!#REF!</f>
        <v>#REF!</v>
      </c>
      <c r="B253" t="e">
        <f>Plan_Mantenciones!#REF!</f>
        <v>#REF!</v>
      </c>
      <c r="C253" t="e">
        <f>Plan_Mantenciones!#REF!</f>
        <v>#REF!</v>
      </c>
      <c r="D253" s="13" t="e">
        <f>Plan_Mantenciones!#REF!</f>
        <v>#REF!</v>
      </c>
      <c r="E253" t="e">
        <f>Plan_Mantenciones!#REF!</f>
        <v>#REF!</v>
      </c>
      <c r="F253" t="e">
        <f>Plan_Mantenciones!#REF!</f>
        <v>#REF!</v>
      </c>
      <c r="G253" t="e">
        <f t="shared" si="3"/>
        <v>#REF!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zoomScaleNormal="100" workbookViewId="0">
      <selection activeCell="E7" sqref="E7"/>
    </sheetView>
  </sheetViews>
  <sheetFormatPr baseColWidth="10" defaultColWidth="9.140625" defaultRowHeight="15" customHeight="1"/>
  <cols>
    <col min="1" max="2" width="16" customWidth="1"/>
    <col min="3" max="3" width="16" bestFit="1" customWidth="1"/>
    <col min="4" max="4" width="18" customWidth="1"/>
  </cols>
  <sheetData>
    <row r="1" spans="1:4" ht="18.75" customHeight="1">
      <c r="A1" s="35" t="s">
        <v>1118</v>
      </c>
      <c r="B1" s="36"/>
      <c r="C1" s="36"/>
      <c r="D1" s="36"/>
    </row>
    <row r="2" spans="1:4" ht="15" customHeight="1">
      <c r="A2" s="36"/>
      <c r="B2" s="36"/>
      <c r="C2" s="36"/>
      <c r="D2" s="36"/>
    </row>
    <row r="3" spans="1:4">
      <c r="A3" s="16" t="s">
        <v>1119</v>
      </c>
      <c r="B3" s="16" t="s">
        <v>1120</v>
      </c>
      <c r="C3" s="16" t="s">
        <v>1121</v>
      </c>
      <c r="D3" s="16" t="s">
        <v>1122</v>
      </c>
    </row>
    <row r="4" spans="1:4">
      <c r="A4" s="13">
        <v>46097</v>
      </c>
      <c r="B4" s="13">
        <v>46103</v>
      </c>
      <c r="C4">
        <f ca="1">COUNTIFS(tblPlan90Dias[Fecha Estimada],"&gt;="&amp;A4,tblPlan90Dias[Fecha Estimada],"&lt;="&amp;B4,tblPlan90Dias[En 90 dias],"Sí")</f>
        <v>0</v>
      </c>
      <c r="D4" s="34">
        <f ca="1">SUMIFS(tblPlanMantenciones[Costo Total PM],tblPlanMantenciones[Fecha Estimada],"&gt;="&amp;A4,tblPlanMantenciones[Fecha Estimada],"&lt;="&amp;B4)</f>
        <v>943646.2</v>
      </c>
    </row>
    <row r="5" spans="1:4">
      <c r="A5" s="13">
        <v>46104</v>
      </c>
      <c r="B5" s="13">
        <v>46110</v>
      </c>
      <c r="C5">
        <f ca="1">COUNTIFS(tblPlan90Dias[Fecha Estimada],"&gt;="&amp;A5,tblPlan90Dias[Fecha Estimada],"&lt;="&amp;B5,tblPlan90Dias[En 90 dias],"Sí")</f>
        <v>0</v>
      </c>
      <c r="D5" s="34">
        <f ca="1">SUMIFS(tblPlanMantenciones[Costo Total PM],tblPlanMantenciones[Fecha Estimada],"&gt;="&amp;A5,tblPlanMantenciones[Fecha Estimada],"&lt;="&amp;B5)</f>
        <v>405603</v>
      </c>
    </row>
    <row r="6" spans="1:4">
      <c r="A6" s="13">
        <v>46111</v>
      </c>
      <c r="B6" s="13">
        <v>46117</v>
      </c>
      <c r="C6">
        <f ca="1">COUNTIFS(tblPlan90Dias[Fecha Estimada],"&gt;="&amp;A6,tblPlan90Dias[Fecha Estimada],"&lt;="&amp;B6,tblPlan90Dias[En 90 dias],"Sí")</f>
        <v>0</v>
      </c>
      <c r="D6" s="34">
        <f ca="1">SUMIFS(tblPlanMantenciones[Costo Total PM],tblPlanMantenciones[Fecha Estimada],"&gt;="&amp;A6,tblPlanMantenciones[Fecha Estimada],"&lt;="&amp;B6)</f>
        <v>0</v>
      </c>
    </row>
    <row r="7" spans="1:4">
      <c r="A7" s="13">
        <v>46118</v>
      </c>
      <c r="B7" s="13">
        <v>46124</v>
      </c>
      <c r="C7">
        <f ca="1">COUNTIFS(tblPlan90Dias[Fecha Estimada],"&gt;="&amp;A7,tblPlan90Dias[Fecha Estimada],"&lt;="&amp;B7,tblPlan90Dias[En 90 dias],"Sí")</f>
        <v>0</v>
      </c>
      <c r="D7" s="34">
        <f ca="1">SUMIFS(tblPlanMantenciones[Costo Total PM],tblPlanMantenciones[Fecha Estimada],"&gt;="&amp;A7,tblPlanMantenciones[Fecha Estimada],"&lt;="&amp;B7)</f>
        <v>0</v>
      </c>
    </row>
    <row r="8" spans="1:4">
      <c r="A8" s="13">
        <v>46125</v>
      </c>
      <c r="B8" s="13">
        <v>46131</v>
      </c>
      <c r="C8">
        <f ca="1">COUNTIFS(tblPlan90Dias[Fecha Estimada],"&gt;="&amp;A8,tblPlan90Dias[Fecha Estimada],"&lt;="&amp;B8,tblPlan90Dias[En 90 dias],"Sí")</f>
        <v>0</v>
      </c>
      <c r="D8" s="34">
        <f ca="1">SUMIFS(tblPlanMantenciones[Costo Total PM],tblPlanMantenciones[Fecha Estimada],"&gt;="&amp;A8,tblPlanMantenciones[Fecha Estimada],"&lt;="&amp;B8)</f>
        <v>0</v>
      </c>
    </row>
    <row r="9" spans="1:4">
      <c r="A9" s="13">
        <v>46132</v>
      </c>
      <c r="B9" s="13">
        <v>46138</v>
      </c>
      <c r="C9">
        <f ca="1">COUNTIFS(tblPlan90Dias[Fecha Estimada],"&gt;="&amp;A9,tblPlan90Dias[Fecha Estimada],"&lt;="&amp;B9,tblPlan90Dias[En 90 dias],"Sí")</f>
        <v>0</v>
      </c>
      <c r="D9" s="34">
        <f ca="1">SUMIFS(tblPlanMantenciones[Costo Total PM],tblPlanMantenciones[Fecha Estimada],"&gt;="&amp;A9,tblPlanMantenciones[Fecha Estimada],"&lt;="&amp;B9)</f>
        <v>0</v>
      </c>
    </row>
    <row r="10" spans="1:4">
      <c r="A10" s="13">
        <v>46139</v>
      </c>
      <c r="B10" s="13">
        <v>46145</v>
      </c>
      <c r="C10">
        <f ca="1">COUNTIFS(tblPlan90Dias[Fecha Estimada],"&gt;="&amp;A10,tblPlan90Dias[Fecha Estimada],"&lt;="&amp;B10,tblPlan90Dias[En 90 dias],"Sí")</f>
        <v>0</v>
      </c>
      <c r="D10" s="34">
        <f ca="1">SUMIFS(tblPlanMantenciones[Costo Total PM],tblPlanMantenciones[Fecha Estimada],"&gt;="&amp;A10,tblPlanMantenciones[Fecha Estimada],"&lt;="&amp;B10)</f>
        <v>1836315.46</v>
      </c>
    </row>
    <row r="11" spans="1:4">
      <c r="A11" s="13">
        <v>46146</v>
      </c>
      <c r="B11" s="13">
        <v>46152</v>
      </c>
      <c r="C11">
        <f ca="1">COUNTIFS(tblPlan90Dias[Fecha Estimada],"&gt;="&amp;A11,tblPlan90Dias[Fecha Estimada],"&lt;="&amp;B11,tblPlan90Dias[En 90 dias],"Sí")</f>
        <v>0</v>
      </c>
      <c r="D11" s="34">
        <f ca="1">SUMIFS(tblPlanMantenciones[Costo Total PM],tblPlanMantenciones[Fecha Estimada],"&gt;="&amp;A11,tblPlanMantenciones[Fecha Estimada],"&lt;="&amp;B11)</f>
        <v>0</v>
      </c>
    </row>
    <row r="12" spans="1:4">
      <c r="A12" s="13">
        <v>46153</v>
      </c>
      <c r="B12" s="13">
        <v>46159</v>
      </c>
      <c r="C12">
        <f ca="1">COUNTIFS(tblPlan90Dias[Fecha Estimada],"&gt;="&amp;A12,tblPlan90Dias[Fecha Estimada],"&lt;="&amp;B12,tblPlan90Dias[En 90 dias],"Sí")</f>
        <v>4</v>
      </c>
      <c r="D12" s="34">
        <f ca="1">SUMIFS(tblPlanMantenciones[Costo Total PM],tblPlanMantenciones[Fecha Estimada],"&gt;="&amp;A12,tblPlanMantenciones[Fecha Estimada],"&lt;="&amp;B12)</f>
        <v>492117.27</v>
      </c>
    </row>
    <row r="13" spans="1:4">
      <c r="A13" s="13">
        <v>46160</v>
      </c>
      <c r="B13" s="13">
        <v>46166</v>
      </c>
      <c r="C13">
        <f ca="1">COUNTIFS(tblPlan90Dias[Fecha Estimada],"&gt;="&amp;A13,tblPlan90Dias[Fecha Estimada],"&lt;="&amp;B13,tblPlan90Dias[En 90 dias],"Sí")</f>
        <v>4</v>
      </c>
      <c r="D13" s="34">
        <f ca="1">SUMIFS(tblPlanMantenciones[Costo Total PM],tblPlanMantenciones[Fecha Estimada],"&gt;="&amp;A13,tblPlanMantenciones[Fecha Estimada],"&lt;="&amp;B13)</f>
        <v>863226.33</v>
      </c>
    </row>
    <row r="14" spans="1:4">
      <c r="A14" s="13">
        <v>46167</v>
      </c>
      <c r="B14" s="13">
        <v>46173</v>
      </c>
      <c r="C14">
        <f ca="1">COUNTIFS(tblPlan90Dias[Fecha Estimada],"&gt;="&amp;A14,tblPlan90Dias[Fecha Estimada],"&lt;="&amp;B14,tblPlan90Dias[En 90 dias],"Sí")</f>
        <v>4</v>
      </c>
      <c r="D14" s="34">
        <f ca="1">SUMIFS(tblPlanMantenciones[Costo Total PM],tblPlanMantenciones[Fecha Estimada],"&gt;="&amp;A14,tblPlanMantenciones[Fecha Estimada],"&lt;="&amp;B14)</f>
        <v>1038580.1040000001</v>
      </c>
    </row>
    <row r="15" spans="1:4">
      <c r="A15" s="13">
        <v>46174</v>
      </c>
      <c r="B15" s="13">
        <v>46180</v>
      </c>
      <c r="C15">
        <f ca="1">COUNTIFS(tblPlan90Dias[Fecha Estimada],"&gt;="&amp;A15,tblPlan90Dias[Fecha Estimada],"&lt;="&amp;B15,tblPlan90Dias[En 90 dias],"Sí")</f>
        <v>3</v>
      </c>
      <c r="D15" s="34">
        <f ca="1">SUMIFS(tblPlanMantenciones[Costo Total PM],tblPlanMantenciones[Fecha Estimada],"&gt;="&amp;A15,tblPlanMantenciones[Fecha Estimada],"&lt;="&amp;B15)</f>
        <v>825050.52800000005</v>
      </c>
    </row>
    <row r="16" spans="1:4">
      <c r="A16" s="13">
        <v>46181</v>
      </c>
      <c r="B16" s="13">
        <v>46187</v>
      </c>
      <c r="C16">
        <f ca="1">COUNTIFS(tblPlan90Dias[Fecha Estimada],"&gt;="&amp;A16,tblPlan90Dias[Fecha Estimada],"&lt;="&amp;B16,tblPlan90Dias[En 90 dias],"Sí")</f>
        <v>2</v>
      </c>
      <c r="D16" s="34">
        <f ca="1">SUMIFS(tblPlanMantenciones[Costo Total PM],tblPlanMantenciones[Fecha Estimada],"&gt;="&amp;A16,tblPlanMantenciones[Fecha Estimada],"&lt;="&amp;B16)</f>
        <v>87830.779899999994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N62"/>
  <sheetViews>
    <sheetView topLeftCell="A6" zoomScaleNormal="100" workbookViewId="0">
      <selection activeCell="D9" sqref="D9:E9"/>
    </sheetView>
  </sheetViews>
  <sheetFormatPr baseColWidth="10" defaultColWidth="9.140625" defaultRowHeight="15" customHeight="1"/>
  <cols>
    <col min="1" max="1" width="20.28515625" bestFit="1" customWidth="1"/>
    <col min="2" max="2" width="14" customWidth="1"/>
    <col min="3" max="3" width="7.140625" customWidth="1"/>
    <col min="4" max="5" width="14" customWidth="1"/>
    <col min="6" max="6" width="7.28515625" customWidth="1"/>
    <col min="7" max="8" width="14" customWidth="1"/>
    <col min="9" max="9" width="7.42578125" customWidth="1"/>
    <col min="10" max="11" width="14" customWidth="1"/>
    <col min="12" max="12" width="6" customWidth="1"/>
    <col min="13" max="13" width="16.5703125" customWidth="1"/>
    <col min="14" max="14" width="27.42578125" customWidth="1"/>
  </cols>
  <sheetData>
    <row r="1" spans="1:14">
      <c r="A1" s="87" t="s">
        <v>1124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2" spans="1:14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4" spans="1:14">
      <c r="A4" s="93" t="s">
        <v>1125</v>
      </c>
      <c r="B4" s="93"/>
      <c r="D4" s="93" t="s">
        <v>1126</v>
      </c>
      <c r="E4" s="93"/>
      <c r="G4" s="93" t="s">
        <v>1127</v>
      </c>
      <c r="H4" s="93"/>
      <c r="J4" s="93" t="s">
        <v>1128</v>
      </c>
      <c r="K4" s="93"/>
      <c r="M4" s="93" t="s">
        <v>1129</v>
      </c>
      <c r="N4" s="93"/>
    </row>
    <row r="5" spans="1:14" ht="21" customHeight="1">
      <c r="A5" s="97" cm="1">
        <f t="array" ref="A5">SUMPRODUCT(--(Maestro_Equipos!A2:A1000&lt;&gt;""))</f>
        <v>245</v>
      </c>
      <c r="B5" s="97"/>
      <c r="D5" s="97" cm="1">
        <f t="array" ref="D5">SUMPRODUCT(--(UPPER(TRIM(Maestro_Equipos!V2:V1000))="OPERATIVO"))</f>
        <v>183</v>
      </c>
      <c r="E5" s="97"/>
      <c r="G5" s="97" cm="1">
        <f t="array" ref="G5">SUMPRODUCT(--(ISNUMBER(SEARCH("FUERA DE SERVICIO",UPPER(Maestro_Equipos!V2:V1000)))))</f>
        <v>51</v>
      </c>
      <c r="H5" s="97"/>
      <c r="J5" s="97" cm="1">
        <f t="array" ref="J5">SUMPRODUCT(--((UPPER(TRIM(Maestro_Equipos!W2:W1000))="ATRASADA")+(UPPER(TRIM(Maestro_Equipos!W2:W1000))="ATRASADO")&gt;0))</f>
        <v>6</v>
      </c>
      <c r="K5" s="97"/>
      <c r="M5" s="97">
        <f>COUNTIF(Maestro_Equipos!W:W,"PRÓXIMA")</f>
        <v>1</v>
      </c>
      <c r="N5" s="97"/>
    </row>
    <row r="6" spans="1:14" ht="15" customHeight="1">
      <c r="D6" s="89"/>
      <c r="E6" s="89"/>
      <c r="G6" s="89"/>
      <c r="H6" s="89"/>
    </row>
    <row r="8" spans="1:14">
      <c r="A8" s="93" t="s">
        <v>1130</v>
      </c>
      <c r="B8" s="93"/>
      <c r="D8" s="93" t="s">
        <v>1131</v>
      </c>
      <c r="E8" s="93"/>
      <c r="G8" s="93" t="s">
        <v>1132</v>
      </c>
      <c r="H8" s="93"/>
      <c r="J8" s="93" t="s">
        <v>1133</v>
      </c>
      <c r="K8" s="93"/>
      <c r="M8" s="93" t="s">
        <v>1200</v>
      </c>
      <c r="N8" s="93"/>
    </row>
    <row r="9" spans="1:14" ht="21" customHeight="1">
      <c r="A9" s="97">
        <f>COUNTIF(Maestro_Equipos!AE:AE,"POR RECIBIR")</f>
        <v>0</v>
      </c>
      <c r="B9" s="97"/>
      <c r="D9" s="97">
        <f>COUNTIF(Maestro_Equipos!W:W,"*PROCESO*")</f>
        <v>26</v>
      </c>
      <c r="E9" s="97"/>
      <c r="G9" s="97" cm="1">
        <f t="array" ref="G9">SUMPRODUCT(--(UPPER(TRIM(Maestro_Equipos!W2:W1000))="AL DÍA"))</f>
        <v>119</v>
      </c>
      <c r="H9" s="97"/>
      <c r="J9" s="97" cm="1">
        <f t="array" ref="J9">SUMPRODUCT(--(ISNUMBER(SEARCH("TALLER",UPPER(Maestro_Equipos!V2:V1000)))))</f>
        <v>8</v>
      </c>
      <c r="K9" s="97"/>
      <c r="M9" s="97">
        <f>COUNTIF(Maestro_Equipos!AD:AD,"PENDIENTE")</f>
        <v>34</v>
      </c>
      <c r="N9" s="97"/>
    </row>
    <row r="12" spans="1:14">
      <c r="A12" s="98" t="s">
        <v>1134</v>
      </c>
      <c r="B12" s="93"/>
      <c r="D12" s="93" t="s">
        <v>1135</v>
      </c>
      <c r="E12" s="93"/>
      <c r="G12" s="93" t="s">
        <v>1136</v>
      </c>
      <c r="H12" s="93"/>
      <c r="J12" s="93" t="s">
        <v>1137</v>
      </c>
      <c r="K12" s="93"/>
      <c r="M12" s="90" t="s">
        <v>1138</v>
      </c>
      <c r="N12" s="90"/>
    </row>
    <row r="13" spans="1:14" ht="21" customHeight="1">
      <c r="A13" s="99">
        <f>COUNTIF(Maestro_Equipos!W:W,"AL DÍA")/COUNTIFS(Maestro_Equipos!A:A,"&lt;&gt;",Maestro_Equipos!V:V,"&lt;&gt;Fuera de Servicio")</f>
        <v>0.61025641025641031</v>
      </c>
      <c r="B13" s="99"/>
      <c r="D13" s="99">
        <f>IFERROR(COUNTIFS(Maestro_Equipos!$A$4:$A$1000,"&lt;&gt;",Maestro_Equipos!$W$4:$W$1000,"&lt;&gt;ATRASADO",Maestro_Equipos!$W$4:$W$1000,"&lt;&gt;")/COUNTIF(Maestro_Equipos!$A$4:$A$1000,"&lt;&gt;"),0)</f>
        <v>1</v>
      </c>
      <c r="E13" s="99"/>
      <c r="G13" s="100">
        <f>COUNTIFS(Maestro_Equipos!AE:AE,"ATRASADA",Maestro_Equipos!V:V,"&lt;&gt;*Taller*",Maestro_Equipos!V:V,"&lt;&gt;*Fuera*")</f>
        <v>0</v>
      </c>
      <c r="H13" s="100"/>
      <c r="J13" s="101">
        <f>SUM(Maestro_Equipos!$U$4:$U$247)</f>
        <v>37862520.995969988</v>
      </c>
      <c r="K13" s="101"/>
      <c r="M13" s="91">
        <f>IFERROR(COUNTIF(Maestro_Equipos!V:V,"Operativo")/(COUNTIF(Maestro_Equipos!V:V,"Operativo")+COUNTIF(Maestro_Equipos!V:V,"*Taller*")+COUNTIF(Maestro_Equipos!V:V,"*Fuera*")),0)</f>
        <v>0.75619834710743805</v>
      </c>
      <c r="N13" s="91"/>
    </row>
    <row r="16" spans="1:14">
      <c r="A16" s="93" t="s">
        <v>1139</v>
      </c>
      <c r="B16" s="93"/>
      <c r="D16" s="93" t="s">
        <v>1140</v>
      </c>
      <c r="E16" s="93"/>
      <c r="G16" s="93" t="s">
        <v>1141</v>
      </c>
      <c r="H16" s="93"/>
      <c r="J16" s="93" t="s">
        <v>1142</v>
      </c>
      <c r="K16" s="93"/>
      <c r="M16" s="92" t="s">
        <v>1143</v>
      </c>
      <c r="N16" s="92"/>
    </row>
    <row r="17" spans="1:14" ht="21" customHeight="1">
      <c r="A17" s="95">
        <f ca="1">IFERROR(AVERAGEIF(Maestro_Equipos!$AB$4:$AB$247,"&gt;0"),0)</f>
        <v>35.365853658536587</v>
      </c>
      <c r="B17" s="95"/>
      <c r="D17" s="95">
        <f ca="1">IFERROR(AVERAGEIF(Maestro_Equipos!$AC$4:$AC$247,"&gt;0"),0)</f>
        <v>29.066666666666666</v>
      </c>
      <c r="E17" s="95"/>
      <c r="G17" s="96">
        <f>COUNTIFS(
Maestro_Equipos!Q:Q,"Sin datos de mantención registrado",
Maestro_Equipos!V:V,"&lt;&gt;Fuera de Servicio",
Maestro_Equipos!V:V,"&lt;&gt;Taller",
Maestro_Equipos!V:V,"&lt;&gt;En Taller"
)</f>
        <v>78</v>
      </c>
      <c r="H17" s="96"/>
      <c r="J17" s="97">
        <f>COUNTIFS(Maestro_Equipos!W:W,"ATRASADA",Maestro_Equipos!Z:Z,"")
+COUNTIFS(Maestro_Equipos!W:W,"PRÓXIMA",Maestro_Equipos!Z:Z,"")</f>
        <v>3</v>
      </c>
      <c r="K17" s="97"/>
      <c r="M17" s="94">
        <f ca="1">NOW()</f>
        <v>46145.767457407404</v>
      </c>
      <c r="N17" s="94"/>
    </row>
    <row r="19" spans="1:14" ht="15" customHeight="1">
      <c r="A19" s="102" t="s">
        <v>1144</v>
      </c>
      <c r="B19" s="102"/>
    </row>
    <row r="20" spans="1:14" ht="21" customHeight="1">
      <c r="A20" s="103">
        <f ca="1">(A17-D17)</f>
        <v>6.2991869918699201</v>
      </c>
      <c r="B20" s="104"/>
    </row>
    <row r="33" spans="1:8">
      <c r="A33" t="s">
        <v>696</v>
      </c>
      <c r="B33" t="s">
        <v>1145</v>
      </c>
      <c r="D33" t="s">
        <v>1146</v>
      </c>
      <c r="E33" t="s">
        <v>1121</v>
      </c>
      <c r="G33" t="s">
        <v>1147</v>
      </c>
      <c r="H33" t="s">
        <v>1148</v>
      </c>
    </row>
    <row r="34" spans="1:8">
      <c r="A34" t="s">
        <v>1149</v>
      </c>
      <c r="B34">
        <f>COUNTIFS(Maestro_Equipos!W:W,"AL DÍA",Maestro_Equipos!A:A,"&lt;&gt;")</f>
        <v>119</v>
      </c>
      <c r="D34" t="str">
        <f>TEXT(Planner_Semanal!A4,"dd-mm")</f>
        <v>16-03</v>
      </c>
      <c r="E34">
        <f ca="1">Planner_Semanal!C4</f>
        <v>0</v>
      </c>
      <c r="G34" t="s">
        <v>33</v>
      </c>
      <c r="H34">
        <f>COUNTIFS(Maestro_Equipos!$G:$G,TRIM(G34),Maestro_Equipos!$V:$V,"&lt;&gt;FUERA DE SERVICIO",Maestro_Equipos!$G:$G,"&lt;&gt;Taller")</f>
        <v>22</v>
      </c>
    </row>
    <row r="35" spans="1:8">
      <c r="A35" t="s">
        <v>1150</v>
      </c>
      <c r="B35">
        <f>COUNTIF(Maestro_Equipos!$W:$W,A35)</f>
        <v>1</v>
      </c>
      <c r="D35" t="str">
        <f>TEXT(Planner_Semanal!A5,"dd-mm")</f>
        <v>23-03</v>
      </c>
      <c r="E35">
        <f ca="1">Planner_Semanal!C5</f>
        <v>0</v>
      </c>
      <c r="G35" t="s">
        <v>84</v>
      </c>
      <c r="H35">
        <f>COUNTIFS(Maestro_Equipos!$G:$G,TRIM(G35),Maestro_Equipos!$V:$V,"&lt;&gt;FUERA DE SERVICIO",Maestro_Equipos!$G:$G,"&lt;&gt;Taller")</f>
        <v>12</v>
      </c>
    </row>
    <row r="36" spans="1:8">
      <c r="A36" t="s">
        <v>1151</v>
      </c>
      <c r="B36">
        <f>COUNTIF(Maestro_Equipos!$W:$W,A36)</f>
        <v>26</v>
      </c>
      <c r="D36" t="str">
        <f>TEXT(Planner_Semanal!A6,"dd-mm")</f>
        <v>30-03</v>
      </c>
      <c r="E36">
        <f ca="1">Planner_Semanal!C6</f>
        <v>0</v>
      </c>
      <c r="G36" t="s">
        <v>94</v>
      </c>
      <c r="H36">
        <f>COUNTIFS(Maestro_Equipos!$G:$G,TRIM(G36),Maestro_Equipos!$V:$V,"&lt;&gt;FUERA DE SERVICIO",Maestro_Equipos!$G:$G,"&lt;&gt;Taller")</f>
        <v>8</v>
      </c>
    </row>
    <row r="37" spans="1:8">
      <c r="A37" t="s">
        <v>1152</v>
      </c>
      <c r="B37">
        <f>COUNTIF(Maestro_Equipos!$W:$W,A37)</f>
        <v>33</v>
      </c>
      <c r="D37" t="str">
        <f>TEXT(Planner_Semanal!A7,"dd-mm")</f>
        <v>06-04</v>
      </c>
      <c r="E37">
        <f ca="1">Planner_Semanal!C7</f>
        <v>0</v>
      </c>
      <c r="G37" t="s">
        <v>300</v>
      </c>
      <c r="H37">
        <f>COUNTIFS(Maestro_Equipos!$G:$G,TRIM(G37),Maestro_Equipos!$V:$V,"&lt;&gt;FUERA DE SERVICIO",Maestro_Equipos!$G:$G,"&lt;&gt;Taller")</f>
        <v>13</v>
      </c>
    </row>
    <row r="38" spans="1:8">
      <c r="A38" t="s">
        <v>1123</v>
      </c>
      <c r="B38">
        <f>COUNTIF(Maestro_Equipos!$W:$W,A38)</f>
        <v>6</v>
      </c>
      <c r="D38" t="str">
        <f>TEXT(Planner_Semanal!A8,"dd-mm")</f>
        <v>13-04</v>
      </c>
      <c r="E38">
        <f ca="1">Planner_Semanal!C8</f>
        <v>0</v>
      </c>
      <c r="G38" t="s">
        <v>30</v>
      </c>
      <c r="H38">
        <f>COUNTIFS(Maestro_Equipos!$G:$G,TRIM(G38),Maestro_Equipos!$V:$V,"&lt;&gt;FUERA DE SERVICIO",Maestro_Equipos!$G:$G,"&lt;&gt;Taller")</f>
        <v>15</v>
      </c>
    </row>
    <row r="39" spans="1:8">
      <c r="A39" t="s">
        <v>1153</v>
      </c>
      <c r="B39">
        <f>COUNTIF(Maestro_Equipos!$W:$W,A39)</f>
        <v>8</v>
      </c>
      <c r="D39" t="str">
        <f>TEXT(Planner_Semanal!A9,"dd-mm")</f>
        <v>20-04</v>
      </c>
      <c r="E39">
        <f ca="1">Planner_Semanal!C9</f>
        <v>0</v>
      </c>
      <c r="G39" t="s">
        <v>101</v>
      </c>
      <c r="H39">
        <f>COUNTIFS(Maestro_Equipos!$G:$G,TRIM(G39),Maestro_Equipos!$V:$V,"&lt;&gt;FUERA DE SERVICIO",Maestro_Equipos!$G:$G,"&lt;&gt;Taller")</f>
        <v>5</v>
      </c>
    </row>
    <row r="40" spans="1:8">
      <c r="A40" t="s">
        <v>1154</v>
      </c>
      <c r="B40">
        <f>COUNTIF(Maestro_Equipos!$W:$W,A40)</f>
        <v>51</v>
      </c>
      <c r="D40" t="str">
        <f>TEXT(Planner_Semanal!A10,"dd-mm")</f>
        <v>27-04</v>
      </c>
      <c r="E40">
        <f ca="1">Planner_Semanal!C10</f>
        <v>0</v>
      </c>
      <c r="G40" t="s">
        <v>75</v>
      </c>
      <c r="H40">
        <f>COUNTIFS(Maestro_Equipos!$G:$G,TRIM(G40),Maestro_Equipos!$V:$V,"&lt;&gt;FUERA DE SERVICIO",Maestro_Equipos!$G:$G,"&lt;&gt;Taller")</f>
        <v>7</v>
      </c>
    </row>
    <row r="41" spans="1:8">
      <c r="D41" t="str">
        <f>TEXT(Planner_Semanal!A11,"dd-mm")</f>
        <v>04-05</v>
      </c>
      <c r="E41">
        <f ca="1">Planner_Semanal!C11</f>
        <v>0</v>
      </c>
      <c r="G41" t="s">
        <v>276</v>
      </c>
      <c r="H41">
        <f>COUNTIFS(Maestro_Equipos!$G:$G,TRIM(G41),Maestro_Equipos!$V:$V,"&lt;&gt;FUERA DE SERVICIO",Maestro_Equipos!$G:$G,"&lt;&gt;Taller")</f>
        <v>4</v>
      </c>
    </row>
    <row r="42" spans="1:8">
      <c r="D42" t="str">
        <f>TEXT(Planner_Semanal!A12,"dd-mm")</f>
        <v>11-05</v>
      </c>
      <c r="E42">
        <f ca="1">Planner_Semanal!C12</f>
        <v>4</v>
      </c>
      <c r="G42" t="s">
        <v>272</v>
      </c>
      <c r="H42">
        <f>COUNTIFS(Maestro_Equipos!$G:$G,TRIM(G42),Maestro_Equipos!$V:$V,"&lt;&gt;FUERA DE SERVICIO",Maestro_Equipos!$G:$G,"&lt;&gt;Taller")</f>
        <v>11</v>
      </c>
    </row>
    <row r="43" spans="1:8">
      <c r="D43" t="str">
        <f>TEXT(Planner_Semanal!A13,"dd-mm")</f>
        <v>18-05</v>
      </c>
      <c r="E43">
        <f ca="1">Planner_Semanal!C13</f>
        <v>4</v>
      </c>
      <c r="G43" t="s">
        <v>39</v>
      </c>
      <c r="H43">
        <f>COUNTIFS(Maestro_Equipos!$G:$G,TRIM(G43),Maestro_Equipos!$V:$V,"&lt;&gt;FUERA DE SERVICIO",Maestro_Equipos!$G:$G,"&lt;&gt;Taller")</f>
        <v>3</v>
      </c>
    </row>
    <row r="44" spans="1:8">
      <c r="D44" t="str">
        <f>TEXT(Planner_Semanal!A14,"dd-mm")</f>
        <v>25-05</v>
      </c>
      <c r="E44">
        <f ca="1">Planner_Semanal!C14</f>
        <v>4</v>
      </c>
      <c r="G44" t="s">
        <v>113</v>
      </c>
      <c r="H44">
        <f>COUNTIFS(Maestro_Equipos!$G:$G,TRIM(G44),Maestro_Equipos!$V:$V,"&lt;&gt;FUERA DE SERVICIO",Maestro_Equipos!$G:$G,"&lt;&gt;Taller")</f>
        <v>1</v>
      </c>
    </row>
    <row r="45" spans="1:8">
      <c r="D45" t="str">
        <f>TEXT(Planner_Semanal!A15,"dd-mm")</f>
        <v>01-06</v>
      </c>
      <c r="E45">
        <f ca="1">Planner_Semanal!C15</f>
        <v>3</v>
      </c>
      <c r="G45" t="s">
        <v>531</v>
      </c>
      <c r="H45">
        <f>COUNTIFS(Maestro_Equipos!$G:$G,TRIM(G45),Maestro_Equipos!$V:$V,"&lt;&gt;FUERA DE SERVICIO",Maestro_Equipos!$G:$G,"&lt;&gt;Taller")</f>
        <v>1</v>
      </c>
    </row>
    <row r="46" spans="1:8">
      <c r="D46" t="str">
        <f>TEXT(Planner_Semanal!A16,"dd-mm")</f>
        <v>08-06</v>
      </c>
      <c r="E46">
        <f ca="1">Planner_Semanal!C16</f>
        <v>2</v>
      </c>
      <c r="G46" t="s">
        <v>36</v>
      </c>
      <c r="H46">
        <f>COUNTIFS(Maestro_Equipos!$G:$G,TRIM(G46),Maestro_Equipos!$V:$V,"&lt;&gt;FUERA DE SERVICIO",Maestro_Equipos!$G:$G,"&lt;&gt;Taller")</f>
        <v>0</v>
      </c>
    </row>
    <row r="51" spans="1:2" ht="15" customHeight="1">
      <c r="A51" t="s">
        <v>1147</v>
      </c>
      <c r="B51" t="s">
        <v>1201</v>
      </c>
    </row>
    <row r="52" spans="1:2" ht="15" customHeight="1">
      <c r="A52" t="str" cm="1">
        <f t="array" ref="A52:A62">_xlfn.UNIQUE(_xlfn._xlws.FILTER(Maestro_Equipos!G4:G1000,ISNUMBER(SEARCH("PENDIENT",Maestro_Equipos!AD4:AD1000)),""))</f>
        <v>Palmucho</v>
      </c>
      <c r="B52">
        <f>COUNTIFS(Maestro_Equipos!G$4:G$1000,A3,Maestro_Equipos!AD$4:AD$1000,"*PENDIENTE*")</f>
        <v>0</v>
      </c>
    </row>
    <row r="53" spans="1:2" ht="15" customHeight="1">
      <c r="A53" t="str">
        <v>Oficina Central</v>
      </c>
      <c r="B53">
        <f>COUNTIFS(Maestro_Equipos!G$4:G$1000,A4,Maestro_Equipos!AD$4:AD$1000,"*PENDIENTE*")</f>
        <v>0</v>
      </c>
    </row>
    <row r="54" spans="1:2" ht="15" customHeight="1">
      <c r="A54" t="str">
        <v>Quirihue</v>
      </c>
      <c r="B54">
        <f>COUNTIFS(Maestro_Equipos!G$4:G$1000,A5,Maestro_Equipos!AD$4:AD$1000,"*PENDIENTE*")</f>
        <v>0</v>
      </c>
    </row>
    <row r="55" spans="1:2" ht="15" customHeight="1">
      <c r="A55" t="str">
        <v>Taller</v>
      </c>
      <c r="B55">
        <f>COUNTIFS(Maestro_Equipos!G$4:G$1000,A6,Maestro_Equipos!AD$4:AD$1000,"*PENDIENTE*")</f>
        <v>0</v>
      </c>
    </row>
    <row r="56" spans="1:2" ht="15" customHeight="1">
      <c r="A56" t="str">
        <v/>
      </c>
      <c r="B56">
        <f>COUNTIFS(Maestro_Equipos!G$4:G$1000,A7,Maestro_Equipos!AD$4:AD$1000,"*PENDIENTE*")</f>
        <v>0</v>
      </c>
    </row>
    <row r="57" spans="1:2" ht="15" customHeight="1">
      <c r="A57" t="str">
        <v>Villaseca</v>
      </c>
      <c r="B57">
        <f>COUNTIFS(Maestro_Equipos!G$4:G$1000,A8,Maestro_Equipos!AD$4:AD$1000,"*PENDIENTE*")</f>
        <v>0</v>
      </c>
    </row>
    <row r="58" spans="1:2" ht="15" customHeight="1">
      <c r="A58" t="str">
        <v>Ninhue</v>
      </c>
      <c r="B58">
        <f>COUNTIFS(Maestro_Equipos!G$4:G$1000,A9,Maestro_Equipos!AD$4:AD$1000,"*PENDIENTE*")</f>
        <v>0</v>
      </c>
    </row>
    <row r="59" spans="1:2" ht="15" customHeight="1">
      <c r="A59" t="str">
        <v>Retiro</v>
      </c>
      <c r="B59">
        <f>COUNTIFS(Maestro_Equipos!G$4:G$1000,A10,Maestro_Equipos!AD$4:AD$1000,"*PENDIENTE*")</f>
        <v>0</v>
      </c>
    </row>
    <row r="60" spans="1:2" ht="15" customHeight="1">
      <c r="A60" t="str">
        <v>San Carlos</v>
      </c>
      <c r="B60">
        <f>COUNTIFS(Maestro_Equipos!G$4:G$1000,A11,Maestro_Equipos!AD$4:AD$1000,"*PENDIENTE*")</f>
        <v>0</v>
      </c>
    </row>
    <row r="61" spans="1:2" ht="15" customHeight="1">
      <c r="A61" t="str">
        <v>Curicó</v>
      </c>
      <c r="B61">
        <f>COUNTIFS(Maestro_Equipos!G$4:G$1000,A12,Maestro_Equipos!AD$4:AD$1000,"*PENDIENTE*")</f>
        <v>0</v>
      </c>
    </row>
    <row r="62" spans="1:2" ht="15" customHeight="1">
      <c r="A62" t="str">
        <v>Cobquecura</v>
      </c>
      <c r="B62">
        <f>COUNTIFS(Maestro_Equipos!G$4:G$1000,A13,Maestro_Equipos!AD$4:AD$1000,"*PENDIENTE*")</f>
        <v>0</v>
      </c>
    </row>
  </sheetData>
  <mergeCells count="45">
    <mergeCell ref="A19:B19"/>
    <mergeCell ref="A20:B20"/>
    <mergeCell ref="A1:N2"/>
    <mergeCell ref="A4:B4"/>
    <mergeCell ref="D4:E4"/>
    <mergeCell ref="G4:H4"/>
    <mergeCell ref="J4:K4"/>
    <mergeCell ref="M4:N4"/>
    <mergeCell ref="A5:B5"/>
    <mergeCell ref="D5:E5"/>
    <mergeCell ref="G5:H5"/>
    <mergeCell ref="J5:K5"/>
    <mergeCell ref="M5:N5"/>
    <mergeCell ref="A8:B8"/>
    <mergeCell ref="D8:E8"/>
    <mergeCell ref="G8:H8"/>
    <mergeCell ref="A9:B9"/>
    <mergeCell ref="D9:E9"/>
    <mergeCell ref="G9:H9"/>
    <mergeCell ref="J9:K9"/>
    <mergeCell ref="M9:N9"/>
    <mergeCell ref="A12:B12"/>
    <mergeCell ref="D12:E12"/>
    <mergeCell ref="G12:H12"/>
    <mergeCell ref="J12:K12"/>
    <mergeCell ref="A13:B13"/>
    <mergeCell ref="D13:E13"/>
    <mergeCell ref="G13:H13"/>
    <mergeCell ref="J13:K13"/>
    <mergeCell ref="M17:N17"/>
    <mergeCell ref="A16:B16"/>
    <mergeCell ref="D16:E16"/>
    <mergeCell ref="G16:H16"/>
    <mergeCell ref="J16:K16"/>
    <mergeCell ref="A17:B17"/>
    <mergeCell ref="D17:E17"/>
    <mergeCell ref="G17:H17"/>
    <mergeCell ref="J17:K17"/>
    <mergeCell ref="G6:H6"/>
    <mergeCell ref="D6:E6"/>
    <mergeCell ref="M12:N12"/>
    <mergeCell ref="M13:N13"/>
    <mergeCell ref="M16:N16"/>
    <mergeCell ref="J8:K8"/>
    <mergeCell ref="M8:N8"/>
  </mergeCells>
  <conditionalFormatting sqref="D6:E6">
    <cfRule type="cellIs" priority="1" operator="between">
      <formula>$A$5</formula>
      <formula>$D$5</formula>
    </cfRule>
  </conditionalFormatting>
  <conditionalFormatting sqref="G6:H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{83003689-90EA-4F6E-A1FA-552776EA57CC}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003689-90EA-4F6E-A1FA-552776EA57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G6:H6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Equipos</vt:lpstr>
      <vt:lpstr>Lecturas</vt:lpstr>
      <vt:lpstr>Mantenciones</vt:lpstr>
      <vt:lpstr>Compras PM</vt:lpstr>
      <vt:lpstr>Bodega</vt:lpstr>
      <vt:lpstr>Maestro_Equipos</vt:lpstr>
      <vt:lpstr>Plan_Mantenciones</vt:lpstr>
      <vt:lpstr>Plan_90_Dias</vt:lpstr>
      <vt:lpstr>Planner_Semanal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Ortiz Ortiz</dc:creator>
  <cp:keywords/>
  <dc:description/>
  <cp:lastModifiedBy>Manuel Ortiz Ortiz</cp:lastModifiedBy>
  <cp:revision/>
  <dcterms:created xsi:type="dcterms:W3CDTF">2026-03-23T23:54:05Z</dcterms:created>
  <dcterms:modified xsi:type="dcterms:W3CDTF">2026-05-03T22:25:23Z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2026-03-16T17:52:40Z</dcterms:created>
  <dc:creator>Manu Ortiz</dc:creator>
  <dc:description/>
  <cp:keywords>Mantenciones Demotron</cp:keywords>
  <dc:language>en-US</dc:language>
  <cp:lastModifiedBy>Manuel Ortiz Ortiz</cp:lastModifiedBy>
  <dcterms:modified xsi:type="dcterms:W3CDTF">2026-03-23T23:33:50Z</dcterms:modified>
  <cp:revision>0</cp:revision>
  <dc:subject/>
  <dc:title>Mantenciones Demotron</dc:title>
</cp:coreProperties>
</file>